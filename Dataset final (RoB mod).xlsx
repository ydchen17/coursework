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mc:AlternateContent xmlns:mc="http://schemas.openxmlformats.org/markup-compatibility/2006">
    <mc:Choice Requires="x15">
      <x15ac:absPath xmlns:x15ac="http://schemas.microsoft.com/office/spreadsheetml/2010/11/ac" url="/Users/mbp16/Documents/Coding/HP407/"/>
    </mc:Choice>
  </mc:AlternateContent>
  <xr:revisionPtr revIDLastSave="0" documentId="13_ncr:1_{D3E15C88-DD74-8742-9736-779C0C5F9AEE}" xr6:coauthVersionLast="47" xr6:coauthVersionMax="47" xr10:uidLastSave="{00000000-0000-0000-0000-000000000000}"/>
  <bookViews>
    <workbookView xWindow="10380" yWindow="760" windowWidth="31200" windowHeight="21580" activeTab="3" xr2:uid="{00000000-000D-0000-FFFF-FFFF00000000}"/>
  </bookViews>
  <sheets>
    <sheet name="Previous studies" sheetId="1" r:id="rId1"/>
    <sheet name="New studies" sheetId="3" r:id="rId2"/>
    <sheet name="Sheet3" sheetId="11" r:id="rId3"/>
    <sheet name="Combined" sheetId="5" r:id="rId4"/>
    <sheet name="Sheet1" sheetId="19" r:id="rId5"/>
    <sheet name="Combined_info" sheetId="8" r:id="rId6"/>
  </sheets>
  <definedNames>
    <definedName name="_xlnm._FilterDatabase" localSheetId="3" hidden="1">Combined!$A$1:$BB$134</definedName>
    <definedName name="_xlnm._FilterDatabase" localSheetId="1" hidden="1">'New studies'!$A$1:$AW$45</definedName>
    <definedName name="_xlnm._FilterDatabase" localSheetId="0" hidden="1">'Previous studies'!$A$1:$AW$99</definedName>
    <definedName name="_xlnm._FilterDatabase" localSheetId="4" hidden="1">Sheet1!$A$1:$J$28</definedName>
    <definedName name="_ftn1" localSheetId="4">Sheet1!$A$31</definedName>
    <definedName name="_ftn2" localSheetId="4">Sheet1!$A$32</definedName>
    <definedName name="_ftn3" localSheetId="4">Sheet1!$A$33</definedName>
    <definedName name="_ftn4" localSheetId="4">Sheet1!$A$34</definedName>
    <definedName name="_ftn5" localSheetId="4">Sheet1!$A$35</definedName>
    <definedName name="_ftn6" localSheetId="4">Sheet1!$A$36</definedName>
    <definedName name="_ftnref1" localSheetId="4">Sheet1!$A$12</definedName>
    <definedName name="_ftnref4" localSheetId="4">Sheet1!$F$15</definedName>
    <definedName name="_ftnref5" localSheetId="4">Sheet1!$F$18</definedName>
    <definedName name="_ftnref6" localSheetId="4">Sheet1!$J$20</definedName>
    <definedName name="OLE_LINK8" localSheetId="4">Sheet1!#REF!</definedName>
    <definedName name="OLE_LINK9" localSheetId="4">Sheet1!$A$7</definedName>
  </definedNames>
  <calcPr calcId="191029"/>
  <pivotCaches>
    <pivotCache cacheId="150"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S17" i="5" l="1"/>
  <c r="AP17" i="5"/>
  <c r="AS16" i="5"/>
  <c r="AP16" i="5"/>
  <c r="AS15" i="5"/>
  <c r="AP15" i="5"/>
  <c r="AS14" i="5"/>
  <c r="AP14" i="5"/>
  <c r="AW102" i="5"/>
  <c r="AW101" i="5"/>
  <c r="AW90" i="5"/>
  <c r="AW89" i="5"/>
  <c r="AW84" i="5"/>
  <c r="AW83" i="5"/>
  <c r="AS64" i="5"/>
  <c r="AS62" i="5"/>
  <c r="AS58" i="5"/>
  <c r="AS56" i="5"/>
  <c r="AS60" i="5"/>
  <c r="AS54" i="5"/>
  <c r="AS50" i="5"/>
  <c r="AS52" i="5"/>
  <c r="AS48" i="5"/>
  <c r="AS47" i="5"/>
  <c r="AR17" i="3"/>
  <c r="AO17" i="3"/>
  <c r="AR16" i="3"/>
  <c r="AO16" i="3"/>
  <c r="AR15" i="3"/>
  <c r="AO15" i="3"/>
  <c r="AR14" i="3"/>
  <c r="AO14" i="3"/>
  <c r="AR22" i="1"/>
  <c r="AR8" i="1"/>
  <c r="AR10" i="1"/>
  <c r="AR12" i="1"/>
  <c r="AR14" i="1"/>
  <c r="AR16" i="1"/>
  <c r="AR18" i="1"/>
  <c r="AR20" i="1"/>
  <c r="AR6" i="1"/>
  <c r="AR5" i="1"/>
  <c r="AV47" i="1"/>
  <c r="AV48" i="1"/>
  <c r="AV49" i="1"/>
  <c r="AV46" i="1"/>
  <c r="AV65" i="1"/>
  <c r="AV64" i="1"/>
</calcChain>
</file>

<file path=xl/sharedStrings.xml><?xml version="1.0" encoding="utf-8"?>
<sst xmlns="http://schemas.openxmlformats.org/spreadsheetml/2006/main" count="8241" uniqueCount="878">
  <si>
    <t>Study.Identifier</t>
  </si>
  <si>
    <t>Year</t>
  </si>
  <si>
    <t>Intervention</t>
  </si>
  <si>
    <t>Intervention.types</t>
  </si>
  <si>
    <t>Intervention.subgroups</t>
  </si>
  <si>
    <t>Country</t>
  </si>
  <si>
    <t>Setting</t>
  </si>
  <si>
    <t>Types.of.disease_clean</t>
  </si>
  <si>
    <t>Type.of.disease.in.two.categories.(dementia.and.MCI)</t>
  </si>
  <si>
    <t>Updated.Dementia.Severity</t>
  </si>
  <si>
    <t>Is.this.a.study.focusing.on.carers.of.people.living.with.dementia.or.mild.cognitive.impairment?</t>
  </si>
  <si>
    <t>Domain.1</t>
  </si>
  <si>
    <t>Domain.2</t>
  </si>
  <si>
    <t>Domain.3</t>
  </si>
  <si>
    <t>Domain.4</t>
  </si>
  <si>
    <t>Domain.5</t>
  </si>
  <si>
    <t>Overall</t>
  </si>
  <si>
    <t>Baseline.Educational.level.(indicate.how.this.was.measured)</t>
  </si>
  <si>
    <t>Baseline.Female.(percent)</t>
  </si>
  <si>
    <t>Baseline.For.studies.in.carers.only:.Caregiver.age.in.years.(mean)</t>
  </si>
  <si>
    <t>Baseline.For.studies.in.carers.only:.Caregiver.female.(percent)</t>
  </si>
  <si>
    <t>Baseline.For.studies.in.carers.only:.Full-time.working.(percent)</t>
  </si>
  <si>
    <t>Baseline.For.studies.in.carers.only:.Part-time.working.(percent)</t>
  </si>
  <si>
    <t>Intervention.Brief.description.of.intervention</t>
  </si>
  <si>
    <t>Intervention.Brief.description.ofi.ntervention</t>
  </si>
  <si>
    <t>Intervention.Brief.intervention.description</t>
  </si>
  <si>
    <t>Intervention.Brief.introduction.to.the.intervention</t>
  </si>
  <si>
    <t>Intervention.Intervention.details</t>
  </si>
  <si>
    <t>Intervention.Intervention.details.1</t>
  </si>
  <si>
    <t>Intervention.Intervention.details.(duration.and.intensity.of.the.intervention,.dosage.of.drugs,.existence.of.a.protocol.or.manual.for.psychosocial,.training.or.education.interventions)</t>
  </si>
  <si>
    <t>Intervention.intervention.type</t>
  </si>
  <si>
    <t>Intervention.Intervention.type.1</t>
  </si>
  <si>
    <t>Intervention.Interv..Type:</t>
  </si>
  <si>
    <t>Intervention.Interv..type.[SELECT:.Pharmaceutical;.Traditional.Chinese.Medicine;.Other.trad..medicines;.Non-pharmacol.;.Multicomponent.(record.each.component);.Interv..for.carers;.End.of.life.care;.Treatment/prevention.of.co-morbidities;.Technology;.Diagn</t>
  </si>
  <si>
    <t>Intervention.Interv..type.[SELECT:.Pharmaceutical;.Traditional.Chinese.Medicine;.Other.trad..medicines;.Non-pharmacol.;.Multicomponent.(record.each.component);.Interv..for.carers;.End.of.life.care;.Treatment/preventioo-morbidities;.Technology;.Diagnostic;</t>
  </si>
  <si>
    <t>Effect.measure</t>
  </si>
  <si>
    <t>Measurement.method</t>
  </si>
  <si>
    <t>Measurement.type</t>
  </si>
  <si>
    <t>Pre_mean</t>
  </si>
  <si>
    <t>Pre_N</t>
  </si>
  <si>
    <t>Pre_SD</t>
  </si>
  <si>
    <t>Post_mean</t>
  </si>
  <si>
    <t>Post_N</t>
  </si>
  <si>
    <t>Post_SD</t>
  </si>
  <si>
    <t>95CI_lower</t>
  </si>
  <si>
    <t>95CI_upper</t>
  </si>
  <si>
    <t>Duration</t>
  </si>
  <si>
    <t>Aboulafia-Brakha 2014</t>
  </si>
  <si>
    <t>Cognitive–behavioural group therapy</t>
  </si>
  <si>
    <t>Support for carers</t>
  </si>
  <si>
    <t>Group support and therapy</t>
  </si>
  <si>
    <t>Brazil</t>
  </si>
  <si>
    <t>"The recruitment was carried out at the Cognitive Disorders Reference Center – CEREDIC of the Medical School of Universidade de S~ao Paulo – Clinical Hospital (HCFMUSP)."</t>
  </si>
  <si>
    <t>Alzheimer's Disease</t>
  </si>
  <si>
    <t>Dementia</t>
  </si>
  <si>
    <t>Moderate to severe</t>
  </si>
  <si>
    <t>Yes</t>
  </si>
  <si>
    <t>high risk</t>
  </si>
  <si>
    <t>some concerns</t>
  </si>
  <si>
    <t>59.42</t>
  </si>
  <si>
    <t>100</t>
  </si>
  <si>
    <t>(8.3% were in paid emplyment)</t>
  </si>
  <si>
    <t>Structured group discussion and CBT sessions for caregivers (90 minutes, 1/week, over 8 weeks)</t>
  </si>
  <si>
    <t>"CBT group: caregivers allocated to this group were
divided in small groups of six to eight participants.
They benefited from eight 90-minute group sessions
held once a week, with pre-established discussion
themes. These included life activities before
and after caring for their AD relative, the family
dynamic around the affected member and the caregiver
relationship with his/her relative. Using cognitive–
behavioural techniques, such as cognitive
restructuring and behaviour modifications, participants
were encouraged to resume some of the activities
they had abandoned after becoming a
caregiver and to favour the inclusion of other family
members in caregiving activities. For example,
in one of the sessions, participants chose one activity
they wanted to carry out during the next week
and that was feasible if someone else took care of
their proxy. Cognitions and emotions related to this
attitude were discussed prior to exposure, and participants
could also benefit from encouragement of
the other group fellows. The following week, they
were invited to share their experience in the group,
where alternative ways of thinking and feeling
about the situation were identified. Further, psychoeducation facts transmitted to the EDUC
group (including management of AD’s neuropsychiatric
symptoms) were also covered in the CBT
group, but in an interactive manner, which explains
the need for slightly longer sessions. Discussions
between group members and role-plays were regularly
encouraged in order to strengthen the understanding
of the different topics. In order to test and
apply the skills learned during the sessions, homework
tasks were recommended, such as practicing
in vivo what was rehearsed in role-plays."</t>
  </si>
  <si>
    <t>Intervention for carers</t>
  </si>
  <si>
    <t>Caregiver burden</t>
  </si>
  <si>
    <t>ZBI</t>
  </si>
  <si>
    <t>Raw</t>
  </si>
  <si>
    <t>35.0</t>
  </si>
  <si>
    <t>11</t>
  </si>
  <si>
    <t>13.5</t>
  </si>
  <si>
    <t>38.1</t>
  </si>
  <si>
    <t>12.9</t>
  </si>
  <si>
    <t>8 weeks</t>
  </si>
  <si>
    <t>Psychoeducation group programme (Control)</t>
  </si>
  <si>
    <t>Information, education, and training to support carers</t>
  </si>
  <si>
    <t>55.07</t>
  </si>
  <si>
    <t>67</t>
  </si>
  <si>
    <t>(53.3% were in paid employment)</t>
  </si>
  <si>
    <t>Structured group education session for caregivers (60 minutes,  1/week, over 8 weeks)</t>
  </si>
  <si>
    <t>EDUC group: in this group, caregivers participated
in eight 60-minute group sessions held once
a week, with up to 17 participants together. They
received information on AD. The programme was based on the work of Zarit, Anthony, and Boutselis
(1987) and Parks and Novielli (2000), and covered
the diagnosis process, cognitive symptoms,
different stages of the disease and available treatment
methods. Advices concerning interaction
with the patient, how to deal with neuropsychiatric
symptoms such as disinhibition, aggressiveness
and delusions, as well as security issues
were also given. Information was transmitted in a
structured format with the aid of presentation software.
At the end of the sessions, participants were
allowed to ask questions, but little opportunity
was given for discussion of personal issues and
interactions between participants."</t>
  </si>
  <si>
    <t>31.3</t>
  </si>
  <si>
    <t>15</t>
  </si>
  <si>
    <t>11.9</t>
  </si>
  <si>
    <t>34.2</t>
  </si>
  <si>
    <t>16.3</t>
  </si>
  <si>
    <t>Amit 2008</t>
  </si>
  <si>
    <t>Control</t>
  </si>
  <si>
    <t>No intervention</t>
  </si>
  <si>
    <t>India</t>
  </si>
  <si>
    <t>Caregivers of people living with dementia were recruited from the community. “The study was conducted in Goa, on the west coast of India. Goa is in an advanced stage of the epidemiological and demographic transition in the country, with some of the best health indicators [7] and a rising proportion of older people; the 2001 Census reported that 8.3% of the total population was aged over 60 years[8]. The consensus figure for prevalence of dementia in India is 1.9% above the age of 60 years [3]The present trial was carried out in two of the largest administrative blocks (talukas) in the state - Bardez and Tiswadi with a population of approximately 340,000.”</t>
  </si>
  <si>
    <t>Dementia (general/unspecified)</t>
  </si>
  <si>
    <t>Mild to moderate</t>
  </si>
  <si>
    <t>low risk</t>
  </si>
  <si>
    <t>Below primary: 19%</t>
  </si>
  <si>
    <t>32.5</t>
  </si>
  <si>
    <t>53.8</t>
  </si>
  <si>
    <t>85</t>
  </si>
  <si>
    <t>Education and information (wait list for intervention)</t>
  </si>
  <si>
    <t>“The control arm dyads received only education and information regarding dementia and were then placed in a waiting list to receive the intervention after 6 months. They were free to utilize the existing health services during this time.”</t>
  </si>
  <si>
    <t>N/A</t>
  </si>
  <si>
    <t>SMD</t>
  </si>
  <si>
    <t>26</t>
  </si>
  <si>
    <t>6 months</t>
  </si>
  <si>
    <t>Home care program</t>
  </si>
  <si>
    <t>Training and education for carers</t>
  </si>
  <si>
    <t>Training and education for unpaid carers</t>
  </si>
  <si>
    <t>Below primary: 16%</t>
  </si>
  <si>
    <t>36.6</t>
  </si>
  <si>
    <t>53.2</t>
  </si>
  <si>
    <t>90.2</t>
  </si>
  <si>
    <t>Flexible home-care program tailored to needs of the individual with dementia and their family, delivered by a team of home care advisors, specialist doctor, and counsellor, over 6 months.</t>
  </si>
  <si>
    <t>“The intervention was delivered by a Community Team, one for each taluka. Each team comprised two full-time Home Care Advisors (HCA), and a part-time local psychiatrist from the public health services, and a part-time lay counselor (who was shared by both teams). The minimum requirements for being a HCA were knowledge of the local language, being literate, preferably passed higher secondary school, and motivated to be involved in the community care of older people. They received intensive training for a week through role play and interactive training methods. The HCA were trained in key skills including listening and counselling skills, bereavement counseling, stress management and health advice for common health problems. The specific components of the intervention carried out by the HCA were: Basic education about dementia (what is the disease, its course, its features etc); Education about common behaviour problems and how they can be managed; Support to the caregiver, for example for an elderly caregiver living alone with the patient, in activities of daily living; Referral to psychiatrists or the family doctor when behaviour problems are severe and warrant medication intervention; Networking of families to enable the formation of support groups; Advice regarding existing government schemes for elders. The HCA applied a flexible home-care program tailored to the needs of the individual and the family. The baseline information collected by the researchers was made available to the HCA before they initiated the intervention. The minimum frequency of visits was at least once a fortnight for six months. The maximum was based on the needs as assessed by the HCA. Thus, the visits could be more frequent depending on the need of that particular family.”</t>
  </si>
  <si>
    <t>-3.29</t>
  </si>
  <si>
    <t>33</t>
  </si>
  <si>
    <t>-6.78</t>
  </si>
  <si>
    <t>0.2</t>
  </si>
  <si>
    <t>Guerra 2011</t>
  </si>
  <si>
    <t>Intervention group</t>
  </si>
  <si>
    <t>Peru</t>
  </si>
  <si>
    <t xml:space="preserve">Intervention was carried out at the participant's home. </t>
  </si>
  <si>
    <t>Any severity stage</t>
  </si>
  <si>
    <t>55.5% completed secondary or more</t>
  </si>
  <si>
    <t>79.3</t>
  </si>
  <si>
    <t>53.3</t>
  </si>
  <si>
    <t>85.7</t>
  </si>
  <si>
    <t>10/66 caregiver intervention consisting of education and training in 5 weekly 30-minute sessions</t>
  </si>
  <si>
    <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t>
  </si>
  <si>
    <t>Caregiver distress</t>
  </si>
  <si>
    <t>NPI-Q</t>
  </si>
  <si>
    <t>-0.09</t>
  </si>
  <si>
    <t>27</t>
  </si>
  <si>
    <t>-0.64</t>
  </si>
  <si>
    <t>0.48</t>
  </si>
  <si>
    <t>Waiting list control group</t>
  </si>
  <si>
    <t>37.0% completed secondary or more; 2 missing values</t>
  </si>
  <si>
    <t>69.0</t>
  </si>
  <si>
    <t>47.6</t>
  </si>
  <si>
    <t>89.7</t>
  </si>
  <si>
    <t>Waiting list</t>
  </si>
  <si>
    <t>" caregivers of people with dementia that received the intervention six months later"</t>
  </si>
  <si>
    <t>29</t>
  </si>
  <si>
    <t>Caregiver environmental quality of life</t>
  </si>
  <si>
    <t>WHO-QoL-Bref</t>
  </si>
  <si>
    <t>-0.22</t>
  </si>
  <si>
    <t>-0.75</t>
  </si>
  <si>
    <t>0.3</t>
  </si>
  <si>
    <t>Caregiver physical quality of life</t>
  </si>
  <si>
    <t>0.49</t>
  </si>
  <si>
    <t>0</t>
  </si>
  <si>
    <t>0.99</t>
  </si>
  <si>
    <t>Caregiver psychological morbidity</t>
  </si>
  <si>
    <t>SRQ-20</t>
  </si>
  <si>
    <t>-0.66</t>
  </si>
  <si>
    <t>0.4</t>
  </si>
  <si>
    <t>0.1</t>
  </si>
  <si>
    <t>-0.47</t>
  </si>
  <si>
    <t>0.68</t>
  </si>
  <si>
    <t>-1.02</t>
  </si>
  <si>
    <t>-1.53</t>
  </si>
  <si>
    <t>-0.51</t>
  </si>
  <si>
    <t>Caregiver social quality of life</t>
  </si>
  <si>
    <t>0.39</t>
  </si>
  <si>
    <t>-0.15</t>
  </si>
  <si>
    <t>0.93</t>
  </si>
  <si>
    <t>Caregiver neuropsychiatric symptoms</t>
  </si>
  <si>
    <t>NPI-Q severity</t>
  </si>
  <si>
    <t>-0.1</t>
  </si>
  <si>
    <t>Patient quality of life</t>
  </si>
  <si>
    <t>DEMQOL</t>
  </si>
  <si>
    <t>0.32</t>
  </si>
  <si>
    <t>-0.84</t>
  </si>
  <si>
    <t>1.48</t>
  </si>
  <si>
    <t>JIANG 2012</t>
  </si>
  <si>
    <t>对照组</t>
  </si>
  <si>
    <t>China</t>
  </si>
  <si>
    <t xml:space="preserve">Hospital </t>
  </si>
  <si>
    <t>No</t>
  </si>
  <si>
    <t>MMSE</t>
  </si>
  <si>
    <t>18.52</t>
  </si>
  <si>
    <t>48</t>
  </si>
  <si>
    <t>3.4</t>
  </si>
  <si>
    <t>20.33</t>
  </si>
  <si>
    <t>3.49</t>
  </si>
  <si>
    <t>54.17</t>
  </si>
  <si>
    <t>Conventional therapy with Piracetam and Donepezil</t>
  </si>
  <si>
    <t>"按医嘱进行脑复康，多奈哌齐 等药物治疗，康复护理干预期间药物剂量不变。 "</t>
  </si>
  <si>
    <t>Multicomponent (Conventional therapy + Pharmaceutical)</t>
  </si>
  <si>
    <t>Patient cognitive function</t>
  </si>
  <si>
    <t>12 months</t>
  </si>
  <si>
    <t xml:space="preserve">研究组 </t>
  </si>
  <si>
    <t>Comprehensive care interventions</t>
  </si>
  <si>
    <t>Individual-based interventions</t>
  </si>
  <si>
    <t>18.309999999999999</t>
  </si>
  <si>
    <t>3.63</t>
  </si>
  <si>
    <t>22.08</t>
  </si>
  <si>
    <t>6.15</t>
  </si>
  <si>
    <t>58.33</t>
  </si>
  <si>
    <t>Conventional therapy with Piracetam and Donepezil + whole course rehabilitafion nursing intervention including cognitive intervention，memory intervention，behaviour intervention，psychological intervention，safety intervention，community family nursing intervention，etc</t>
  </si>
  <si>
    <t>"按医嘱进行脑复康，多奈哌齐 等药物治疗，康复护理干预期间药物剂量不变。 "研究组于入院第2天开始，根据本院编制的《老年痴呆全程康复护理规程》进行全程康复护理干预。 内容包括：①组织与管理：成立由专家、责任医生、责任护士、 护工组成的AD全程康复护理指导小组，小组成员负责制订 AD患者个性化全程康复护理计划，并负责组织实施。②健 康教育：针对AD患者的健康问题和照顾者对健康教育知识 的需求，每周进行相关老年性痴呆健康教育。③认知干预：干 预患者分析、综合、推理、判断和计算的能力，主要方法为3R 护理即Reminiscence(回忆往事)、Reality(现实定向)和 Remotivation(记忆再激发)。主要包括计算能力训练(如计算 家庭每月食品费、水电费、电话费、医疗费等开支，再算半年和 全年费用等)、数字排列训练(如扑克牌打乱后再让患者按顺 序排列等)、分类法训练(如给患者一张写有40种物品名称 的清单，让患者进行归类)等，每天训练三次。④记忆干预： 每天帮助患者记忆住所的环境、周围的人和物，最近进行的一 些活动等。⑤语言训练：要求患者叙述每天周围发生的事件、 家庭情况、新闻故事，让患者多交流，每天至少三次，防止出现 语言障碍。⑥行为干预：根据患者功能障碍情况，从13常生活 的穿衣、饮食、住房、用厕、出行等开始，并从患者的日常生活、 文体活动或一些轻的劳动过程中选出一些能使患者感兴趣并 有助于恢复功能和技能的活动，并按要求进行训练，帮助维持 或恢复功能。根据患者状况确定训练时间。⑦心理干预：每 天根据患者出现焦虑和抑郁等负性情绪的特点，采用安慰、鼓励、暗示以及听音乐、看幽默剧等方法对患者及照顾者进行心 理干预。同时鼓励患者与家人、亲友交往，从思想上、情感上 尽可能沟通，以减少患者的内心痛苦、孤独感、失望感、自罪自 责感。⑧用药指导：指导和督促患者按医嘱科学用药。⑨安 全干预：营造一个舒适、安全的住院环境及家居环境，防止出 现并发症和各种意外事故(如摔倒、骨折、走失、火灾、自杀自 残等)发生。⑩社区一家庭护理干预：患者在出院后，进行家庭 跟踪随访护理干预，每月为患者及照顾者进行讲课，每2周上 门随访1次，每周电话随访1次，了解患者的康复治疗情况， 提出相关指导意见。 "</t>
  </si>
  <si>
    <t>Multicomponent intervention (Conventional therapy +  non-pharmacological)</t>
  </si>
  <si>
    <t>Kamkhagi 2015</t>
  </si>
  <si>
    <t>Body awareness therapy (BAT)</t>
  </si>
  <si>
    <t>psychogeriatric clinic of a tertiary hospital in Brazil (Institute of Psychiatry, Faculty of Medicine, Uni-versity of Sao Paulo</t>
  </si>
  <si>
    <t>94% high school or higher</t>
  </si>
  <si>
    <t>55.7</t>
  </si>
  <si>
    <t>70</t>
  </si>
  <si>
    <t>Body Awareness Therapy once a week in a total of 14 group sessions of 90 minutes of duration each.</t>
  </si>
  <si>
    <t>"The facilitators of BAT sessions were a physical therapist and a psychologist." "The BAT intervention was designed according to the “Func-tional Symbolic Dynamics” methodology, created by Marcia Taques Bittencourt17, which has as a major goal to bring the patient to bodily self-awareness. This intervention started with a physical evaluation by the therapist and uses several physiotherapeutic backgrounds such as calatonia, eutonia, feldenkrais, relaxing, somatic experience, spontaneous movements and dance. Petho Sándor18 established in 1974 the basis for the utilization of soft touches in specific points, which uses the high potential of the skin sensitivity, promoting a multi-sensorial experience, physical and psychological rebalancing, and leading the recipients of the intervention to pay more attention to themselves. Body relaxation is considered a psychophysiological reconditioning method. In eutonia, through attention and self-observation, using auxiliary objects, the individual can get in contact with his/her internal rhythm. The sequence of Feldenkrais slow movements will explore the patterns and limits of the body. During the sessions, some tools were used to awaken new perceptions, such as: bed linen, clay, little balls and drawings."</t>
  </si>
  <si>
    <t>Non-pharmacological intervention</t>
  </si>
  <si>
    <t>48.9</t>
  </si>
  <si>
    <t>17</t>
  </si>
  <si>
    <t>15.1</t>
  </si>
  <si>
    <t>37.1</t>
  </si>
  <si>
    <t>9.8</t>
  </si>
  <si>
    <t>Psychodynamic group therapy (PGT)</t>
  </si>
  <si>
    <t>85% high school or higher</t>
  </si>
  <si>
    <t>62.1</t>
  </si>
  <si>
    <t>75</t>
  </si>
  <si>
    <t>Psychodynamic group therapy once a week in a total of 14 group sessions of 90 minutes of duration each.</t>
  </si>
  <si>
    <t>"In the PGT group, several aspects of the caregiver roles were dealt with through the intervention program, reinforcing their resilience abilities. The most frequent aspects, usually raised spontaneously by participants (otherwise prompted by facilitators) were: loneliness and helplessness associated with the caregiver’s role, occurrence of family conflicts, and changing roles within the family dynamics. Participants were encouraged by the facilitators to get in contact with their feelings of sadness, frustration, anger and guilt, and to further name and elaborate the feelings they experience when dealing with these situations. In the first moment, the participants were asked to think about their previous relationship with the patient under their care, as it used to be before the onset of dementia, and then to update this notion to the present reality, thus enabling the elaboration of new ways to maintain an affectionate caring relationship with their relative. In a second moment, facilitators of the PGT group worked on other roles that the caregiver used to play in the family dynam-ics before the onset of the illness, and the necessary adaptations to the present time, particularly due to the necessity of performing unwanted roles and having to abandon (or at least cutback) the engagement in other competing roles. Some effort is dedicated by fa-cilitators to establish and reinforce empathy with the difficulties faced by the subject, discussing strategies to better cope with the various sources of burden of care. Towards the completion of the program, facilitators discuss the lack of recognition of the caregiver’s efforts by other family members and encourage participants to nominate their perceived and unattended rights; this “caregiver declaration of rights” usually warrants them a place of existence and gratefulness for their feelings and concerns."</t>
  </si>
  <si>
    <t>35.3</t>
  </si>
  <si>
    <t>20</t>
  </si>
  <si>
    <t>12.8</t>
  </si>
  <si>
    <t>24.0</t>
  </si>
  <si>
    <t>7.7</t>
  </si>
  <si>
    <t>Lin 2017</t>
  </si>
  <si>
    <t xml:space="preserve"> Nursing intervention </t>
  </si>
  <si>
    <t xml:space="preserve">urban, community </t>
  </si>
  <si>
    <t>66.54</t>
  </si>
  <si>
    <t>66.67</t>
  </si>
  <si>
    <t>25.64</t>
  </si>
  <si>
    <t>"Nursing intervention according to the community nurse family visit program set up in this study, including the caregiver training, issued “dementia caregivers manual’’ and telephone follow—up for period of 3 months"</t>
  </si>
  <si>
    <t xml:space="preserve">"1．2．1．1方案制定及社区护士培训 研究者在文献 查阅基础上形成初稿，经4位精神科及老年科护理领 域专家论证后，最终形成《社区失智老人居家照顾者照 护技能培训方案》及《失智症照顾者手册》。社区护士 失智症管理培训以学习讲座形式进行，由4位失智症 护理及老年护理领域专家授课，内容主要包括：①家庭 访视的方法和技巧；②认识失智症；③失智症的家庭护 理；④失智症日常康复训练；⑤照顾者自我照顾及社区 资源支持；⑥常规护理实践指导；⑦失智症日常生活照 顾实践指导等。采用体验式学习法，以情景模拟体验、 案例分析分享、小组讨论交流等多种方式进行，由授课 专家对培训护士进行理论及实践操作考核。共计5次 课程，每次3 h～4 h。 1．2．1．2人员分配及家庭访视 根据社区医护人员 课程培训结果，对培训合格的社区护士进行人员分配 及职责划分，每名护士负责3例～4例失智老人居家 照顾者的家庭访视，每2周进行1次集中讨论，讨论本 组内失智老人及其照顾者的现况并实时更新记录，如 遇不能解决的照顾问题，及时向专家求助。家庭访视 每周1次，每次1．5 h～2．0 h，具体工作可进行个体化 调整，注重理论学习与实际生活的联系，所有内容都要
针对照顾者家庭的实际情况由社区护士进行一对一指 导。首次家庭访视时主动进行自我介绍，获得照顾者 的信任和许可后，发放《失智症照顾者手册》及用以预 防失智老人走失的“黄手环”，评估失智老人的基本情 况(病人病情、日常生活能力等)及照顾者需求(疾病知 识、协助病人日常活动、环境安全设施设置等)等问题 并记录，结合手册进行失智症疾病基础知识的指导，使 照顾者意识到失智症并非是正常老化所造成的，是需 要治疗和护理的，让照顾者对失智症有一定的了解。 第2次结合“日常生活照顾指导”主题，按照家庭访视 常规流程进行，以手册为基础对照顾者进行饮食、口腔 卫生、排泄、洗澡穿衣及睡眠休息等内容的指导，如何 为失智老人提供营养丰富的三餐，运用定时如厕等方 法避免失智老人弄脏衣裤等。第3次进行“安全护理” 及“康复技能”指导，如何预防与应对异常行为、定向力 及记忆力训练等内容，引导失智老人浏览老照片、讲述 老故事以延缓记忆衰退等。第4次进行“照顾者自我 照顾”及“社区医疗资源利用”指导，引导照顾者接纳病 人，进行自我心理调适；合理安排时间，多参与健身及 娱乐活动以丰富生活，同时减轻照顾压力；多与家庭成 员交流，勇于表达自己的难处，接受外界的帮助，建立 有效的家庭支持系统；合理接纳和利用来自社区医疗 机构及心理援助组织的相关医疗支持；了解日间照护中心、“护老者之家”、喘息服务等政府养老服务资源并 学会根据自己的实际情况做出最佳的医疗服务决策。 在进行理论学习的同时，根据被访家庭的具体情况，由 社区护士为其提供个性化的支持和指导，注重与照顾 者的交流，利用倾听、共情、肢体接触等方式为照顾者 提供心理及情感支持，允许照顾者通过抱怨、哭泣等方 式进行不良情绪的发泄；将社区养老服务机构的宣传 资料发给照顾者，详细介绍社区资源的使用条件及方 法，同照顾者一起根据失智老人的健康状况及家庭条 件选择最佳的养老服务；陪照顾者检视家庭环境，排除 存在跌倒风险的居家陈设，减少青团、糕团等易诱发噎 食的食物，引导照顾者积极对待照顾活动，将所学知识 真正融人实际生活。 1．2．1．3 电话随访 家庭访视结束后，每周1次电话 随访照顾者，通过与照顾者电话沟通了解仍未解决的 问题，并予以指导，根据情况可以安排再次进行人户。 第2个月开始每两周进行1次电话随访，直至干预 结束。 "
</t>
  </si>
  <si>
    <t>Unspecified</t>
  </si>
  <si>
    <t>16.10</t>
  </si>
  <si>
    <t>33.64</t>
  </si>
  <si>
    <t>15.49</t>
  </si>
  <si>
    <t>3 months</t>
  </si>
  <si>
    <t>Routine community management (control)</t>
  </si>
  <si>
    <t>62.79</t>
  </si>
  <si>
    <t>56.41</t>
  </si>
  <si>
    <t>28.21</t>
  </si>
  <si>
    <t>Routine community management</t>
  </si>
  <si>
    <t>"接受常规社区卫生服务，依照社区精 神类疾病护理管理常规进行，照顾者根据失智老人病 情变化可随时根据需要前往社区卫生服务中心等医疗 单位就诊。 "</t>
  </si>
  <si>
    <t>community management</t>
  </si>
  <si>
    <t>9.18</t>
  </si>
  <si>
    <t>58.26</t>
  </si>
  <si>
    <t>10.60</t>
  </si>
  <si>
    <t>Quality of life</t>
  </si>
  <si>
    <t>7.83</t>
  </si>
  <si>
    <t>55.04</t>
  </si>
  <si>
    <t>5.88</t>
  </si>
  <si>
    <t>4.20</t>
  </si>
  <si>
    <t>46.77</t>
  </si>
  <si>
    <t>4.00</t>
  </si>
  <si>
    <t>Lök 2017</t>
  </si>
  <si>
    <t>"First You Should Get Stronger" caregiving programme</t>
  </si>
  <si>
    <t>Turkey</t>
  </si>
  <si>
    <t>Erenköy - a rural village (population circa 1500) in Turkey. Intervention delivered at carers homes</t>
  </si>
  <si>
    <t>Not specified</t>
  </si>
  <si>
    <t>45.0</t>
  </si>
  <si>
    <t>52.97</t>
  </si>
  <si>
    <t>70.0</t>
  </si>
  <si>
    <t>7 session home delivered bespoke caregiver information programme focused on for strengthening the caregiver, decreasing the caregiving burden and developing healthy life style behaviours</t>
  </si>
  <si>
    <t>"Visits were carried
out by the researcher once every week with each session lasting
45 min. [...] The content of the program was designed in accordance with
the relevant literature before the study was implemented entia
(Alves, Teixeira, Azevedo, Duarte, &amp; Paúl, 2015; Arango-Lasprilla
et al., 2014; Ducharme et al., 2015; Hou et al., 2013; Pinquar and
Sörensen, 2006). We sought expert opinions from four faculty
members in the psychiatric nursing department (1), public health
nursing department (2), internal medical nursing department(1)
who were specialized in working with the families of patients with
dementia. Final revisions were made in the program in accordance
with the opinions of experts. The program consists of seven
sessions for strengthening the caregiver, decreasing the caregiving
burden and developing healthy life style behaviors (Table 1). [...] Session 1 Introduction, learning about dementia and the
individual for whom care is given
Session 2 Communication with individuals with dementia
(caregiving without being derogatory)
Session 3 Defining the difficulties experienced by the
individual with dementia
Session 4 Carrying out the systematics of daily works
Session 5 Determining social support systems
Session 6 Carrying out activities for enhancing and developing
the health of the caregiver
Session 7 General evaluation and closure"</t>
  </si>
  <si>
    <t>78.3</t>
  </si>
  <si>
    <t>4.46</t>
  </si>
  <si>
    <t>67.099999999999994</t>
  </si>
  <si>
    <t>7.18</t>
  </si>
  <si>
    <t>7 weeks</t>
  </si>
  <si>
    <t>51.76</t>
  </si>
  <si>
    <t>65.0</t>
  </si>
  <si>
    <t>Appears to be no intervention</t>
  </si>
  <si>
    <t>78.45</t>
  </si>
  <si>
    <t>3.26</t>
  </si>
  <si>
    <t>3.79</t>
  </si>
  <si>
    <t>Mahdavi 2017</t>
  </si>
  <si>
    <t>Control 1</t>
  </si>
  <si>
    <t>Iran</t>
  </si>
  <si>
    <t>Family caregivers of the elderly with Alzheimer's disease registered in Iran Alzheimer's Association in 2014</t>
  </si>
  <si>
    <t>Group sessions without spiritual therapy, 45-60 minutes for 5 weeks</t>
  </si>
  <si>
    <t>"Five, 45 to 60 minute weekly sessions were held for control group one. In these sessions caregivers were meet each other in groups, with-out performing any particular interventions, and daily issues were discussed"</t>
  </si>
  <si>
    <t xml:space="preserve">Intervention for carers </t>
  </si>
  <si>
    <t>Change from baseline (within group)</t>
  </si>
  <si>
    <t>36.75</t>
  </si>
  <si>
    <t>1.35</t>
  </si>
  <si>
    <t>36.64</t>
  </si>
  <si>
    <t>1.28</t>
  </si>
  <si>
    <t>Control 2</t>
  </si>
  <si>
    <t>"Control group two received no interventions, or even the chance of meeting the caregivers in the group"</t>
  </si>
  <si>
    <t>37.58</t>
  </si>
  <si>
    <t>1.64</t>
  </si>
  <si>
    <t>37.19</t>
  </si>
  <si>
    <t>1.53</t>
  </si>
  <si>
    <t xml:space="preserve">Intervention </t>
  </si>
  <si>
    <t>Spiritual group therapy 45-60 minutes for 5 weeks</t>
  </si>
  <si>
    <t>Spiritual group therapy was held weekly
for
five weeks and each session lasted 45 to 60 min. Subjects presented
included: Introduction and formation of group solidarity in session one,
The role of reciting the Quran in personal peace in session two, The role
of recommended recitals and repeat them in personal peace in session
three, The role of reciting prayers in personal peace in session four
and Explaining the experience of spiritual care and its effects, preparing members to leave the group and take advantage of the group's achieve-
ments in session
fi
ve.</t>
  </si>
  <si>
    <t>37.159999999999997</t>
  </si>
  <si>
    <t>1.26</t>
  </si>
  <si>
    <t>32.43</t>
  </si>
  <si>
    <t>2.73</t>
  </si>
  <si>
    <t>Change from baseline (between group)</t>
  </si>
  <si>
    <t>Mercedeh 2014</t>
  </si>
  <si>
    <t>Controlled group</t>
  </si>
  <si>
    <t>Precise setting not stated but members of an Alzheimers Association and took place in urban Tehran.</t>
  </si>
  <si>
    <t>100%</t>
  </si>
  <si>
    <t>25.3</t>
  </si>
  <si>
    <t>10</t>
  </si>
  <si>
    <t>7.33</t>
  </si>
  <si>
    <t>44.7</t>
  </si>
  <si>
    <t>13.71</t>
  </si>
  <si>
    <t>Experimental group</t>
  </si>
  <si>
    <t>31.6</t>
  </si>
  <si>
    <t>16.36</t>
  </si>
  <si>
    <t>24</t>
  </si>
  <si>
    <t>14.25</t>
  </si>
  <si>
    <t>Caregiver depression</t>
  </si>
  <si>
    <t>12.7</t>
  </si>
  <si>
    <t>4.57</t>
  </si>
  <si>
    <t>19.399999999999999</t>
  </si>
  <si>
    <t>9.2100000000000009</t>
  </si>
  <si>
    <t>6.16</t>
  </si>
  <si>
    <t>6.7</t>
  </si>
  <si>
    <t>2.54</t>
  </si>
  <si>
    <t>47.61</t>
  </si>
  <si>
    <t>18.32</t>
  </si>
  <si>
    <t>37.57</t>
  </si>
  <si>
    <t>58.01</t>
  </si>
  <si>
    <t>24.01</t>
  </si>
  <si>
    <t>70.98</t>
  </si>
  <si>
    <t>11.11</t>
  </si>
  <si>
    <t>Orawan 2018</t>
  </si>
  <si>
    <t>Enhancing positive aspects of caregiving program (EPACP)</t>
  </si>
  <si>
    <t>Thailand</t>
  </si>
  <si>
    <t>participants were recruited from three secondary medical care hospitals in the central part of Thailand.</t>
  </si>
  <si>
    <t>55.11</t>
  </si>
  <si>
    <t>83.3</t>
  </si>
  <si>
    <t>EPACP plus usual care. The program consistedof six groups sessions and one individual session</t>
  </si>
  <si>
    <t>" The
EPACP was developed based on the Kramer’s twofactor adaptation model4 and designed to increase
caregiving self-efficacy, spirituality, social support,
and maintain positive caregiving experiences for
family caregiver of the person with dementia. Strategies
used included information provision and skill training;
exploring spirituality; finding positive events in their
lives; mindfulness practice; positive reappraisal
activities; and goal setting practice all conducted through
group discussions and training. Individual counseling
was also given. A dementia caregiving booklet, role
model, and video were also used. The program consisted
of six groups sessions and one individual session. Three
groups of 15 family members met once a week, for 2
hours over 6 weeks. At week 7, the PI offered the
individual sessions (see details in Table 1)."</t>
  </si>
  <si>
    <t>44.08</t>
  </si>
  <si>
    <t>36</t>
  </si>
  <si>
    <t>1.1299999999999999</t>
  </si>
  <si>
    <t>43.27</t>
  </si>
  <si>
    <t>2.4700000000000002</t>
  </si>
  <si>
    <t>12 weeks</t>
  </si>
  <si>
    <t>Usual care (Control Group)</t>
  </si>
  <si>
    <t>55.66</t>
  </si>
  <si>
    <t>72.2</t>
  </si>
  <si>
    <t>Usual care which included health education or suggestions fromnurses and other professionals at psychiatric clinicsof hospital or at home.</t>
  </si>
  <si>
    <t>"For the
control group, participants received only usual care
which included health education or suggestions from
nurses and other professionals at psychiatric clinics
of hospital or at home. "</t>
  </si>
  <si>
    <t>37.75</t>
  </si>
  <si>
    <t>3.86</t>
  </si>
  <si>
    <t>37.36</t>
  </si>
  <si>
    <t>5.89</t>
  </si>
  <si>
    <t>42.58</t>
  </si>
  <si>
    <t>3.2</t>
  </si>
  <si>
    <t>39.19</t>
  </si>
  <si>
    <t>4.5199999999999996</t>
  </si>
  <si>
    <t>20 weeks</t>
  </si>
  <si>
    <t>Subjective well-being</t>
  </si>
  <si>
    <t>79.44</t>
  </si>
  <si>
    <t>11.19</t>
  </si>
  <si>
    <t>98.61</t>
  </si>
  <si>
    <t>10.8</t>
  </si>
  <si>
    <t>79.77</t>
  </si>
  <si>
    <t>11.02</t>
  </si>
  <si>
    <t>100.11</t>
  </si>
  <si>
    <t>10.49</t>
  </si>
  <si>
    <t>98.91</t>
  </si>
  <si>
    <t>10.050000000000001</t>
  </si>
  <si>
    <t>99.8</t>
  </si>
  <si>
    <t>11.25</t>
  </si>
  <si>
    <t>100.27</t>
  </si>
  <si>
    <t>9.56</t>
  </si>
  <si>
    <t>11.23</t>
  </si>
  <si>
    <t>Pahlavanzadeh 2010</t>
  </si>
  <si>
    <t>Modares Psychiatric Hospital and Shariati Psychiatric clinic in the city of Isfahan, which are the centers for elderly with dementia</t>
  </si>
  <si>
    <t>Illiterate: 16%; Primary school: 68%; Guidance school: 8%; High school diploma: 8%; Higher education: 0%</t>
  </si>
  <si>
    <t>56</t>
  </si>
  <si>
    <t>46.56</t>
  </si>
  <si>
    <t>68</t>
  </si>
  <si>
    <t>No details</t>
  </si>
  <si>
    <t>43.28</t>
  </si>
  <si>
    <t>25</t>
  </si>
  <si>
    <t>13.08</t>
  </si>
  <si>
    <t>46.8</t>
  </si>
  <si>
    <t>3.13</t>
  </si>
  <si>
    <t>Family education program</t>
  </si>
  <si>
    <t>Illiterate: 48%; Primary school: 32%; Guidance school: 4%; High school diploma: 16%; Higher education: 0%</t>
  </si>
  <si>
    <t>44</t>
  </si>
  <si>
    <t>42.88</t>
  </si>
  <si>
    <t>84</t>
  </si>
  <si>
    <t>Family education programme for caregivers; 5 weekly group sessions for 90 minutes each, plus recordings on CD</t>
  </si>
  <si>
    <t>"Caregivers of the case group attended family educational program after signing a consent form. Patients and controls were not present in this program. The content of the program was based on an educational pamphlet prepared and edited by the researchers through reading books and articles. The content was approved by 10 psychiatrists, neurologist and faculty members of the School of Nursing and Midwifery of Isfahan University of Medical Sciences. This program included 5 weekly sessions22 using lecturing, group discussions (10-15 members in groups), and question and answer as table 1 presents. The duration of each session was 90 minutes23 and the place was Noor Hospital in Isfahan. This program was conducted under the supervision of the first researcher who has several years of experience as a university lecturer and patients and their families’ educator and also has a master degree in psychiatry. Meanwhile, CDs of all the sessions were provided to caregivers of the case group."</t>
  </si>
  <si>
    <t>Intervention for caregivers</t>
  </si>
  <si>
    <t>42</t>
  </si>
  <si>
    <t>65.17</t>
  </si>
  <si>
    <t>44.35</t>
  </si>
  <si>
    <t>65.150000000000006</t>
  </si>
  <si>
    <t>64.5</t>
  </si>
  <si>
    <t>25.13</t>
  </si>
  <si>
    <t>1 month post treatment</t>
  </si>
  <si>
    <t>56.33</t>
  </si>
  <si>
    <t>54.14</t>
  </si>
  <si>
    <t>Salamizadeh 2017</t>
  </si>
  <si>
    <t>City of Rafsanjan (Iran). Participants (family caregivers) were recruited from private neurologists' offices.</t>
  </si>
  <si>
    <t>50.57</t>
  </si>
  <si>
    <t>89.3</t>
  </si>
  <si>
    <t>Housewife: 78.6%; Other: 21.4%</t>
  </si>
  <si>
    <t>"Patients in the control group received no education about spirituality."</t>
  </si>
  <si>
    <t>Caregiver self-efficacy</t>
  </si>
  <si>
    <t>28.39</t>
  </si>
  <si>
    <t>28</t>
  </si>
  <si>
    <t>6.41</t>
  </si>
  <si>
    <t>27.85</t>
  </si>
  <si>
    <t>5.98</t>
  </si>
  <si>
    <t>Spiritual care education (intervention)</t>
  </si>
  <si>
    <t>47.38</t>
  </si>
  <si>
    <t>80.8</t>
  </si>
  <si>
    <t>Housewife: 61.5%; Other: 38.5%</t>
  </si>
  <si>
    <t>Spiritual care education sessions, 1x per week for 5 weeks</t>
  </si>
  <si>
    <t>"The  intervention  included  five  SC educational  sessions  held  weekly  for  five consecutive weeks. The length of each session ranged from 45 to 60 minutes. All sessions wereheld by the first author. The educational package had already been developed by Reyhani et al.32It includes topics such as reliance on God, seekinghelp from holy people, patience, generosity, altruism, mantra, and prayer. This package has been approved by clergies and university instructors. In sessions one to five, we explained  the roles of reliance on God, seeking help from holy people, patience,generosity, and mantra and prayer in maintaining or regaining the inner peace."</t>
  </si>
  <si>
    <t>29.8</t>
  </si>
  <si>
    <t>4.8</t>
  </si>
  <si>
    <t>32.729999999999997</t>
  </si>
  <si>
    <t>4.75</t>
  </si>
  <si>
    <t>Shata 2017</t>
  </si>
  <si>
    <t>Control (No intervention)</t>
  </si>
  <si>
    <t>Egypt</t>
  </si>
  <si>
    <t>Psychogeriatric out‑patient clinic of Al‑Maamoura Psychiatric Hospital. Alexandria (urban setting)</t>
  </si>
  <si>
    <t>47.97</t>
  </si>
  <si>
    <t>69.5</t>
  </si>
  <si>
    <t>50</t>
  </si>
  <si>
    <t>59</t>
  </si>
  <si>
    <t>12.6</t>
  </si>
  <si>
    <t>0.74</t>
  </si>
  <si>
    <t>0.84</t>
  </si>
  <si>
    <t>3 month follow-up</t>
  </si>
  <si>
    <t>Group psychosocial intervention programme</t>
  </si>
  <si>
    <t>49.35</t>
  </si>
  <si>
    <t>61.8</t>
  </si>
  <si>
    <t>8 week multi-component group psychosocial programme</t>
  </si>
  <si>
    <t>8 week multi-component group psychosocial programme. "Short‑term goalsincluded (1) improving caregivers’ knowledge aboutdementia, (2) helping caregivers to identify differentproblematic behaviors of care recipients and differentstrategies to handle such behaviors, and (3) providingsocial support for caregivers. Long‑term goals incorporated(1) acquiring the skills of handling problematic behaviors ofcare recipients, (2) enhancing caregivers’ skills and strategiesfor managing the burden of care, and (3) improvingcaregivers’ emotional status through acquiring skills ofcoping and stress management.  The program included three components: grouppsychoeducation (two sessions), brief group CBT(six sessions), and group support sessions that wereheld throughout the program covering topics similar topsychoeducation/CBT topics as illustrated in Table 1. Eachsession took 45–60 min. Training was conducted througha collaborative approach using illustrations, vignettes, roleplaying, brainstorming, group discussion, and audio‑visualaids. Different methods were used to achieve differentobjectives of the program. An intervention protocol withall details covering the above‑mentioned sessions wasprepared based on caregivers’ needs reported by them inthe early assessment phase, and on reviewing literaturefor other programs directed to caregivers’ of people withNCDs, worldwide. Culturally sensitive sessions weredesigned taking into consideration the characteristics ofparticipants. The program was implemented by the principalinvestigator (second author)."</t>
  </si>
  <si>
    <t>52.1</t>
  </si>
  <si>
    <t>55</t>
  </si>
  <si>
    <t>0.15</t>
  </si>
  <si>
    <t>-17.36</t>
  </si>
  <si>
    <t>8.34</t>
  </si>
  <si>
    <t>Söylemez 2016</t>
  </si>
  <si>
    <t>Progressively Lowered Stress Threshold-based intervention</t>
  </si>
  <si>
    <t xml:space="preserve">Western Turkey, home based. Patient lists were obtained from dementia outpatient clinics at one university hospital and the office of the Alzheimer’s Association in Izmir. </t>
  </si>
  <si>
    <t>Mild</t>
  </si>
  <si>
    <t>Primary school: 69%; High school: 14%; University: 17%</t>
  </si>
  <si>
    <t>63</t>
  </si>
  <si>
    <t>61.2</t>
  </si>
  <si>
    <t>74</t>
  </si>
  <si>
    <t>Progressively Lowered Stress Threshold-based intervention for 3 months</t>
  </si>
  <si>
    <t xml:space="preserve">"The PLST model (Hall &amp; Buckwalter, 1987) provides the foundation for a psychoeduca-tional intervention that assists formal and informal caregivers in understanding behaviors and plan-ning care for individuals with de-mentia. It has been tested widely since 1988. The model can be eas-ily understood by professional and non-professional caregivers and allows for flexible modification of the care plan based on individuals’ changing needs. The PLST model is a conceptual framework that organizes symp-toms, suggests causes of challenging behaviors, and teaches caregivers methods of modifying the envi-ronment to eliminate or minimize behavioral symptoms. The rea-sons for, or triggers of, symptoms can usually be modified in any setting, resulting in a decrease in behaviors distressing to caregiv-ers and individuals with dementia. The PLST model should empower caregivers by helping them pre-vent and manage the most difficult behaviors in Alzheimer’s disease. 
 [...] Interventions were conduct-ed at patients’ homes in their usual environment. Individuals with de-mentia and their caregivers in the experimental group were seen four times in a 6-month period. Each session lasted at least 1 hour. The intervention phase lasted 3 months. [...] The first home visit focused on understanding the behaviors of the individuals with dementia, how caregivers coped with these behav-iors, and difficulties experienced by caregivers. After 2 weeks, during the second home visit for caregivers in the experimental group, the PLST-based intervention was pro-vided and demonstrated. At the third home visit 2 months later, the care plan was reviewed, more techniques were taught, and writ-ten materials summarizing the care plan were provided. After the third home visit, follow-up telephone calls were made every 2 weeks. Ex-perimental group members also re-ceived a caregiver booklet prepared by the authors that contained a variety of educational and support materials, such as general informa-tion about the disease, common problems (e.g., sleep disturbances), how to administer medications, bathing, toileting, physical activi-ties, nutrition, and communication, as well as recommended reading for family members caring for individ-uals with dementia." </t>
  </si>
  <si>
    <t>Caregiver burden inventory</t>
  </si>
  <si>
    <t>38.020000000000003</t>
  </si>
  <si>
    <t>35</t>
  </si>
  <si>
    <t>21.49</t>
  </si>
  <si>
    <t>34.71</t>
  </si>
  <si>
    <t>18.82</t>
  </si>
  <si>
    <t>6 months (3 months post-intervention)</t>
  </si>
  <si>
    <t>Routine care (control)</t>
  </si>
  <si>
    <t>Primary school: 49%; High school: 34%; University: 17%</t>
  </si>
  <si>
    <t>54</t>
  </si>
  <si>
    <t>62.28</t>
  </si>
  <si>
    <t>71</t>
  </si>
  <si>
    <t>Routine care</t>
  </si>
  <si>
    <t>"Comparison group members received routine care. In the routine care program, following diagnosis, caregivers were informed about the disease by physicians and given leaflets. When caregivers came to the outpatient visit with the pa-tients, they had an opportunity to ask physicians questions. Fre-quency of outpatient visits varied between every 6 months and once per year. Participants in the com-parison group were seen four times in a 6-month period at their home. Each session lasted approximately 1 hour. The first home visit fo-cused on a review of the study aims and protocols, obtaining informed consent, and data collection. After 2 weeks, during the second home visit for caregivers in the compari-son group, general information about care of individuals with de-mentia was presented and updated leaflets were provided. At the third home visit 2 months later, data were collected. At the last home visit 3 months later, data were again collected. After the study was completed, participants in the comparison group were provided with the experimental group pro-tocols."</t>
  </si>
  <si>
    <t>31.19</t>
  </si>
  <si>
    <t>16.54</t>
  </si>
  <si>
    <t>35.659999999999997</t>
  </si>
  <si>
    <t>17.07</t>
  </si>
  <si>
    <t>Caregiver quality of life</t>
  </si>
  <si>
    <t>86</t>
  </si>
  <si>
    <t>9.15</t>
  </si>
  <si>
    <t>88.51</t>
  </si>
  <si>
    <t>8.2799999999999994</t>
  </si>
  <si>
    <t>87.2</t>
  </si>
  <si>
    <t>5.69</t>
  </si>
  <si>
    <t>85.23</t>
  </si>
  <si>
    <t>5.68</t>
  </si>
  <si>
    <t>SU 2012</t>
  </si>
  <si>
    <t>Comprehensive nursing intervention</t>
  </si>
  <si>
    <t xml:space="preserve">No info. </t>
  </si>
  <si>
    <t>18.36</t>
  </si>
  <si>
    <t>3.19</t>
  </si>
  <si>
    <t xml:space="preserve">9 primary school ,9 middle school and 2 bachelor degree </t>
  </si>
  <si>
    <t>Psychological care, emotional care cognitive care, daily care, home safety  and care after the discharge from hospital for 14 days</t>
  </si>
  <si>
    <t xml:space="preserve">"1.2.1 心理护理 鼓励家属多陪伴患者,加强与患者的交流, 可一起参加社会或家庭活动D 尊重患者,以诚恳的态度对待患 者,鼓励患者战胜疾病,以增强患者信心D 针对患者不同病情, 有计划地与患者交谈,消除患者的顾虑,培养乐观情绪,使患者 以较好的心理状态配合治疗D 1.2.2 情感护理 针对患者焦虑情绪,在护理时应保持病房环 境的舒适性,在适当的时间放一些轻松愉悦的音乐:针对患者抑 郁倾述,应耐心倾听患者的倾述,不强迫患者做不愿意的事,以 鼓励为主,引导患者进行适当的运动,如散步等:针对易激动情 绪,应积极分析原因,安慰患者,避免语言刺激,鼓励患者做锻 炼,以放松心情:针对淡漠情绪,可增加病房内物品摆放,比如患 者感兴趣的物品,鼓励患者加强与他人的交流D 1.2.3 认知护理 对记忆的训练:念一串数字,让患者复述,逐 渐增加难度,增强患者的瞬时记忆:让患者看数件物品后数分 钟,让患者回忆刚刚所看到的物品,以增强短时记忆D 对定向力 的训练:开始让患者记忆一些特别的日期~时间等,如生日~节 日,让患者尝试记忆亲人~护士~医生的姓名:对回忆的训练:让 患者看对其意义较大的物品,使患者回忆往事:对分析能力的训 练:让患者对物品进行分类:对口语的训练:给患者讲述一段故 事,让患者回答一些简单的问题,或者简单概括故事的情节D 1.2.4 生活护理 给予患者自我照顾的机会,对患者进行生活 能力训练,如洗漱~穿脱衣~进餐等,鼓励患者尽量自理,如完全 不能自理,设专人护理,注意翻身拍背,按摩等,防止褥疮~感染等并发症D 对药物的发放,应按时按顿,指导患者将药物全部服 下,对有幻觉的患者,应耐心劝说,详细解释D 患者认知障碍严 重时,常出现白天休息,夜间吵闹,应保持夜间病房安静,入睡前 可予温水泡脚,对伴有严重睡眠障碍者,应给予药物帮助入睡D 1.2.5 安全护理 增强病房的安全性和舒适性,对有空间~时 间定向力障碍的患者,要求有专人陪护,防止走失D 对有行动不 便的患者,增加相应的设施,如座便器~扶手等D 1.2.6 出院健康指导 老年痴呆尚无有效的治疗,以预防为 主,关键是早发现~早治疗,延缓大脑细胞更加广泛和不可逆转 的退变,以控制病情的进展,防止并发症的发生,延长生命,提高 生活质量D 护理人员对患者和家属进行相关知识培训,提高主 动性,调动积极性,共同完成护理计划D 鼓励患者家属出院后多 陪伴患者,如散步~聊天,或参加一些学习和力所能及的社会家 庭活动D 给予多方面的帮助,使其消除孤独寂寞感,感受家庭的 温馨和生活的快乐D 嘱家属保持联系,指导家属参与家庭护理, 定时电话或者上门指导患者家属护理的技巧和质疑事项"
</t>
  </si>
  <si>
    <t>Multicomponent (心理护理, 情感护理, 认知护理,  生活护理, 安全护理, 出院健康指导)</t>
  </si>
  <si>
    <t>19.579999999999998</t>
  </si>
  <si>
    <t>4.2</t>
  </si>
  <si>
    <t>3.67</t>
  </si>
  <si>
    <t xml:space="preserve">7 primary school ,10 middle school and 3 bachelor degree </t>
  </si>
  <si>
    <t>Routine caring for 14 days (Control)</t>
  </si>
  <si>
    <t>常规护理</t>
  </si>
  <si>
    <t>Routine caring</t>
  </si>
  <si>
    <t>18.559999999999999</t>
  </si>
  <si>
    <t>19.329999999999998</t>
  </si>
  <si>
    <t>4.1500000000000004</t>
  </si>
  <si>
    <t>SUN 2010</t>
  </si>
  <si>
    <t>control group</t>
  </si>
  <si>
    <t>Nursing College of Guangdong Medical College Hospital</t>
  </si>
  <si>
    <t>"平均受教育年限6.1年"</t>
  </si>
  <si>
    <t>52.63</t>
  </si>
  <si>
    <t>The control group received routine discharge guidance. No intervention was administered after discharge.</t>
  </si>
  <si>
    <t>"对照组进行常规出院指导，出院后不施加任何干预。"</t>
  </si>
  <si>
    <t xml:space="preserve">no treatment </t>
  </si>
  <si>
    <t>SF36</t>
  </si>
  <si>
    <t>450.1</t>
  </si>
  <si>
    <t>19</t>
  </si>
  <si>
    <t>151</t>
  </si>
  <si>
    <t>405.1</t>
  </si>
  <si>
    <t>146.4</t>
  </si>
  <si>
    <t>12 months post-intervention</t>
  </si>
  <si>
    <t>treatment group</t>
  </si>
  <si>
    <t>"平均受教育年限6.3年"</t>
  </si>
  <si>
    <t>47.37</t>
  </si>
  <si>
    <t>The experimental group received one-year nursing intervention on the basis of routine discharge guidance.</t>
  </si>
  <si>
    <t>"试验组除常规出院指导外，护士每周电话访问1次；每2周安排1次免费门诊护理咨询；每4周进行1次家访；每3个月举办AD病人及家属座谈会1次。干预时间为1年。干预内容包括：①对病人家属进行AD疾病及护理知识的宣教，并根据
AD病人及家属常见的护理问题编写“老年性痴呆病人健康须知”。②家居安全护理指导。针对AD病人常见的误吸、误服、跌倒、失走、热伤等居家安全问题对病人和家属进行指导，以减轻居家安全问题的发生率。③心理护理及情感支持。运用支持性心理护理技术，如倾听、解释、保证、指导和建议、疏泄、鼓励、促进自助。具体内容主要是耐心倾听病人和家属提出的问题，了解病人的个性特点，有针对性地对病人及其家属进行心理护理，同时根据病人的心理特征，采用安慰、鼓励、暗示等方法予以开导I调动家庭照顾者的真诚，给予病人充分的关注和理解。使病人感受到家庭的温暖，减轻其心理压力；鼓励病人参加一些力所能及的家庭、社会活动，如种花、养鱼、画画等以分散病人的注意力和避免不良情绪产生，使其感受到生活的乐趣和自身的存在价值。④康复训练指导。日常生活能力训练，如做饭、进食、穿衣、洗刷，沐浴、购物等日常生活能力训练，先叙述后模拟，尽量帮助其维持一种固定的生活习惯；认知训练，通过回忆和生活回顾、调动兴趣爱好、支持小组的训练方式H3；记忆训练，对于有严重记忆障碍的老人，可运用环境影响其行为[5]，如保持恒定的常规环境，多次的重复性刺激，采用背诵、帮助分析，联系概念、联系自身、听说读写并用、编故事、记日记、看图片等方法训练记
忆}思维训练，通过排列数字、物品分类，数字计算等，训练病人
综合分析、判断、推理和计算能力；逻辑思维与表达能力训练，如对病人密切相关问题的提问，并进行简单的数字计算；体能训
练．根据病人的身体状况，选择合适的体能训练，如公园散步、做老人体操、跳舞等，活动量循序渐进，以无不适为度。⑤遵医行为指导，指导和督促病人按医嘱定时、定量以正确的方式服药，告知用药的注意事项，保证用药安全。"</t>
  </si>
  <si>
    <t>Non-pharmacol</t>
  </si>
  <si>
    <t>448.1</t>
  </si>
  <si>
    <t>132.4</t>
  </si>
  <si>
    <t>570.1</t>
  </si>
  <si>
    <t>141.9</t>
  </si>
  <si>
    <t>TAN 2010</t>
  </si>
  <si>
    <t>The Third Peoplel's Hospital of Foshan City</t>
  </si>
  <si>
    <t>Yes （Intervention was implemented among carer, but outcomes were measured among patients）</t>
  </si>
  <si>
    <t>15.32</t>
  </si>
  <si>
    <t>60</t>
  </si>
  <si>
    <t>1.98</t>
  </si>
  <si>
    <t>14.07</t>
  </si>
  <si>
    <t>1.63</t>
  </si>
  <si>
    <t>no any intervention</t>
  </si>
  <si>
    <t>Intervention group (Carer training)</t>
  </si>
  <si>
    <t>2.56</t>
  </si>
  <si>
    <t>16.12</t>
  </si>
  <si>
    <t>2.84</t>
  </si>
  <si>
    <t>"文盲1l例，小学22例，初中18例，高中以上9例"</t>
  </si>
  <si>
    <t>53.33</t>
  </si>
  <si>
    <t>The caregivers of observation groups were taught of AD disease nowledge，daily care，
safe care knowledge，training and rehabilitation training guidance to improve their nursing skills</t>
  </si>
  <si>
    <t xml:space="preserve">1．2．1对观察组照顾者的干预
1．2．1．1 对照顾者进行AD相关护理知识和技巧的训练，内容
包括：①AD患者的分期和常见的表现，让照顾者了解AD患者
病情的发展。②日常生活护理。③AD患者安全护理，针对患者常
见的走失、跌倒、自我伤害、意外受伤等安全问题对照顾者进行相
关知识指导。④训练AD患者的康复技巧，根据AD患者的分期进
行认图、物品分类、计算力、理解力和记忆力等方面的训练。⑤照
顾者心理指导。尊重AD患者的人格、隐私，接纳痴呆老人的怪异
言行，鼓励照顾者寻求邻居、朋友、同事的帮助和心理支持，主动
利用社会支持，缓解照顾压力。
1．2．1．2 课题组护士电话随访1次／周，家访2次／月。我们给
照顾者留下咨询电话，随时帮助照顾者解决AD患者出现的问
题。每季度去社区举办健康教育讲座1次，并现场指导照顾者对
AD患者的康复训练，了解照顾者反馈的信息、有针对性调整讲
课内容，提高培训效果。
</t>
  </si>
  <si>
    <t>Wang 2010b</t>
  </si>
  <si>
    <t>Control group</t>
  </si>
  <si>
    <t>Community</t>
  </si>
  <si>
    <t>19.48</t>
  </si>
  <si>
    <t>40</t>
  </si>
  <si>
    <t>18.5</t>
  </si>
  <si>
    <t>3.1</t>
  </si>
  <si>
    <t xml:space="preserve">Home care as usual for a year </t>
  </si>
  <si>
    <t>Home care guidance</t>
  </si>
  <si>
    <t>19.21</t>
  </si>
  <si>
    <t>3.93</t>
  </si>
  <si>
    <t>21.02</t>
  </si>
  <si>
    <t>3.88</t>
  </si>
  <si>
    <t xml:space="preserve">Community comprehensive intervention for a year </t>
  </si>
  <si>
    <t>Phone contact weekly, Home visit monthly, for 1 year, covering the following 4 components: 1) Health Education, 2) Basic personal care, 3) Psycho-emotional support, 4) Rehabilitation training guide. "干预组开展全面、 综合的社区护理。健康知识宣教 社区护理人员根据 AD 患者及家属健康知识需求， 定期开展知识讲座， 发放 AD 患者及照顾者健康教育和康复指导手册， 并详细讲解， 使其理解掌握， 能够简单复述宣教内容； 每周电话访问 1 次， 倾听患者及家属的问题， 建立良好的护患关系， 取得患者信任； 每个月家庭访视 1 次， 现场进行健康教育宣传及护理技术指导， 为期 1 年。基础生活护理 ① 基础护理： 实施 “无缝医疗保健”［3］，社区护理人员与家属共同讨论确定患者在家中适合的照料方式。 给予患者细心的呵护， 安排合理的作息时间， 保证良好的睡眠质量； 保持皮肤清洁， 衣物洁净， 注意保暖， 预防皮肤及肺部等各系统的感染； 按时服药， 促进疾病恢复； 根据身体状况， 做适当的户外运动， 锻炼身体， 增强体质。 ② 安全护理：家里地面不宜过于光滑， 必要时在盥洗室等处安扶手， 防止患者 跌 倒； 行动困难患者如厕、 洗浴要有人陪伴， 以 防 意 外 发生； 家中锐器物品、 药品妥善放置， 避免患者自伤或误服； 易走失的患者， 随身携带与家人联系的卡片， 避免单独外出， 防止 丢 失 迷 路。 ③ 饮 食 护 理： 一日三餐定时定量， 饥 饱 适 宜，膳 食 搭 配 合 理， 以清淡营养丰富为主， 多 食 豆 类、 奶 类、 瘦肉、 蔬菜、 海鲜、 粗纤维等食物， 保证优质蛋白质、 多不饱和脂肪酸及维生素等营养素的摄取。心理情感支持 全面评估患者， 根据其性格特征， 采取个性化护理， 充分体现 “以人为本”。 定期为患者做心理情感咨询， 了解患者的心理情绪状态， 减少患者因情绪异常引起行为问题的发生。 鼓励患者参加力所能及的家庭社会活动， 如看书、 读报、 听广播、 种花、 下棋、 打球、 参加社区老人联谊会等， 以 分 散 注 意 力， 排 遣 不 良 情 绪， 增 加 交 流， 提 高 沟 通 能力， 使其感受到生活的乐趣及自身价值， 促进心理健康。 指导照顾者掌握与老年痴呆患者交流的方法， 用理解、 宽容， 诚恳的态度对待病人， 耐心听取病人的诉说， 细心观察患者的情绪变化， 尽量满足其合理要求； 成立社区老年痴呆患者照顾者病友会， 提供照顾者之间分享照顾技巧的途径， 同时有助于减轻照顾者的照顾感受压力。康 复 训 练 指 导 ① 益 智 训 练： 减 缓 记 忆、 智 能 衰 退，指导家属要经常提醒患者日期、 时间、 地址、 家中电话号码等信息， 鼓励患者对往事的回忆， 要不厌其烦， 帮助其强化近期记忆和激发远期记忆。 让患者做一些简单的数字排列和运算，识图， 折纸等活动， 每日不少于 30 min。 组织患者参加适宜的集体活动， 增强其自信心， 促进计算， 判断， 思维， 理解等认知能力及语言能力的恢复。 ② 日常生活能力训练： 根据患者自理能力， 选择力所能及的生活内容进行训练。 自理能力较好的患者， 尽量让其自己完成做饭、 吃饭、 穿衣、 洗漱、 洗澡、打扫房间等日常生活， 四肢关节经常活动能够保持手脚灵活，促进血液循环； 自理能力较差的患者， 家属协助其完成复杂的生活活动， 并做好肢体功能康复训练。"</t>
  </si>
  <si>
    <t>Multicomponent: i) non-pharmcol, ii) Interv for carers</t>
  </si>
  <si>
    <t>Wang 2012e</t>
  </si>
  <si>
    <t>Mutual support group</t>
  </si>
  <si>
    <t>"The caregivers were recruited from a list of people with dementia attending one of two dementia resources and respite care centers in Guangzhou, Guangdong Province of mainland China. The resource center provided daytime physical care, self-care and skills training for clients, respite care, social and recreational activi-ties, and care-giving resources to about 3,000 clients with dementia, and their family members. The cli-ents with dementia were received to this center from mainly three sources, including: a regional psychiat-ric center, two psychiatric outpatient departments, and Social Security and Welfare Department of The Government."</t>
  </si>
  <si>
    <t>51.3</t>
  </si>
  <si>
    <t>35.9% (18-30yr);   41% (31-50yr);      23.1% (51-70yr)</t>
  </si>
  <si>
    <t>59.0</t>
  </si>
  <si>
    <t>33.3</t>
  </si>
  <si>
    <t>25.7</t>
  </si>
  <si>
    <t>Peer-led mutual support group sessions, 1.5 hours every two weeks over a 24-week period, in addition to usual care</t>
  </si>
  <si>
    <t>"The peer-led mutual support group met bi-weekly, for a total of 12 1.5-hour sessions. All group sessions mainly consisted of information giving, sharing and discussion, psychological support, and problem solving; and a group protocol was spe-cifi cally designed for this study, based on evidence from other mutual support group intervention studies (Almberg et al., 1997; Fung &amp; Chien 2002; Toseland et al., 1989). Seven major themes of fam-ily support groups formed the basis for group members’ interactions and purposive activities in each session, including: (1) information about cli-ent’s condition; (2) development of group as a sup-port system; (3) emotional impact of care-giving; (4) learning about self-care; (5) improvement of interpersonal relationships; (6) establishing sup-port outside the group; and (7) improvement of home care skills. The protocol of the mutual sup-port group is presented in Table 1.To foster the use of problem-solving strategy within the group, at least one group members shared personal care-giving problems with other members in each session and these problems were worked on using a six-step model suggested by Zarit, Orr, and Zarit (1985). These six steps consisted of defi ning the problem, generation of alternatives, examining and evaluating each alternative, cognitive rehearsal of action plan, execution of the plan as homework, and evaluation of agreed outcomes.An advanced practice psychiatric nurse, who had more than 5 years of experience in dementia care and community mental health services and had experienced group facilitation, was chosen as facilitator for the supportive group. This nurse attended a 2-day training workshop organized by the research team on facilitation of a mutual sup-port group before the study was started. During the 24-week group intervention, the audio-taped group sessions were reviewed by the facilitator, together with the research team, to monitor treat-ment integrity, adherence to the protocol and any questions from group members.One to two peer leaders, elected by the group members, agreed to coordinate and plan the group sessions with the facilitator’s consultation, as suggested by Chien et al. (2006) and Toseland et al. (1989). The elected leaders were experienced in family and dementia care and received three 4-hour training sessions on planning and leading a mutual support group, using the protocol."</t>
  </si>
  <si>
    <t>97.89</t>
  </si>
  <si>
    <t>39</t>
  </si>
  <si>
    <t>14.11</t>
  </si>
  <si>
    <t>114.02</t>
  </si>
  <si>
    <t>13.98</t>
  </si>
  <si>
    <t>1 month after 24-week intervention</t>
  </si>
  <si>
    <t>Routine care group (control)</t>
  </si>
  <si>
    <t>33.3% (18-30yr);    43.6% (31-50yr);    23.1% (51.70yr)</t>
  </si>
  <si>
    <t>64.1</t>
  </si>
  <si>
    <t>25.6</t>
  </si>
  <si>
    <t>Conventional family services provided by dementia centers, including medical consultation, financial and social services advice, educational talks on dementia care, and referals and advice on medical and social services</t>
  </si>
  <si>
    <t>"The control group received the conventional family services provided by the dementia centers. Similar to the other big cities in Guangdong and other Provinces of mainland China, the services included: (1) medical consultation of client and advice to family on client’s illness condition,  treatment plan and effects of med-ications provided on monthly basis by two visiting doctors; (2) advice and referrals of fi nancial aids and social welfare services provided by a social worker; (3) educational talk or seminars in dementia care conducted by registered general nurses; and (4) refer-rals and advices on medical and social services by the center staff. In other developing cities and sub-urban or remote areas, there is not any dementia care cen-ter and the only health care service that those fami-lies can obtain is the medical consultation by visiting doctors and their referrals to hospital care whenever necessary.Participants in the control group were informed about community supporting ser-vices for dementia care and referral to appropri-ate agencies for respite could be obtained from staff in the dementia center. After post-test, the research assistant asked them whether they would like to participate in a mutual support group spe-cifi cally organized for them."</t>
  </si>
  <si>
    <t>103.71</t>
  </si>
  <si>
    <t>9.2799999999999994</t>
  </si>
  <si>
    <t>88.19</t>
  </si>
  <si>
    <t>7.56</t>
  </si>
  <si>
    <t>Wang 2014a</t>
  </si>
  <si>
    <t>retried cadre's sanitarium</t>
  </si>
  <si>
    <t>14.12</t>
  </si>
  <si>
    <t>61</t>
  </si>
  <si>
    <t>3.12</t>
  </si>
  <si>
    <t>11.99</t>
  </si>
  <si>
    <t>6.39</t>
  </si>
  <si>
    <t>Memantine + Aricept + Usual community healthcare service and personal care for 1 year</t>
  </si>
  <si>
    <t>"对照组只给予一般
的社区卫生服务和生活护理，未进行居家护理干预"</t>
  </si>
  <si>
    <t>Multicoponent: Pharmaceutical, Non-pharmacol</t>
  </si>
  <si>
    <t>14.19</t>
  </si>
  <si>
    <t>62</t>
  </si>
  <si>
    <t>15.98</t>
  </si>
  <si>
    <t>5.49</t>
  </si>
  <si>
    <t>Memantine + Aricept + Standardised home care intervention, incl. carer training on personl care, psychosocial support, safety, rehabilitation, and regular home visit; for 1 year</t>
  </si>
  <si>
    <t>"所有患者均由神经内科专科医生处方给药，主要为安理申和美金刚，均坚持服药治疗。试验组采用规范的居家护理干预模式进行为期 员 年的规范干预。"</t>
  </si>
  <si>
    <t>Multicoponent: Pharmaceutical, Non-pharmacol, Interv. for carers</t>
  </si>
  <si>
    <t>Wang 2017c</t>
  </si>
  <si>
    <t>Dementia-specific training</t>
  </si>
  <si>
    <t>Training and education for professional carers</t>
  </si>
  <si>
    <t>Primary care setting in Chongqing, China. Study was conducted in four community health services centers (CHSC). "The CHSC functions as primary in-stitutions offering basic medical and public health services in China(Pan, Dib, Wang, &amp; Zhang, 2006). Four CHSCs were randomly selected from a pool of 23 that provide services to 29 communities with a total population of 216,000."</t>
  </si>
  <si>
    <t>Yes (paid carers: registered nurses)</t>
  </si>
  <si>
    <t>28.8</t>
  </si>
  <si>
    <t>93.4</t>
  </si>
  <si>
    <t>26.2</t>
  </si>
  <si>
    <t>73.8</t>
  </si>
  <si>
    <t>WeChat-based dementia-specific training programme for 3 months</t>
  </si>
  <si>
    <t>"Participants in the IG received dementia-specific training. Nurses initially received 2-weekly lectures lasting three-hours each with a face-to-face discussion, which was delivered by a geriatric nurse specialist with training slides and handouts given to participants for reference.Thereafter, they were enrolled a WeChat group online interaction,which continued for three months and comprised videos, case studies,readings, and so on. Nurses discussed the materials and the geriatric specialist facilitated the discussions. [...] 2.1. The dementia-specific training program for primary care settings. The authors of this study designed the training program for primary care nurses. We applied a 3-factor education intervention model(Green, Kreuter, &amp; Deeds, 1980). This model emphasises (1) the use of lectures and written materials to disseminate learning content to learners; (2) developing resources to support learners to implement new skills and (3) reinforcing new skills by providing timely feedback and peer support (Aylward, Stolee, Keat, &amp; Johncox, 2003). The learning content we developed was based on the analysis of learning needs of participants in the program through our discussions with nurse managers. We also analysed and incorporated the latest development of dementia care knowledge, skills, competencies and guidelines reported in the literature (Alzheimer's Disease International, 2011; Alzheimer's Disease International, 2012; Alzheimer's Disease International, 2014; Annear et al., 2015). The program included both lectures and WeChat learning interactions with educators and peers and self-directed learning activities. The lectures consisted of two modules focused on overall dementia understanding, early detection, and quality care strategies (Table 1). Module 1 included topics of‘understanding dementia’, etiologies, types of dementia, clinical manifestation, risk factors and early detection. Module 2 included person-centred dementia care, cognitive function assessment and management of dementia associated symptoms and behaviours and support caregivers. The We-Chat-based interaction provides an in-depth knowledge covered at lectures, which is enforced by online peer discussion. 2.2. The process to implement the program. The program team included a geriatric nursing specialist and three academic members who specialized in dementia care and psychology from a university in China. A 2-day workshop was conducted to review and discuss the preliminary topics based on the discussions with com-munities' nurse managers. The program included on-site lectures and WeChat online interactions. Nurse managers in CHSCs were invited to develop a timetable for the program to maximize nurses' attendance rates. Participants then received 2-weekly lectures provided by the three academic members in the team and each lecture lasted 3 h. The lecture slides were available online for participants to access when needed. The interactive learning via WeChat lasted 3 months and was facilitated by the geriatric nursing specialist. Learning activities via the Wechat included group discussions on how to apply knowledge to own practice, sharing experiences in dementia care and in overcoming barriers and difficulties in practice. The research team members pro-vided ongoing support for the geriatric nursing specialist to deliver the WeChat-based learning activities though WeChat videos and telephone during the program implementation phase."</t>
  </si>
  <si>
    <t>Usual geriatric nursing training (control)</t>
  </si>
  <si>
    <t>31.9</t>
  </si>
  <si>
    <t>94.4</t>
  </si>
  <si>
    <t>66.7</t>
  </si>
  <si>
    <t>Usual geriatric training for the care of older people with disability</t>
  </si>
  <si>
    <t>"Nurses in the CG received training for the care of older people with disability. They received 2-weekly lectures lasting three-hours each with a face-to-face discussion. A geriatric nurse specialist delivered the lectures and handouts and slides were given to participants. The CG also received the dementia-specific training following the completion of research participation."</t>
  </si>
  <si>
    <t>Wang 2017e</t>
  </si>
  <si>
    <t>14 community health centres in a province in China</t>
  </si>
  <si>
    <t>College: 69.4%, Bachelor 30.6%</t>
  </si>
  <si>
    <t>83.5</t>
  </si>
  <si>
    <t>The Dementia Education and Knowledge Translation Programme</t>
  </si>
  <si>
    <t>College: 67.1%, Bachelor 32.9%</t>
  </si>
  <si>
    <t>82.4</t>
  </si>
  <si>
    <t>nurse-led dementia education and knowledge translation programme
for health professionals in primary care. Training the trainer workshop over 3 days targeted at GPs and nurses in community health centres</t>
  </si>
  <si>
    <t>Each community health service centre appointed a RN and a GP as
trainers in the programme. The project team delivered 10 modules to
these trainers in a 3-day face-to-face education workshop. Teaching
and learning resources for the trainers included a workbook and four
DVDs. The project team provided ongoing support for the trainers
through email, telephone and site visits during the programme implementation phase. Trainers in the intervention group delivered the education programme to their peers in their centres using weekly in-service education hours. Participants were also required to undertake self-study to
complete the required readings. The trainers provided learning support
to reinforce knowledge and skills using newsletters and messages on
the notice board. The trainers in the control group agreed to deliver the education programme after the data collection</t>
  </si>
  <si>
    <t>Yang 2017a</t>
  </si>
  <si>
    <t xml:space="preserve">Community </t>
  </si>
  <si>
    <t xml:space="preserve">No Info. </t>
  </si>
  <si>
    <t>10.99</t>
  </si>
  <si>
    <t>54.3</t>
  </si>
  <si>
    <t>Regular medicine and Psychological Health Promotion for 12 months</t>
  </si>
  <si>
    <t>"只给予药物治疗 和一般的心理健康知识宣传（即指通过各类媒体、各种方 式开展的心理健康知识宣传，如心理健康知识的宣传板 报、宣传册、进社区的心理卫生知识讲座、心理健康义 诊等） "</t>
  </si>
  <si>
    <t>Medicine + Psychological Health Promotion</t>
  </si>
  <si>
    <t>干预组</t>
  </si>
  <si>
    <t>Community-based interventions</t>
  </si>
  <si>
    <t>Mean: 11.06 year; SD: 6.30 years</t>
  </si>
  <si>
    <t>56.3</t>
  </si>
  <si>
    <t xml:space="preserve">Medicine, Psychosocial and non-pharmacy in-home intervention for 12 months </t>
  </si>
  <si>
    <t xml:space="preserve">"1.2.1 家庭医疗工作模式 精神科医师上门服务同时整 合多学科团队成员（疾控精神卫生分中心工作人员、心理 治疗师、康复治疗师、老年护理师等） ，对照料者、社区 家庭医生、社会工作者等进行痴呆卫生宣教，利用社区的 家庭医生制工作模式，争取各居委会和社区卫生服务中心 的支持，同时对患者和照料者实施心理社会干预。 1.2.2 心理社会干预内容 ①对痴呆照料者培训，内容包 括什么是痴呆及 BPSD，其疾病进程的一般规律，有效的 治疗方法和时机，护理要点、护理技巧和注意事项，患者 生活环境的布置，同患者交流的技巧等，以提高患者的服 药依从性，减少并发症，并接受照料者的倾诉，指导其放 松，加强心理支持和辅导。对患者灵活采用行为干预，如 日常生活能力训练、音乐疗法、怀旧和人生回顾、记忆训 练等 [2-3]，并调整其居住环境的布置。②在患者急性期每周 家访，调整药物，听取照料者及家属的意见，提出合理建 议。③待病情稳定后，采取每周电话随访、每月上门随访 方式，针对存在严重疾病或行动不便者给予更高程度的关 注，适当增加探访频率以降低其风险概率。 1.2.3 干预形式 ①对社区相关人员进行培训，发放相关 宣传材料500 份。②建立老年痴呆家庭的自助互助小组， 互相分享讨论心得体会，举办家庭成员活动。③开展每半 年 1 次的相关人员座谈协调会，讨论干预过程中遇到的问 题及解决方案。"
</t>
  </si>
  <si>
    <t>Medicine +Psychosocial intervention</t>
  </si>
  <si>
    <t>ZHAO 2010</t>
  </si>
  <si>
    <t>Comprehensive nursing intervention （treatment）</t>
  </si>
  <si>
    <t>Comprehensive nursing intervention (home visit and health education)for a year.</t>
  </si>
  <si>
    <t xml:space="preserve">家庭护理是以家庭为单位的整体护理模 式，通过对患者家属实施健康教育，对患者生理、家庭和社会 状况提出潜在的护理问题，进行护理干预. 观察组除进行常规出院指导外，护士每周电话随 访1次，每月家访2次，每季去社区举办健康教育讲座1次，并现场指导。2干预内容1)疾病知识：向患者家属详细讲解AD的 病因、症状、治疗及护理，将自制的AD患者健康教育手册和 AD患者护理技巧手册发放给患者及照顾者，并耐心仔细地 逐一讲解，直到患者和照顾人满意为止。2)心理护理：耐一U倾
听AD患者及照顾者存在问题，全面评估患者状况，给予鼓 励，恰当地运用沟通技巧，做好心理疏导工作，动员老年人多 与外界接触，与人交流，多参与社会活动，保持良好的社会互 动。同时尊重老年人的意愿，让其独立去做自己力所能及的 事情，以唤起患者对生活的信心，感受到自身存在的价值。另 外鼓励子女多与老人沟通，加强邻居、亲戚、朋友间的相互走 动，排解心中的孤独、寂寞，保持良好的心理健康水平H]。3)家居安全护理：AD患者自我保护能力差以及在情绪激惹、抑 郁或意识模糊状态下可发生各种意外，如自伤、伤人、烫伤、跌 倒，误吸(服)、走失等。因此，一定要严加看护、防范，所居住 的家庭环境，要舒适、安静、整洁、安全，室内严禁放置危险物 品，如剪刀、火柴等。在患者的衣服口袋内放一张联系卡片， 上面写明患者的姓名、住址、联系电话等，以便患者迷路时方 便社会或他人及时关照。4)康复训练：①El常生活能力训练： 鼓励患者做一些力所能及的家务，如扫地、擦桌子。看护者尽 量让患者自己多做事。如洗澡，可帮助患者调好水温，然后提 醒患者做下一步动作，如脱衣裤等，若实在无法自己完成才去 帮助他，以锻炼和维持自理能力，减少对他人的依赖。②记忆 训练：包括回忆往事，实物定位、再激发，选一物品，如图片、旧 照片、花、食品、衣物等让患者认。感觉，鼓励他们谈论与手中 物品有关的经历。让他们回忆以前工作经历、癖好或消遣，通 过唱歌，阅读旧杂志、报纸等激发记忆。③体育锻炼：要指导 和鼓励老年人根据个体状况选择强度适当的体育运动，不但 可以增强体力，而且还能够提高大脑皮质活动的强度、均衡性 和灵活性，提高分析和综合能力，从而改善其认知功能。如有 氧健身运动(慢跑、散步、太极拳等)和有氧健脑运动(深呼吸运动、冥想、手指操等)。
</t>
  </si>
  <si>
    <t>Multicomponent</t>
  </si>
  <si>
    <t>Nursing visit （control）</t>
  </si>
  <si>
    <t>Routine Nursing Assistant for a year.</t>
  </si>
  <si>
    <t>常规出院指导，并解答患者和家属的疑问，出院后不进行任何 护理干预</t>
  </si>
  <si>
    <t>Routine Nursing Assistant</t>
  </si>
  <si>
    <t>Patient activities of daily life</t>
  </si>
  <si>
    <t>IADL</t>
  </si>
  <si>
    <t xml:space="preserve">Patient activities of daily life </t>
  </si>
  <si>
    <t>13.23</t>
  </si>
  <si>
    <t>4.49</t>
  </si>
  <si>
    <t>14.29</t>
  </si>
  <si>
    <t>4.41</t>
  </si>
  <si>
    <t>34.21</t>
  </si>
  <si>
    <t>5.74</t>
  </si>
  <si>
    <t>44.53</t>
  </si>
  <si>
    <t>34.14</t>
  </si>
  <si>
    <t>5.35</t>
  </si>
  <si>
    <t>32.99</t>
  </si>
  <si>
    <t>6.35</t>
  </si>
  <si>
    <t>38.950000000000003</t>
  </si>
  <si>
    <t>6.57</t>
  </si>
  <si>
    <t>33.159999999999997</t>
  </si>
  <si>
    <t>5.29</t>
  </si>
  <si>
    <t>Not a study measuring caregiver burden or patient outcomes but rather a study of caregiver knowledge and approach of care</t>
  </si>
  <si>
    <t>Positive Aspects of Caregiving Questionnaire (PACQ)</t>
  </si>
  <si>
    <t>Caregiver's positive  experience</t>
  </si>
  <si>
    <t>Robinson's Caregiver Strain Index</t>
  </si>
  <si>
    <t>Ham-D</t>
  </si>
  <si>
    <t>8 weekly sessions</t>
  </si>
  <si>
    <t>After intervention (14 weekly sessions)</t>
  </si>
  <si>
    <t>post-intervention (5 weeks)</t>
  </si>
  <si>
    <t>post-intervention (8 weekly sessions)</t>
  </si>
  <si>
    <t>End of intervention (5 weekly sessions)</t>
  </si>
  <si>
    <t>3 weeks post-intervention (5 weekly sessions)</t>
  </si>
  <si>
    <t>6 month post-treatment (14-day hospitalisation)</t>
  </si>
  <si>
    <t>Measurement points (days from start)</t>
  </si>
  <si>
    <t xml:space="preserve">Training and education for unpaid carers, training for sleep disorder </t>
  </si>
  <si>
    <t>Unclear</t>
  </si>
  <si>
    <t>Treatment duration (days from start)</t>
  </si>
  <si>
    <t>6 months (5 weekly session intervention)</t>
  </si>
  <si>
    <t>Hinton 2020</t>
  </si>
  <si>
    <t>REACH VN</t>
  </si>
  <si>
    <t>Soc Son, a semi-rural district in Hanoi with a longstanding history of collaboration with the NGH. Soc Son is more economically advantaged compared with many other semirural areas due to its proximity to Hanoi and location near the international airport, an area undergoing considerable economic development. A convenience sample of 12 clusters was chosen based on their proximity to NGH, their participation in the NGH dementia registry, and history of successfully participating in prior research projects and initiatives.</t>
  </si>
  <si>
    <t>Mild to Severe Alzheimer’s Disease (CDR &gt; 1)</t>
  </si>
  <si>
    <t>Alzheimer’s Disease</t>
  </si>
  <si>
    <t>Mild to Severe</t>
  </si>
  <si>
    <t>Enhanced control</t>
  </si>
  <si>
    <t>Chen 2020</t>
  </si>
  <si>
    <t>Observation group</t>
  </si>
  <si>
    <t>Patients with moderate and severe AD admitted to the People’s Hospital of Nanjing Medical University from February 2016 to March 2018</t>
  </si>
  <si>
    <t>Moderate to Severe Alzheimer's Disease</t>
  </si>
  <si>
    <t>Moderate to Severe</t>
  </si>
  <si>
    <t>Yes (Intervention was implemented among carer, but outcomes were measured among patients)</t>
  </si>
  <si>
    <t>Uyar 2019</t>
  </si>
  <si>
    <t>Urban, Manisa Celal Bayar University (MCBU) Hafsa Sultan Hospital Dementia Outpatient Clinic in Manisa</t>
  </si>
  <si>
    <t>Mild to Severe Alzheimer’s Disease</t>
  </si>
  <si>
    <t>Mild to Severe </t>
  </si>
  <si>
    <t>Govindakumari 2020</t>
  </si>
  <si>
    <t>selected community settings of Puducherry</t>
  </si>
  <si>
    <t>Mild dementia</t>
  </si>
  <si>
    <t>Mild dementia </t>
  </si>
  <si>
    <t>Some concerns</t>
  </si>
  <si>
    <t>Ghaffari 2019</t>
  </si>
  <si>
    <t>The study population consisted of family caregivers of elderly Alzheimer’s patients who referred to hospitals and neurologists’ offices located in the western cities of Mazandaran province, Iran (Ghaemshahr Razi Hospital; Ramsar, Tonekabon, and Ghaemshahr neurologists’ offices)</t>
  </si>
  <si>
    <t>Mild cognitive impairment.</t>
  </si>
  <si>
    <t>Mild cognitive impairment</t>
  </si>
  <si>
    <t>Pan 2019</t>
  </si>
  <si>
    <t>Family caregivers were recruited via resident and staff referrals from community health centers and neurological units of a tertiary hospital of a city in southeast China.</t>
  </si>
  <si>
    <t>Moderate to Severe dementia (MMSE ≤17)</t>
  </si>
  <si>
    <t>Zarepour 2020</t>
  </si>
  <si>
    <t>Geriatric clinic in Imam Reza and other neurology clinics affiliated to Shiraz University of Medical Sciences, Shiraz, Iran. The target population included family caregivers of the elderly people with dementia living in Shiraz.</t>
  </si>
  <si>
    <t>8/30 illiterate, 3/30 literate, 15/30 primary school, 1/30 middle school, 2/30 high school, 1/30 university</t>
  </si>
  <si>
    <t>4/31 illiterate, 9/31 literate, 9/31 primary school, 3/31 middle school, 3/31 high school, 3/30 university</t>
  </si>
  <si>
    <t>3/25 primary education, 8/25 high school diploma, 14/25 university education</t>
  </si>
  <si>
    <t>9/25 primary education, 11/25 high school diploma, 5/25 university education</t>
  </si>
  <si>
    <t>59.0 ± 10.4 years</t>
  </si>
  <si>
    <t>58.7 ± 13.9 years</t>
  </si>
  <si>
    <t>&gt; 53 years: 40% (12/30)</t>
  </si>
  <si>
    <t>&gt; 53 years: 58% (18/31)</t>
  </si>
  <si>
    <t>42.6 ± 6.2 years</t>
  </si>
  <si>
    <t>43.4 ± 6.3 years</t>
  </si>
  <si>
    <t>63.27 ± 11.22</t>
  </si>
  <si>
    <t>62.09 ± 10.56</t>
  </si>
  <si>
    <t>REACH VA is based on REACH II and consists of four “core” training sessions on problem solving, mood management/cognitive restructuring, stress management (eg, signal breath, pleasant event scheduling), and communication, plus up to two additional sessions based on caregiver’s needs and clinical judgment. In REACH VA, the sessions last 1 hour and are delivered by a trained interventionist by telephone, telehealth, or face-to-face. Our culturally adapted and manualized intervention, REACH VN, is based on the REACH VA intervention, with modifications to make it suitable for the context of a semi-rural area in Vietnam. We used a multi-step cultural adaptation process guided by existing frameworks commonly used in global health. Participants assigned to the enhanced control condition received a single face-to-face session at the time of enrollment in the caregiver’s home (or another place of their choosing) that focused on education about the nature of dementia and included the provision of written educational materials. In addition, any safety issues identified during the single home visit were addressed by research staff.</t>
  </si>
  <si>
    <t>Participants assigned to the enhanced control condition received a single face-to-face session at the time of enrollment in the caregiver’s home (or another place of their choosing) that focused on education about the nature of dementia and included the provision of written educational materials. In addition, any safety issues identified during the single home visit were addressed by research staff.</t>
  </si>
  <si>
    <t>Implementation of discharge guidance plan, establishment of Wechat group for the discharged patients, opening of hotline, online provision of AD rehabilitation, nursing and medication guidance. The Wechat group and hotline mainly have the following functions, inquiry function. After the patients release or call to raise nursing and medication issues within the group, the designated nursing team members should reply within 1 d and organize appropriate case extension analysis and discussion within the Wechat group. For privacy problems of the individual patients and nursing staff, Wechat private chat or telephone contact was used. When the problems could not be solved remotely, the patients were required to return to the hospital for further consultation. The control group received routine health education and nursing guidance after discharge, while the observation group received additional extended nursing scheme for 1 y, including daily living ability training, body function training, language training, memory training, music therapy, psychological nursing support and offline collective activities of patients. ​ ​</t>
  </si>
  <si>
    <t>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t>
  </si>
  <si>
    <t>The group received just routine hospital care. At the end of 16 weeks, the programme was provided to this group too.</t>
  </si>
  <si>
    <t>Cognitive training was given to all eligible subjects individually two sessions weekly continuously for a period of 1 month i.e. a total of 8 sessions. Each session will take approximately 1 hour.</t>
  </si>
  <si>
    <t>None stated</t>
  </si>
  <si>
    <t>The intervention was administered as a training program that aimed to promote resilience development through PowerPoint presentations and educational pamphlets. These were supplied through a lecture for the intervention group. The program was based on HendersonMilstein and Kravets’ resilience education projects, as presented in Table 1 (11, 12).</t>
  </si>
  <si>
    <t>There was no intervention designed for the control group and the participants in this group received routine care, such as education on medicinal and non-medicinal care for their patients.</t>
  </si>
  <si>
    <t>This NLCBI comprised five monthly 60-minute individual sessions conducted at caregivers’ homes at the beginning of each month by appointment, with a 20- to 30-minute consultation call in the middle of the month. Duration of the intervention and follow up was determined based on the time of an interventional effect and retention of respondents. Five RNs were trained on the intervention protocol and psychosocial communication techniques. Although nurses were instructed to follow the protocol, minimal flexibility was allowed to adapt to individual caregivers. A discussion group in an E-chat room using WeChat software was set up for communication among nurse interventionists to ensure consistency in the intervention. At the initial session, caregivers agreed to make up a session within a few days after a missed appointment.</t>
  </si>
  <si>
    <t>Caregivers in the control group were provided with five monthly, short (5 to 10 minutes), general conversations with a nurse interventionist at the beginning of each month either at caregivers’ homes, at the hospital, or via telephone as convenient. No in-depth instructions were given; conversations were casual chats on caregivers’ daily lives and health.</t>
  </si>
  <si>
    <t>The intervention group was provided with educational intervention and a scientifically valid educational book approved by faculty members in Shiraz University of Medical Sciences.</t>
  </si>
  <si>
    <t>The control group did not receive any formal education regarding the care of the elderly with dementia, during the study. In order to have ethical considerations in the research, after conducting the study, the educational programs were carried out and also, a book was provided for them.</t>
  </si>
  <si>
    <t>Vietnam</t>
  </si>
  <si>
    <t>16 weeks</t>
  </si>
  <si>
    <t>1 month</t>
  </si>
  <si>
    <t>PHQ-4</t>
  </si>
  <si>
    <t>Caregiver mental health</t>
  </si>
  <si>
    <t>MoCA</t>
  </si>
  <si>
    <t>Patient neuropsychiatric symptoms</t>
  </si>
  <si>
    <t>BEHAVE-AD</t>
  </si>
  <si>
    <t>BADL</t>
  </si>
  <si>
    <t>GHQ-28</t>
  </si>
  <si>
    <t>Caregiver anxiety/insomnia</t>
  </si>
  <si>
    <t>Overall quality of life</t>
  </si>
  <si>
    <t>SF36 Physical health</t>
  </si>
  <si>
    <t xml:space="preserve">Caregiver physical Quality of life </t>
  </si>
  <si>
    <t>NPI-D</t>
  </si>
  <si>
    <t>BDI</t>
  </si>
  <si>
    <t>BAI</t>
  </si>
  <si>
    <t>CES-D</t>
  </si>
  <si>
    <t>Caregiver anxiety</t>
  </si>
  <si>
    <t>Caregiver phychological quality of life</t>
  </si>
  <si>
    <t>QoL-Ada</t>
  </si>
  <si>
    <t>NPI-S</t>
  </si>
  <si>
    <t>Spielberger questionnaires</t>
  </si>
  <si>
    <t>1 month post intervention</t>
  </si>
  <si>
    <t>3 months post intervention</t>
  </si>
  <si>
    <t>five monthly in-home nurse-led cognitive behavioral sessions and consultation calls after each session</t>
  </si>
  <si>
    <t>2 month follow-up</t>
  </si>
  <si>
    <t>8 weekly sessions (The GHQ was completed before and 35 - 40 days after the intervention in both groups)</t>
  </si>
  <si>
    <t>Caregiver positive experience</t>
  </si>
  <si>
    <t>NPI-Q distress</t>
  </si>
  <si>
    <t>General Self Efficacy scale (GSE-10)</t>
  </si>
  <si>
    <t>SF36 mental health</t>
  </si>
  <si>
    <t>Row Labels</t>
  </si>
  <si>
    <t>Grand Total</t>
  </si>
  <si>
    <t>Column Labels</t>
  </si>
  <si>
    <t>Sum of Post_N</t>
  </si>
  <si>
    <t>(blank)</t>
  </si>
  <si>
    <t>Note</t>
  </si>
  <si>
    <t>Multiple measurement for same effect measures?</t>
  </si>
  <si>
    <t>Y</t>
  </si>
  <si>
    <t>Multiple measurement time?</t>
  </si>
  <si>
    <t>Source</t>
  </si>
  <si>
    <t>2022 search</t>
  </si>
  <si>
    <t>2019 meta-analysis</t>
  </si>
  <si>
    <r>
      <t>Hinton 2020</t>
    </r>
    <r>
      <rPr>
        <vertAlign val="superscript"/>
        <sz val="8"/>
        <color rgb="FF000000"/>
        <rFont val="Helvetica"/>
        <family val="2"/>
      </rPr>
      <t>20</t>
    </r>
  </si>
  <si>
    <t>Structured training programme</t>
  </si>
  <si>
    <t>Weekly</t>
  </si>
  <si>
    <r>
      <t>Govindakumari 2020</t>
    </r>
    <r>
      <rPr>
        <vertAlign val="superscript"/>
        <sz val="8"/>
        <color rgb="FF000000"/>
        <rFont val="Helvetica"/>
        <family val="2"/>
      </rPr>
      <t>21</t>
    </r>
  </si>
  <si>
    <t>Home-based cognitive training program</t>
  </si>
  <si>
    <t>Twice a week</t>
  </si>
  <si>
    <t>Individual</t>
  </si>
  <si>
    <r>
      <t>Chen 2020</t>
    </r>
    <r>
      <rPr>
        <vertAlign val="superscript"/>
        <sz val="8"/>
        <color rgb="FF000000"/>
        <rFont val="Helvetica"/>
        <family val="2"/>
      </rPr>
      <t>22</t>
    </r>
  </si>
  <si>
    <t>Extended Nursing</t>
  </si>
  <si>
    <t>Advisory and support team</t>
  </si>
  <si>
    <t>1 year</t>
  </si>
  <si>
    <r>
      <t>Zarepour 2020</t>
    </r>
    <r>
      <rPr>
        <vertAlign val="superscript"/>
        <sz val="8"/>
        <color rgb="FF000000"/>
        <rFont val="Helvetica"/>
        <family val="2"/>
      </rPr>
      <t>23</t>
    </r>
  </si>
  <si>
    <t>Educational Intervention</t>
  </si>
  <si>
    <t>Structured training programme, advisory and support team</t>
  </si>
  <si>
    <t>7 sessions in 4 weeks</t>
  </si>
  <si>
    <r>
      <t>Pan 2019</t>
    </r>
    <r>
      <rPr>
        <vertAlign val="superscript"/>
        <sz val="8"/>
        <color rgb="FF000000"/>
        <rFont val="Helvetica"/>
        <family val="2"/>
      </rPr>
      <t>13</t>
    </r>
  </si>
  <si>
    <t>Nurse-led CBI on depressive symptoms for PwD caregivers</t>
  </si>
  <si>
    <t>Structured training programme; advisory and support team</t>
  </si>
  <si>
    <t>Monthly</t>
  </si>
  <si>
    <t>7 months</t>
  </si>
  <si>
    <r>
      <t>Ghaffari 2019</t>
    </r>
    <r>
      <rPr>
        <vertAlign val="superscript"/>
        <sz val="8"/>
        <color rgb="FF000000"/>
        <rFont val="Helvetica"/>
        <family val="2"/>
      </rPr>
      <t>24</t>
    </r>
  </si>
  <si>
    <t>Resilience Education</t>
  </si>
  <si>
    <r>
      <t>Uyar 2019</t>
    </r>
    <r>
      <rPr>
        <vertAlign val="superscript"/>
        <sz val="8"/>
        <color rgb="FF000000"/>
        <rFont val="Helvetica"/>
        <family val="2"/>
      </rPr>
      <t>25</t>
    </r>
  </si>
  <si>
    <t>Dementia care and support program</t>
  </si>
  <si>
    <t>Comprehensive support</t>
  </si>
  <si>
    <r>
      <t>Amit 2008</t>
    </r>
    <r>
      <rPr>
        <vertAlign val="superscript"/>
        <sz val="8"/>
        <color rgb="FF000000"/>
        <rFont val="Arial"/>
        <family val="2"/>
      </rPr>
      <t>26</t>
    </r>
  </si>
  <si>
    <t>Home Care Program for supporting caregivers of PwD</t>
  </si>
  <si>
    <r>
      <t>Guerra 2011</t>
    </r>
    <r>
      <rPr>
        <vertAlign val="superscript"/>
        <sz val="8"/>
        <color rgb="FF000000"/>
        <rFont val="Arial"/>
        <family val="2"/>
      </rPr>
      <t>27</t>
    </r>
  </si>
  <si>
    <t>‘Helping Carer to Care’ training</t>
  </si>
  <si>
    <t>5 weeks</t>
  </si>
  <si>
    <r>
      <t>JIANG 2012</t>
    </r>
    <r>
      <rPr>
        <vertAlign val="superscript"/>
        <sz val="8"/>
        <color rgb="FF000000"/>
        <rFont val="Arial"/>
        <family val="2"/>
      </rPr>
      <t>28</t>
    </r>
  </si>
  <si>
    <t>Whole course rehabilitation nursing intervention</t>
  </si>
  <si>
    <t>Liu 201729 [1]</t>
  </si>
  <si>
    <t>Family visits of community nurses</t>
  </si>
  <si>
    <r>
      <t>Lök 2017</t>
    </r>
    <r>
      <rPr>
        <vertAlign val="superscript"/>
        <sz val="8"/>
        <color rgb="FF000000"/>
        <rFont val="Arial"/>
        <family val="2"/>
      </rPr>
      <t>30</t>
    </r>
  </si>
  <si>
    <t>“First You Should Get Stronger” Caregiving Program</t>
  </si>
  <si>
    <r>
      <t>Mahdavi 2017</t>
    </r>
    <r>
      <rPr>
        <vertAlign val="superscript"/>
        <sz val="8"/>
        <color rgb="FF000000"/>
        <rFont val="Arial"/>
        <family val="2"/>
      </rPr>
      <t>31</t>
    </r>
  </si>
  <si>
    <t>Spiritual Group Therapy</t>
  </si>
  <si>
    <r>
      <t>32</t>
    </r>
    <r>
      <rPr>
        <vertAlign val="superscript"/>
        <sz val="8"/>
        <color rgb="FF000000"/>
        <rFont val="Helvetica"/>
        <family val="2"/>
      </rPr>
      <t>[2]</t>
    </r>
    <r>
      <rPr>
        <sz val="8"/>
        <color rgb="FF000000"/>
        <rFont val="Helvetica"/>
        <family val="2"/>
      </rPr>
      <t xml:space="preserve"> / 33</t>
    </r>
    <r>
      <rPr>
        <vertAlign val="superscript"/>
        <sz val="8"/>
        <color rgb="FF000000"/>
        <rFont val="Helvetica"/>
        <family val="2"/>
      </rPr>
      <t>[3]</t>
    </r>
  </si>
  <si>
    <r>
      <t>Mercedeh 2014</t>
    </r>
    <r>
      <rPr>
        <vertAlign val="superscript"/>
        <sz val="8"/>
        <color rgb="FF000000"/>
        <rFont val="Arial"/>
        <family val="2"/>
      </rPr>
      <t>32</t>
    </r>
  </si>
  <si>
    <t>Mindfulness based cognitive therapy</t>
  </si>
  <si>
    <t>Individual[4]</t>
  </si>
  <si>
    <r>
      <t>Orawan 2018</t>
    </r>
    <r>
      <rPr>
        <vertAlign val="superscript"/>
        <sz val="8"/>
        <color rgb="FF000000"/>
        <rFont val="Arial"/>
        <family val="2"/>
      </rPr>
      <t>33</t>
    </r>
  </si>
  <si>
    <t>Enhancing Positive Aspects of Caregiving Program</t>
  </si>
  <si>
    <r>
      <t>Pahlavanzadeh 2010</t>
    </r>
    <r>
      <rPr>
        <vertAlign val="superscript"/>
        <sz val="8"/>
        <color rgb="FF000000"/>
        <rFont val="Arial"/>
        <family val="2"/>
      </rPr>
      <t>34</t>
    </r>
  </si>
  <si>
    <r>
      <t>Salamizadeh 2017</t>
    </r>
    <r>
      <rPr>
        <vertAlign val="superscript"/>
        <sz val="8"/>
        <color rgb="FF000000"/>
        <rFont val="Arial"/>
        <family val="2"/>
      </rPr>
      <t>35</t>
    </r>
  </si>
  <si>
    <t>Spiritual Care Education</t>
  </si>
  <si>
    <t>Individual[5]</t>
  </si>
  <si>
    <r>
      <t>Shata 2017</t>
    </r>
    <r>
      <rPr>
        <vertAlign val="superscript"/>
        <sz val="8"/>
        <color rgb="FF000000"/>
        <rFont val="Arial"/>
        <family val="2"/>
      </rPr>
      <t>36</t>
    </r>
  </si>
  <si>
    <t>A multi-component psychosocial intervention program</t>
  </si>
  <si>
    <r>
      <t>Söylemez 2016</t>
    </r>
    <r>
      <rPr>
        <vertAlign val="superscript"/>
        <sz val="8"/>
        <color rgb="FF000000"/>
        <rFont val="Arial"/>
        <family val="2"/>
      </rPr>
      <t>37</t>
    </r>
  </si>
  <si>
    <t>Bi-weekly</t>
  </si>
  <si>
    <t xml:space="preserve">Individual </t>
  </si>
  <si>
    <t>5 months + 2 weeks[6]</t>
  </si>
  <si>
    <r>
      <t>SU 2012</t>
    </r>
    <r>
      <rPr>
        <vertAlign val="superscript"/>
        <sz val="8"/>
        <color rgb="FF000000"/>
        <rFont val="Arial"/>
        <family val="2"/>
      </rPr>
      <t>38</t>
    </r>
  </si>
  <si>
    <t>14 days + 6 months</t>
  </si>
  <si>
    <r>
      <t>SUN 2010</t>
    </r>
    <r>
      <rPr>
        <vertAlign val="superscript"/>
        <sz val="8"/>
        <color rgb="FF000000"/>
        <rFont val="Arial"/>
        <family val="2"/>
      </rPr>
      <t>39</t>
    </r>
  </si>
  <si>
    <t>Nursing intervention</t>
  </si>
  <si>
    <r>
      <t>TAN 2010</t>
    </r>
    <r>
      <rPr>
        <vertAlign val="superscript"/>
        <sz val="8"/>
        <color rgb="FF000000"/>
        <rFont val="Arial"/>
        <family val="2"/>
      </rPr>
      <t>40</t>
    </r>
  </si>
  <si>
    <t>Early family intervention</t>
  </si>
  <si>
    <r>
      <t>Wang 2010b</t>
    </r>
    <r>
      <rPr>
        <vertAlign val="superscript"/>
        <sz val="8"/>
        <color rgb="FF000000"/>
        <rFont val="Arial"/>
        <family val="2"/>
      </rPr>
      <t>41</t>
    </r>
  </si>
  <si>
    <t>Community nursing intervention</t>
  </si>
  <si>
    <r>
      <t>Wang 2012e</t>
    </r>
    <r>
      <rPr>
        <vertAlign val="superscript"/>
        <sz val="8"/>
        <color rgb="FF000000"/>
        <rFont val="Arial"/>
        <family val="2"/>
      </rPr>
      <t>42</t>
    </r>
  </si>
  <si>
    <r>
      <t>Wang 2014a</t>
    </r>
    <r>
      <rPr>
        <vertAlign val="superscript"/>
        <sz val="8"/>
        <color rgb="FF000000"/>
        <rFont val="Arial"/>
        <family val="2"/>
      </rPr>
      <t>43</t>
    </r>
  </si>
  <si>
    <t>Home care intervention</t>
  </si>
  <si>
    <r>
      <t>Yang 2017a</t>
    </r>
    <r>
      <rPr>
        <vertAlign val="superscript"/>
        <sz val="8"/>
        <color rgb="FF000000"/>
        <rFont val="Arial"/>
        <family val="2"/>
      </rPr>
      <t>44</t>
    </r>
  </si>
  <si>
    <t>Family medical intervention model</t>
  </si>
  <si>
    <r>
      <t>ZHAO 2010</t>
    </r>
    <r>
      <rPr>
        <vertAlign val="superscript"/>
        <sz val="8"/>
        <color rgb="FF000000"/>
        <rFont val="Arial"/>
        <family val="2"/>
      </rPr>
      <t>45</t>
    </r>
  </si>
  <si>
    <t>Family nursing intervention</t>
  </si>
  <si>
    <t>Study identifier</t>
  </si>
  <si>
    <t>Descriptive name of the intervention</t>
  </si>
  <si>
    <t>Intervention approach(es)</t>
  </si>
  <si>
    <t>Intervention frequency</t>
  </si>
  <si>
    <t>Randomisation unit</t>
  </si>
  <si>
    <t>Intervention duration</t>
  </si>
  <si>
    <t>Follow-up duration (from baseline)</t>
  </si>
  <si>
    <t xml:space="preserve">4weeks + 1 month/ 4weeks + 3 months  </t>
  </si>
  <si>
    <t>3 months/6 months</t>
  </si>
  <si>
    <t>24 weeks / 24 weeks + 1 month</t>
  </si>
  <si>
    <t>6 months/12 months</t>
  </si>
  <si>
    <t>6 months/1 year</t>
  </si>
  <si>
    <t>8, 12, 20 weeks</t>
  </si>
  <si>
    <t>5 weeks/5 weeks + 1 month</t>
  </si>
  <si>
    <t>8 weeks/8 weeks + 3 months</t>
  </si>
  <si>
    <t>8 weeks/8 weeks + 2 months</t>
  </si>
  <si>
    <t>Caregiver subjective wellbeing</t>
  </si>
  <si>
    <t>Thai Subjective well-being Scale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</si>
</sst>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2" x14ac:knownFonts="1">
    <font>
      <sz val="11"/>
      <color rgb="FF000000"/>
      <name val="Calibri"/>
      <family val="2"/>
      <scheme val="minor"/>
    </font>
    <font>
      <sz val="8"/>
      <name val="Calibri"/>
      <family val="2"/>
      <scheme val="minor"/>
    </font>
    <font>
      <sz val="11"/>
      <color rgb="FFFF0000"/>
      <name val="Calibri"/>
      <family val="2"/>
      <scheme val="minor"/>
    </font>
    <font>
      <sz val="11"/>
      <name val="Calibri (Body)"/>
    </font>
    <font>
      <sz val="11"/>
      <name val="Calibri"/>
      <family val="2"/>
      <scheme val="minor"/>
    </font>
    <font>
      <sz val="11"/>
      <color rgb="FF000000"/>
      <name val="Calibri"/>
      <family val="2"/>
      <scheme val="minor"/>
    </font>
    <font>
      <sz val="8"/>
      <color rgb="FF000000"/>
      <name val="Helvetica"/>
      <family val="2"/>
    </font>
    <font>
      <vertAlign val="superscript"/>
      <sz val="8"/>
      <color rgb="FF000000"/>
      <name val="Helvetica"/>
      <family val="2"/>
    </font>
    <font>
      <sz val="8"/>
      <color rgb="FF000000"/>
      <name val="Arial"/>
      <family val="2"/>
    </font>
    <font>
      <vertAlign val="superscript"/>
      <sz val="8"/>
      <color rgb="FF000000"/>
      <name val="Arial"/>
      <family val="2"/>
    </font>
    <font>
      <u/>
      <sz val="11"/>
      <color theme="10"/>
      <name val="Calibri"/>
      <family val="2"/>
      <scheme val="minor"/>
    </font>
    <font>
      <b/>
      <sz val="8"/>
      <color rgb="FF000000"/>
      <name val="Helvetica"/>
      <family val="2"/>
    </font>
  </fonts>
  <fills count="11">
    <fill>
      <patternFill patternType="none"/>
    </fill>
    <fill>
      <patternFill patternType="gray125"/>
    </fill>
    <fill>
      <patternFill patternType="solid">
        <fgColor theme="4" tint="0.7999816888943144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DCE6F1"/>
        <bgColor rgb="FF000000"/>
      </patternFill>
    </fill>
    <fill>
      <patternFill patternType="solid">
        <fgColor theme="9" tint="0.7999816888943144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theme="5" tint="0.79998168889431442"/>
        <bgColor indexed="64"/>
      </patternFill>
    </fill>
  </fills>
  <borders count="8">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s>
  <cellStyleXfs count="3">
    <xf numFmtId="0" fontId="0" fillId="0" borderId="0"/>
    <xf numFmtId="43" fontId="5" fillId="0" borderId="0" applyFont="0" applyFill="0" applyBorder="0" applyAlignment="0" applyProtection="0"/>
    <xf numFmtId="0" fontId="10" fillId="0" borderId="0" applyNumberFormat="0" applyFill="0" applyBorder="0" applyAlignment="0" applyProtection="0"/>
  </cellStyleXfs>
  <cellXfs count="66">
    <xf numFmtId="0" fontId="0" fillId="0" borderId="0" xfId="0"/>
    <xf numFmtId="0" fontId="0" fillId="2" borderId="0" xfId="0" applyFill="1"/>
    <xf numFmtId="0" fontId="0" fillId="3" borderId="0" xfId="0" applyFill="1"/>
    <xf numFmtId="0" fontId="0" fillId="4" borderId="0" xfId="0" applyFill="1"/>
    <xf numFmtId="2" fontId="0" fillId="2" borderId="0" xfId="0" applyNumberFormat="1" applyFill="1"/>
    <xf numFmtId="2" fontId="0" fillId="3" borderId="0" xfId="0" applyNumberFormat="1" applyFill="1"/>
    <xf numFmtId="2" fontId="0" fillId="0" borderId="0" xfId="0" applyNumberFormat="1"/>
    <xf numFmtId="0" fontId="2" fillId="2" borderId="0" xfId="0" applyFont="1" applyFill="1"/>
    <xf numFmtId="0" fontId="3" fillId="0" borderId="0" xfId="0" applyFont="1"/>
    <xf numFmtId="9" fontId="3" fillId="0" borderId="0" xfId="0" applyNumberFormat="1" applyFont="1"/>
    <xf numFmtId="10" fontId="3" fillId="0" borderId="0" xfId="0" applyNumberFormat="1" applyFont="1"/>
    <xf numFmtId="0" fontId="3" fillId="4" borderId="0" xfId="0" applyFont="1" applyFill="1"/>
    <xf numFmtId="2" fontId="3" fillId="2" borderId="0" xfId="0" applyNumberFormat="1" applyFont="1" applyFill="1"/>
    <xf numFmtId="0" fontId="3" fillId="2" borderId="0" xfId="0" applyFont="1" applyFill="1"/>
    <xf numFmtId="2" fontId="3" fillId="3" borderId="0" xfId="0" applyNumberFormat="1" applyFont="1" applyFill="1"/>
    <xf numFmtId="0" fontId="3" fillId="3" borderId="0" xfId="0" applyFont="1" applyFill="1"/>
    <xf numFmtId="0" fontId="2" fillId="5" borderId="0" xfId="0" applyFont="1" applyFill="1"/>
    <xf numFmtId="0" fontId="4" fillId="0" borderId="0" xfId="0" applyFont="1"/>
    <xf numFmtId="0" fontId="0" fillId="0" borderId="0" xfId="0" pivotButton="1"/>
    <xf numFmtId="0" fontId="0" fillId="0" borderId="0" xfId="0" applyAlignment="1">
      <alignment horizontal="left"/>
    </xf>
    <xf numFmtId="0" fontId="4" fillId="2" borderId="0" xfId="0" applyFont="1" applyFill="1"/>
    <xf numFmtId="0" fontId="0" fillId="0" borderId="0" xfId="0" applyAlignment="1">
      <alignment horizontal="left" indent="1"/>
    </xf>
    <xf numFmtId="0" fontId="4" fillId="6" borderId="0" xfId="0" applyFont="1" applyFill="1"/>
    <xf numFmtId="0" fontId="0" fillId="6" borderId="0" xfId="0" applyFill="1"/>
    <xf numFmtId="2" fontId="4" fillId="7" borderId="0" xfId="1" applyNumberFormat="1" applyFont="1" applyFill="1"/>
    <xf numFmtId="1" fontId="4" fillId="7" borderId="0" xfId="0" applyNumberFormat="1" applyFont="1" applyFill="1"/>
    <xf numFmtId="2" fontId="0" fillId="7" borderId="0" xfId="1" applyNumberFormat="1" applyFont="1" applyFill="1"/>
    <xf numFmtId="1" fontId="0" fillId="7" borderId="0" xfId="0" applyNumberFormat="1" applyFill="1"/>
    <xf numFmtId="2" fontId="4" fillId="8" borderId="0" xfId="1" applyNumberFormat="1" applyFont="1" applyFill="1"/>
    <xf numFmtId="1" fontId="4" fillId="8" borderId="0" xfId="0" applyNumberFormat="1" applyFont="1" applyFill="1"/>
    <xf numFmtId="2" fontId="0" fillId="8" borderId="0" xfId="1" applyNumberFormat="1" applyFont="1" applyFill="1"/>
    <xf numFmtId="1" fontId="0" fillId="8" borderId="0" xfId="0" applyNumberFormat="1" applyFill="1"/>
    <xf numFmtId="0" fontId="4" fillId="9" borderId="0" xfId="0" applyFont="1" applyFill="1"/>
    <xf numFmtId="0" fontId="0" fillId="9" borderId="0" xfId="0" applyFill="1"/>
    <xf numFmtId="0" fontId="4" fillId="10" borderId="0" xfId="0" applyFont="1" applyFill="1"/>
    <xf numFmtId="0" fontId="0" fillId="10" borderId="0" xfId="0" applyFill="1"/>
    <xf numFmtId="0" fontId="3" fillId="9" borderId="0" xfId="0" applyFont="1" applyFill="1"/>
    <xf numFmtId="0" fontId="3" fillId="10" borderId="0" xfId="0" applyFont="1" applyFill="1"/>
    <xf numFmtId="10" fontId="3" fillId="9" borderId="0" xfId="0" applyNumberFormat="1" applyFont="1" applyFill="1"/>
    <xf numFmtId="9" fontId="3" fillId="9" borderId="0" xfId="0" applyNumberFormat="1" applyFont="1" applyFill="1"/>
    <xf numFmtId="2" fontId="3" fillId="8" borderId="0" xfId="1" applyNumberFormat="1" applyFont="1" applyFill="1"/>
    <xf numFmtId="1" fontId="3" fillId="8" borderId="0" xfId="0" applyNumberFormat="1" applyFont="1" applyFill="1"/>
    <xf numFmtId="2" fontId="3" fillId="7" borderId="0" xfId="1" applyNumberFormat="1" applyFont="1" applyFill="1"/>
    <xf numFmtId="1" fontId="3" fillId="7" borderId="0" xfId="0" applyNumberFormat="1" applyFont="1" applyFill="1"/>
    <xf numFmtId="0" fontId="3" fillId="6" borderId="0" xfId="0" applyFont="1" applyFill="1"/>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8" fillId="0" borderId="3" xfId="0" applyFont="1" applyBorder="1" applyAlignment="1">
      <alignment horizontal="center" vertical="center" wrapText="1"/>
    </xf>
    <xf numFmtId="0" fontId="10" fillId="0" borderId="3" xfId="2" applyBorder="1" applyAlignment="1">
      <alignment horizontal="center" vertical="center" wrapText="1"/>
    </xf>
    <xf numFmtId="0" fontId="10" fillId="0" borderId="4" xfId="2" applyBorder="1" applyAlignment="1">
      <alignment horizontal="center" vertical="center" wrapText="1"/>
    </xf>
    <xf numFmtId="0" fontId="10" fillId="0" borderId="0" xfId="2" applyAlignment="1">
      <alignment horizontal="justify" vertical="center"/>
    </xf>
    <xf numFmtId="0" fontId="11" fillId="0" borderId="7" xfId="0" applyFont="1" applyBorder="1" applyAlignment="1">
      <alignment vertical="center" wrapText="1"/>
    </xf>
    <xf numFmtId="0" fontId="11" fillId="0" borderId="4" xfId="0" applyFont="1" applyBorder="1" applyAlignment="1">
      <alignment vertical="center" wrapText="1"/>
    </xf>
    <xf numFmtId="0" fontId="6" fillId="0" borderId="6" xfId="0" applyFont="1" applyBorder="1" applyAlignment="1">
      <alignment horizontal="center" vertical="center" wrapText="1"/>
    </xf>
    <xf numFmtId="0" fontId="8" fillId="0" borderId="6" xfId="0" applyFont="1" applyBorder="1" applyAlignment="1">
      <alignment horizontal="center" vertical="center" wrapText="1"/>
    </xf>
    <xf numFmtId="0" fontId="11" fillId="0" borderId="6" xfId="0" applyFont="1" applyBorder="1" applyAlignment="1">
      <alignment vertical="center" wrapText="1"/>
    </xf>
    <xf numFmtId="0" fontId="6" fillId="0" borderId="4" xfId="0" applyFont="1" applyBorder="1" applyAlignment="1">
      <alignment vertical="center" wrapText="1"/>
    </xf>
    <xf numFmtId="0" fontId="6" fillId="0" borderId="6" xfId="0" applyFont="1" applyBorder="1" applyAlignment="1">
      <alignment vertical="center" wrapText="1"/>
    </xf>
    <xf numFmtId="0" fontId="8" fillId="0" borderId="3" xfId="0" applyFont="1" applyBorder="1" applyAlignment="1">
      <alignment vertical="center" wrapText="1"/>
    </xf>
    <xf numFmtId="0" fontId="8" fillId="0" borderId="6" xfId="0" applyFont="1" applyBorder="1" applyAlignment="1">
      <alignment vertical="center" wrapText="1"/>
    </xf>
    <xf numFmtId="0" fontId="10" fillId="0" borderId="4" xfId="2" applyBorder="1" applyAlignment="1">
      <alignment vertical="center" wrapText="1"/>
    </xf>
    <xf numFmtId="0" fontId="10" fillId="0" borderId="6" xfId="2" applyBorder="1" applyAlignment="1">
      <alignment vertical="center" wrapText="1"/>
    </xf>
    <xf numFmtId="0" fontId="6" fillId="0" borderId="3" xfId="0" applyFont="1" applyBorder="1" applyAlignment="1">
      <alignment vertical="center" wrapText="1"/>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4911.468752430555" createdVersion="8" refreshedVersion="8" minRefreshableVersion="3" recordCount="136" xr:uid="{819E170D-4D23-9745-8152-506626CF7BEC}">
  <cacheSource type="worksheet">
    <worksheetSource ref="B1:AX134" sheet="Combined"/>
  </cacheSource>
  <cacheFields count="49">
    <cacheField name="Study.Identifier" numFmtId="0">
      <sharedItems containsBlank="1" count="30">
        <s v="Amit 2008"/>
        <s v="Chen 2020"/>
        <s v="Ghaffari 2019"/>
        <s v="Govindakumari 2020"/>
        <s v="Guerra 2011"/>
        <s v="Hinton 2020"/>
        <s v="JIANG 2012"/>
        <s v="Lin 2017"/>
        <s v="Lök 2017"/>
        <s v="Mahdavi 2017"/>
        <s v="Mercedeh 2014"/>
        <s v="Orawan 2018"/>
        <s v="Pahlavanzadeh 2010"/>
        <s v="Pan 2019"/>
        <s v="Salamizadeh 2017"/>
        <s v="Shata 2017"/>
        <s v="Söylemez 2016"/>
        <s v="SU 2012"/>
        <s v="SUN 2010"/>
        <s v="TAN 2010"/>
        <s v="Uyar 2019"/>
        <s v="Wang 2010b"/>
        <s v="Wang 2012e"/>
        <s v="Wang 2014a"/>
        <s v="Yang 2017a"/>
        <s v="Zarepour 2020"/>
        <s v="ZHAO 2010"/>
        <m/>
        <s v="Kamkhagi 2015" u="1"/>
        <s v="ub" u="1"/>
      </sharedItems>
    </cacheField>
    <cacheField name="Year" numFmtId="0">
      <sharedItems containsString="0" containsBlank="1" containsNumber="1" containsInteger="1" minValue="2008" maxValue="2020"/>
    </cacheField>
    <cacheField name="Intervention" numFmtId="0">
      <sharedItems containsBlank="1"/>
    </cacheField>
    <cacheField name="Intervention.types" numFmtId="0">
      <sharedItems containsBlank="1" count="5">
        <s v="No intervention"/>
        <s v="Training and education for carers"/>
        <s v="Support for carers"/>
        <s v="Comprehensive care interventions"/>
        <m/>
      </sharedItems>
    </cacheField>
    <cacheField name="Intervention.subgroups" numFmtId="0">
      <sharedItems containsBlank="1"/>
    </cacheField>
    <cacheField name="Country" numFmtId="0">
      <sharedItems containsBlank="1"/>
    </cacheField>
    <cacheField name="Setting" numFmtId="0">
      <sharedItems containsBlank="1" longText="1"/>
    </cacheField>
    <cacheField name="Types.of.disease_clean" numFmtId="0">
      <sharedItems containsBlank="1"/>
    </cacheField>
    <cacheField name="Type.of.disease.in.two.categories.(dementia.and.MCI)" numFmtId="0">
      <sharedItems containsBlank="1"/>
    </cacheField>
    <cacheField name="Updated.Dementia.Severity" numFmtId="0">
      <sharedItems containsBlank="1"/>
    </cacheField>
    <cacheField name="Is.this.a.study.focusing.on.carers.of.people.living.with.dementia.or.mild.cognitive.impairment?" numFmtId="0">
      <sharedItems containsBlank="1"/>
    </cacheField>
    <cacheField name="Domain.1" numFmtId="0">
      <sharedItems containsBlank="1"/>
    </cacheField>
    <cacheField name="Domain.2" numFmtId="0">
      <sharedItems containsBlank="1"/>
    </cacheField>
    <cacheField name="Domain.3" numFmtId="0">
      <sharedItems containsBlank="1"/>
    </cacheField>
    <cacheField name="Domain.4" numFmtId="0">
      <sharedItems containsBlank="1"/>
    </cacheField>
    <cacheField name="Domain.5" numFmtId="0">
      <sharedItems containsBlank="1"/>
    </cacheField>
    <cacheField name="Overall" numFmtId="0">
      <sharedItems containsBlank="1"/>
    </cacheField>
    <cacheField name="Baseline.Educational.level.(indicate.how.this.was.measured)" numFmtId="0">
      <sharedItems containsBlank="1"/>
    </cacheField>
    <cacheField name="Baseline.Female.(percent)" numFmtId="0">
      <sharedItems containsBlank="1" containsMixedTypes="1" containsNumber="1" minValue="0.52800000000000002" maxValue="0.76900000000000002"/>
    </cacheField>
    <cacheField name="Baseline.For.studies.in.carers.only:.Caregiver.age.in.years.(mean)" numFmtId="0">
      <sharedItems containsBlank="1"/>
    </cacheField>
    <cacheField name="Baseline.For.studies.in.carers.only:.Caregiver.female.(percent)" numFmtId="0">
      <sharedItems containsBlank="1" containsMixedTypes="1" containsNumber="1" minValue="0.55359999999999998" maxValue="0.92"/>
    </cacheField>
    <cacheField name="Baseline.For.studies.in.carers.only:.Full-time.working.(percent)" numFmtId="0">
      <sharedItems containsBlank="1"/>
    </cacheField>
    <cacheField name="Baseline.For.studies.in.carers.only:.Part-time.working.(percent)" numFmtId="0">
      <sharedItems containsBlank="1"/>
    </cacheField>
    <cacheField name="Intervention.Brief.description.of.intervention" numFmtId="0">
      <sharedItems containsBlank="1" longText="1"/>
    </cacheField>
    <cacheField name="Intervention.Brief.description.ofi.ntervention" numFmtId="0">
      <sharedItems containsNonDate="0" containsString="0" containsBlank="1"/>
    </cacheField>
    <cacheField name="Intervention.Brief.intervention.description" numFmtId="0">
      <sharedItems containsNonDate="0" containsString="0" containsBlank="1"/>
    </cacheField>
    <cacheField name="Intervention.Brief.introduction.to.the.intervention" numFmtId="0">
      <sharedItems containsBlank="1"/>
    </cacheField>
    <cacheField name="Intervention.Intervention.details" numFmtId="0">
      <sharedItems containsBlank="1" longText="1"/>
    </cacheField>
    <cacheField name="Intervention.Intervention.details.1" numFmtId="0">
      <sharedItems containsBlank="1" longText="1"/>
    </cacheField>
    <cacheField name="Intervention.Intervention.details.(duration.and.intensity.of.the.intervention,.dosage.of.drugs,.existence.of.a.protocol.or.manual.for.psychosocial,.training.or.education.interventions)" numFmtId="0">
      <sharedItems containsNonDate="0" containsString="0" containsBlank="1"/>
    </cacheField>
    <cacheField name="Intervention.intervention.type" numFmtId="0">
      <sharedItems containsNonDate="0" containsString="0" containsBlank="1"/>
    </cacheField>
    <cacheField name="Intervention.Intervention.type.1" numFmtId="0">
      <sharedItems containsNonDate="0" containsString="0" containsBlank="1"/>
    </cacheField>
    <cacheField name="Intervention.Interv..Type:" numFmtId="0">
      <sharedItems containsNonDate="0" containsString="0" containsBlank="1"/>
    </cacheField>
    <cacheField name="Intervention.Interv..type.[SELECT:.Pharmaceutical;.Traditional.Chinese.Medicine;.Other.trad..medicines;.Non-pharmacol.;.Multicomponent.(record.each.component);.Interv..for.carers;.End.of.life.care;.Treatment/prevention.of.co-morbidities;.Technology;.Diagn" numFmtId="0">
      <sharedItems containsBlank="1"/>
    </cacheField>
    <cacheField name="Intervention.Interv..type.[SELECT:.Pharmaceutical;.Traditional.Chinese.Medicine;.Other.trad..medicines;.Non-pharmacol.;.Multicomponent.(record.each.component);.Interv..for.carers;.End.of.life.care;.Treatment/preventioo-morbidities;.Technology;.Diagnostic;" numFmtId="0">
      <sharedItems containsNonDate="0" containsString="0" containsBlank="1"/>
    </cacheField>
    <cacheField name="Effect.measure" numFmtId="0">
      <sharedItems containsBlank="1" count="18">
        <s v="Caregiver burden"/>
        <s v="Patient activities of daily life"/>
        <s v="Patient cognitive function"/>
        <s v="Patient neuropsychiatric symptoms"/>
        <s v="Caregiver anxiety"/>
        <s v="Caregiver depression"/>
        <s v="Caregiver mental health"/>
        <s v="Patient quality of life"/>
        <s v="Caregiver environmental quality of life"/>
        <s v="Caregiver neuropsychiatric symptoms"/>
        <s v="Caregiver physical quality of life"/>
        <s v="Caregiver quality of life"/>
        <s v="Caregiver positive experience"/>
        <s v="Caregiver self-efficacy"/>
        <s v="Caregiver phychological quality of life"/>
        <s v="Patient activities of daily life "/>
        <m/>
        <s v="Caregiver physical Quality of life " u="1"/>
      </sharedItems>
    </cacheField>
    <cacheField name="Measurement.method" numFmtId="0">
      <sharedItems containsBlank="1" count="29">
        <s v="ZBI"/>
        <s v="BADL"/>
        <s v="MoCA"/>
        <s v="BEHAVE-AD"/>
        <s v="GHQ-28"/>
        <s v="Unspecified"/>
        <s v="WHO-QoL-Bref"/>
        <s v="NPI-Q distress"/>
        <s v="NPI-Q severity"/>
        <s v="SRQ-20"/>
        <s v="DEMQOL"/>
        <s v="PHQ-4"/>
        <s v="MMSE"/>
        <s v="Caregiver burden inventory"/>
        <s v="Robinson's Caregiver Strain Index"/>
        <s v="Ham-D"/>
        <s v="SF36"/>
        <s v="Positive Aspects of Caregiving Questionnaire (PACQ)"/>
        <s v="Subjective well-being"/>
        <s v="CES-D"/>
        <s v="General Self Efficacy scale (GSE-10)"/>
        <s v="BAI"/>
        <s v="BDI"/>
        <s v="SF36 mental health"/>
        <s v="SF36 Physical health"/>
        <s v="QoL-Ada"/>
        <s v="IADL"/>
        <s v="Spielberger questionnaires"/>
        <m/>
      </sharedItems>
    </cacheField>
    <cacheField name="Measurement.type" numFmtId="0">
      <sharedItems containsBlank="1" count="5">
        <s v="SMD"/>
        <s v="Raw"/>
        <s v="Change from baseline (within group)"/>
        <s v="Change from baseline (between group)"/>
        <m/>
      </sharedItems>
    </cacheField>
    <cacheField name="Pre_mean" numFmtId="2">
      <sharedItems containsString="0" containsBlank="1" containsNumber="1" minValue="4.0999999999999996" maxValue="450.1"/>
    </cacheField>
    <cacheField name="Pre_N" numFmtId="1">
      <sharedItems containsString="0" containsBlank="1" containsNumber="1" containsInteger="1" minValue="10" maxValue="157"/>
    </cacheField>
    <cacheField name="Pre_SD" numFmtId="2">
      <sharedItems containsString="0" containsBlank="1" containsNumber="1" minValue="1.1299999999999899" maxValue="151"/>
    </cacheField>
    <cacheField name="Post_mean" numFmtId="2">
      <sharedItems containsString="0" containsBlank="1" containsNumber="1" minValue="-17.399999999999999" maxValue="570.1"/>
    </cacheField>
    <cacheField name="Post_N" numFmtId="1">
      <sharedItems containsString="0" containsBlank="1" containsNumber="1" containsInteger="1" minValue="10" maxValue="157"/>
    </cacheField>
    <cacheField name="Post_SD" numFmtId="2">
      <sharedItems containsString="0" containsBlank="1" containsNumber="1" minValue="0.4" maxValue="146.4"/>
    </cacheField>
    <cacheField name="95CI_lower" numFmtId="2">
      <sharedItems containsString="0" containsBlank="1" containsNumber="1" minValue="-6.78" maxValue="0"/>
    </cacheField>
    <cacheField name="95CI_upper" numFmtId="2">
      <sharedItems containsString="0" containsBlank="1" containsNumber="1" minValue="-0.51" maxValue="1.48"/>
    </cacheField>
    <cacheField name="Duration" numFmtId="0">
      <sharedItems containsBlank="1" count="28">
        <s v="6 months"/>
        <s v="12 months"/>
        <s v="8 weekly sessions (The GHQ was completed before and 35 - 40 days after the intervention in both groups)"/>
        <s v="1 month"/>
        <s v="6 months (5 weekly session intervention)"/>
        <s v="3 months"/>
        <s v="7 weeks"/>
        <s v="post-intervention (5 weeks)"/>
        <s v="12 weeks"/>
        <s v="20 weeks"/>
        <s v="8 weeks"/>
        <s v="1 month post treatment"/>
        <s v="End of intervention (5 weekly sessions)"/>
        <s v="2 month follow-up"/>
        <s v="five monthly in-home nurse-led cognitive behavioral sessions and consultation calls after each session"/>
        <s v="3 weeks post-intervention (5 weekly sessions)"/>
        <s v="3 month follow-up"/>
        <s v="post-intervention (8 weekly sessions)"/>
        <s v="6 months (3 months post-intervention)"/>
        <s v="6 month post-treatment (14-day hospitalisation)"/>
        <s v="12 months post-intervention"/>
        <s v="Unclear"/>
        <s v="16 weeks"/>
        <s v="1 month after 24-week intervention"/>
        <s v="1 month post intervention"/>
        <s v="3 months post intervention"/>
        <m/>
        <s v="After intervention (14 weekly sessions)" u="1"/>
      </sharedItems>
    </cacheField>
    <cacheField name="Measurement points (days from start)" numFmtId="0">
      <sharedItems containsString="0" containsBlank="1" containsNumber="1" containsInteger="1" minValue="30" maxValue="365"/>
    </cacheField>
    <cacheField name="Treatment duration (days from start)" numFmtId="0">
      <sharedItems containsBlank="1" containsMixedTypes="1" containsNumber="1" containsInteger="1" minValue="14" maxValue="36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6">
  <r>
    <x v="0"/>
    <n v="2008"/>
    <s v="Control"/>
    <x v="0"/>
    <s v="No intervention"/>
    <s v="India"/>
    <s v="Caregivers of people living with dementia were recruited from the community. “The study was conducted in Goa, on the west coast of India. Goa is in an advanced stage of the epidemiological and demographic transition in the country, with some of the best health indicators [7] and a rising proportion of older people; the 2001 Census reported that 8.3% of the total population was aged over 60 years[8]. The consensus figure for prevalence of dementia in India is 1.9% above the age of 60 years [3]The present trial was carried out in two of the largest administrative blocks (talukas) in the state - Bardez and Tiswadi with a population of approximately 340,000.”"/>
    <s v="Dementia (general/unspecified)"/>
    <s v="Dementia"/>
    <s v="Mild to moderate"/>
    <s v="Yes"/>
    <s v="low risk"/>
    <s v="some concerns"/>
    <s v="low risk"/>
    <s v="high risk"/>
    <s v="some concerns"/>
    <s v="high risk"/>
    <s v="Below primary: 19%"/>
    <s v="32.5"/>
    <s v="53.8"/>
    <s v="85"/>
    <m/>
    <m/>
    <s v="Education and information (wait list for intervention)"/>
    <m/>
    <m/>
    <m/>
    <s v="“The control arm dyads received only education and information regarding dementia and were then placed in a waiting list to receive the intervention after 6 months. They were free to utilize the existing health services during this time.”"/>
    <m/>
    <m/>
    <m/>
    <m/>
    <m/>
    <s v="N/A"/>
    <m/>
    <x v="0"/>
    <x v="0"/>
    <x v="0"/>
    <m/>
    <m/>
    <m/>
    <m/>
    <n v="26"/>
    <m/>
    <m/>
    <m/>
    <x v="0"/>
    <n v="180"/>
    <n v="180"/>
  </r>
  <r>
    <x v="0"/>
    <n v="2008"/>
    <s v="Home care program"/>
    <x v="1"/>
    <s v="Training and education for unpaid carers"/>
    <s v="India"/>
    <s v="Caregivers of people living with dementia were recruited from the community. “The study was conducted in Goa, on the west coast of India. Goa is in an advanced stage of the epidemiological and demographic transition in the country, with some of the best health indicators [7] and a rising proportion of older people; the 2001 Census reported that 8.3% of the total population was aged over 60 years[8]. The consensus figure for prevalence of dementia in India is 1.9% above the age of 60 years [3]The present trial was carried out in two of the largest administrative blocks (talukas) in the state - Bardez and Tiswadi with a population of approximately 340,000.”"/>
    <s v="Dementia (general/unspecified)"/>
    <s v="Dementia"/>
    <s v="Mild to moderate"/>
    <s v="Yes"/>
    <s v="low risk"/>
    <s v="some concerns"/>
    <s v="low risk"/>
    <s v="high risk"/>
    <s v="some concerns"/>
    <s v="high risk"/>
    <s v="Below primary: 16%"/>
    <s v="36.6"/>
    <s v="53.2"/>
    <s v="90.2"/>
    <m/>
    <m/>
    <s v="Flexible home-care program tailored to needs of the individual with dementia and their family, delivered by a team of home care advisors, specialist doctor, and counsellor, over 6 months."/>
    <m/>
    <m/>
    <m/>
    <s v="“The intervention was delivered by a Community Team, one for each taluka. Each team comprised two full-time Home Care Advisors (HCA), and a part-time local psychiatrist from the public health services, and a part-time lay counselor (who was shared by both teams). The minimum requirements for being a HCA were knowledge of the local language, being literate, preferably passed higher secondary school, and motivated to be involved in the community care of older people. They received intensive training for a week through role play and interactive training methods. The HCA were trained in key skills including listening and counselling skills, bereavement counseling, stress management and health advice for common health problems. The specific components of the intervention carried out by the HCA were: Basic education about dementia (what is the disease, its course, its features etc); Education about common behaviour problems and how they can be managed; Support to the caregiver, for example for an elderly caregiver living alone with the patient, in activities of daily living; Referral to psychiatrists or the family doctor when behaviour problems are severe and warrant medication intervention; Networking of families to enable the formation of support groups; Advice regarding existing government schemes for elders. The HCA applied a flexible home-care program tailored to the needs of the individual and the family. The baseline information collected by the researchers was made available to the HCA before they initiated the intervention. The minimum frequency of visits was at least once a fortnight for six months. The maximum was based on the needs as assessed by the HCA. Thus, the visits could be more frequent depending on the need of that particular family.”"/>
    <m/>
    <m/>
    <m/>
    <m/>
    <m/>
    <s v="Intervention for carers"/>
    <m/>
    <x v="0"/>
    <x v="0"/>
    <x v="0"/>
    <m/>
    <m/>
    <m/>
    <n v="-3.29"/>
    <n v="33"/>
    <n v="13.39209897120349"/>
    <n v="-6.78"/>
    <n v="0.2"/>
    <x v="0"/>
    <n v="180"/>
    <n v="180"/>
  </r>
  <r>
    <x v="1"/>
    <n v="2020"/>
    <s v="Observation group"/>
    <x v="2"/>
    <s v="Information, education, and training to support carers"/>
    <s v="China"/>
    <s v="Patients with moderate and severe AD admitted to the People’s Hospital of Nanjing Medical University from February 2016 to March 2018"/>
    <s v="Moderate to Severe Alzheimer's Disease"/>
    <s v="Alzheimer’s Disease"/>
    <s v="Moderate to Severe"/>
    <s v="Yes (Intervention was implemented among carer, but outcomes were measured among patients)"/>
    <s v="low risk"/>
    <s v="high risk"/>
    <s v="low risk"/>
    <s v="low risk"/>
    <s v="low risk"/>
    <s v="some concerns"/>
    <m/>
    <n v="0.52800000000000002"/>
    <m/>
    <m/>
    <m/>
    <m/>
    <s v="Implementation of discharge guidance plan, establishment of Wechat group for the discharged patients, opening of hotline, online provision of AD rehabilitation, nursing and medication guidance. The Wechat group and hotline mainly have the following functions, inquiry function. After the patients release or call to raise nursing and medication issues within the group, the designated nursing team members should reply within 1 d and organize appropriate case extension analysis and discussion within the Wechat group. For privacy problems of the individual patients and nursing staff, Wechat private chat or telephone contact was used. When the problems could not be solved remotely, the patients were required to return to the hospital for further consultation. The control group received routine health education and nursing guidance after discharge, while the observation group received additional extended nursing scheme for 1 y, including daily living ability training, body function training, language training, memory training, music therapy, psychological nursing support and offline collective activities of patients. ​ ​"/>
    <m/>
    <m/>
    <s v="Intervention for caregivers"/>
    <m/>
    <m/>
    <m/>
    <m/>
    <m/>
    <m/>
    <m/>
    <m/>
    <x v="1"/>
    <x v="1"/>
    <x v="1"/>
    <n v="14.53"/>
    <n v="51"/>
    <n v="1.77"/>
    <n v="11.41"/>
    <n v="51"/>
    <n v="1.08"/>
    <m/>
    <m/>
    <x v="1"/>
    <n v="365"/>
    <n v="365"/>
  </r>
  <r>
    <x v="1"/>
    <n v="2020"/>
    <s v="Control group"/>
    <x v="0"/>
    <s v="No intervention"/>
    <s v="China"/>
    <s v="Patients with moderate and severe AD admitted to the People’s Hospital of Nanjing Medical University from February 2016 to March 2018"/>
    <s v="Moderate to Severe Alzheimer's Disease"/>
    <s v="Alzheimer’s Disease"/>
    <s v="Moderate to Severe"/>
    <s v="Yes (Intervention was implemented among carer, but outcomes were measured among patients)"/>
    <s v="low risk"/>
    <s v="high risk"/>
    <s v="low risk"/>
    <s v="low risk"/>
    <s v="low risk"/>
    <s v="some concerns"/>
    <m/>
    <n v="0.52900000000000003"/>
    <m/>
    <m/>
    <m/>
    <m/>
    <s v="Implementation of discharge guidance plan, establishment of Wechat group for the discharged patients, opening of hotline, online provision of AD rehabilitation, nursing and medication guidance. The Wechat group and hotline mainly have the following functions, inquiry function. After the patients release or call to raise nursing and medication issues within the group, the designated nursing team members should reply within 1 d and organize appropriate case extension analysis and discussion within the Wechat group. For privacy problems of the individual patients and nursing staff, Wechat private chat or telephone contact was used. When the problems could not be solved remotely, the patients were required to return to the hospital for further consultation. The control group received routine health education and nursing guidance after discharge, while the observation group received additional extended nursing scheme for 1 y, including daily living ability training, body function training, language training, memory training, music therapy, psychological nursing support and offline collective activities of patients. ​ ​"/>
    <m/>
    <m/>
    <s v="Intervention for caregivers"/>
    <m/>
    <m/>
    <m/>
    <m/>
    <m/>
    <m/>
    <m/>
    <m/>
    <x v="1"/>
    <x v="1"/>
    <x v="1"/>
    <n v="15.02"/>
    <n v="51"/>
    <n v="1.82"/>
    <n v="9.31"/>
    <n v="51"/>
    <n v="1.52"/>
    <m/>
    <m/>
    <x v="1"/>
    <n v="365"/>
    <n v="365"/>
  </r>
  <r>
    <x v="1"/>
    <n v="2020"/>
    <s v="Observation group"/>
    <x v="2"/>
    <s v="Information, education, and training to support carers"/>
    <s v="China"/>
    <s v="Patients with moderate and severe AD admitted to the People’s Hospital of Nanjing Medical University from February 2016 to March 2018"/>
    <s v="Moderate to Severe Alzheimer's Disease"/>
    <s v="Alzheimer’s Disease"/>
    <s v="Moderate to Severe"/>
    <s v="Yes (Intervention was implemented among carer, but outcomes were measured among patients)"/>
    <s v="low risk"/>
    <s v="high risk"/>
    <s v="low risk"/>
    <s v="low risk"/>
    <s v="low risk"/>
    <s v="some concerns"/>
    <m/>
    <n v="0.52800000000000002"/>
    <m/>
    <m/>
    <m/>
    <m/>
    <s v="Implementation of discharge guidance plan, establishment of Wechat group for the discharged patients, opening of hotline, online provision of AD rehabilitation, nursing and medication guidance. The Wechat group and hotline mainly have the following functions, inquiry function. After the patients release or call to raise nursing and medication issues within the group, the designated nursing team members should reply within 1 d and organize appropriate case extension analysis and discussion within the Wechat group. For privacy problems of the individual patients and nursing staff, Wechat private chat or telephone contact was used. When the problems could not be solved remotely, the patients were required to return to the hospital for further consultation. The control group received routine health education and nursing guidance after discharge, while the observation group received additional extended nursing scheme for 1 y, including daily living ability training, body function training, language training, memory training, music therapy, psychological nursing support and offline collective activities of patients. ​ ​"/>
    <m/>
    <m/>
    <s v="Intervention for caregivers"/>
    <m/>
    <m/>
    <m/>
    <m/>
    <m/>
    <m/>
    <m/>
    <m/>
    <x v="2"/>
    <x v="2"/>
    <x v="1"/>
    <n v="17.760000000000002"/>
    <n v="51"/>
    <n v="3.68"/>
    <n v="14.64"/>
    <n v="51"/>
    <n v="2.38"/>
    <m/>
    <m/>
    <x v="1"/>
    <n v="365"/>
    <n v="365"/>
  </r>
  <r>
    <x v="1"/>
    <n v="2020"/>
    <s v="Control group"/>
    <x v="0"/>
    <s v="No intervention"/>
    <s v="China"/>
    <s v="Patients with moderate and severe AD admitted to the People’s Hospital of Nanjing Medical University from February 2016 to March 2018"/>
    <s v="Moderate to Severe Alzheimer's Disease"/>
    <s v="Alzheimer’s Disease"/>
    <s v="Moderate to Severe"/>
    <s v="Yes (Intervention was implemented among carer, but outcomes were measured among patients)"/>
    <s v="low risk"/>
    <s v="high risk"/>
    <s v="low risk"/>
    <s v="low risk"/>
    <s v="low risk"/>
    <s v="some concerns"/>
    <m/>
    <n v="0.52900000000000003"/>
    <m/>
    <m/>
    <m/>
    <m/>
    <s v="Implementation of discharge guidance plan, establishment of Wechat group for the discharged patients, opening of hotline, online provision of AD rehabilitation, nursing and medication guidance. The Wechat group and hotline mainly have the following functions, inquiry function. After the patients release or call to raise nursing and medication issues within the group, the designated nursing team members should reply within 1 d and organize appropriate case extension analysis and discussion within the Wechat group. For privacy problems of the individual patients and nursing staff, Wechat private chat or telephone contact was used. When the problems could not be solved remotely, the patients were required to return to the hospital for further consultation. The control group received routine health education and nursing guidance after discharge, while the observation group received additional extended nursing scheme for 1 y, including daily living ability training, body function training, language training, memory training, music therapy, psychological nursing support and offline collective activities of patients. ​ ​"/>
    <m/>
    <m/>
    <s v="Intervention for caregivers"/>
    <m/>
    <m/>
    <m/>
    <m/>
    <m/>
    <m/>
    <m/>
    <m/>
    <x v="2"/>
    <x v="2"/>
    <x v="1"/>
    <n v="17.04"/>
    <n v="51"/>
    <n v="3.52"/>
    <n v="12.59"/>
    <n v="51"/>
    <n v="2.7"/>
    <m/>
    <m/>
    <x v="1"/>
    <n v="365"/>
    <n v="365"/>
  </r>
  <r>
    <x v="1"/>
    <n v="2020"/>
    <s v="Observation group"/>
    <x v="2"/>
    <s v="Information, education, and training to support carers"/>
    <s v="China"/>
    <s v="Patients with moderate and severe AD admitted to the People’s Hospital of Nanjing Medical University from February 2016 to March 2018"/>
    <s v="Moderate to Severe Alzheimer's Disease"/>
    <s v="Alzheimer’s Disease"/>
    <s v="Moderate to Severe"/>
    <s v="Yes (Intervention was implemented among carer, but outcomes were measured among patients)"/>
    <s v="low risk"/>
    <s v="high risk"/>
    <s v="low risk"/>
    <s v="low risk"/>
    <s v="low risk"/>
    <s v="some concerns"/>
    <m/>
    <n v="0.52800000000000002"/>
    <m/>
    <m/>
    <m/>
    <m/>
    <s v="Implementation of discharge guidance plan, establishment of Wechat group for the discharged patients, opening of hotline, online provision of AD rehabilitation, nursing and medication guidance. The Wechat group and hotline mainly have the following functions, inquiry function. After the patients release or call to raise nursing and medication issues within the group, the designated nursing team members should reply within 1 d and organize appropriate case extension analysis and discussion within the Wechat group. For privacy problems of the individual patients and nursing staff, Wechat private chat or telephone contact was used. When the problems could not be solved remotely, the patients were required to return to the hospital for further consultation. The control group received routine health education and nursing guidance after discharge, while the observation group received additional extended nursing scheme for 1 y, including daily living ability training, body function training, language training, memory training, music therapy, psychological nursing support and offline collective activities of patients. ​ ​"/>
    <m/>
    <m/>
    <s v="Intervention for caregivers"/>
    <m/>
    <m/>
    <m/>
    <m/>
    <m/>
    <m/>
    <m/>
    <m/>
    <x v="3"/>
    <x v="3"/>
    <x v="1"/>
    <n v="19.32"/>
    <n v="51"/>
    <n v="3.53"/>
    <n v="7.21"/>
    <n v="51"/>
    <n v="2.88"/>
    <m/>
    <m/>
    <x v="1"/>
    <n v="365"/>
    <n v="365"/>
  </r>
  <r>
    <x v="1"/>
    <n v="2020"/>
    <s v="Control group"/>
    <x v="0"/>
    <s v="No intervention"/>
    <s v="China"/>
    <s v="Patients with moderate and severe AD admitted to the People’s Hospital of Nanjing Medical University from February 2016 to March 2018"/>
    <s v="Moderate to Severe Alzheimer's Disease"/>
    <s v="Alzheimer’s Disease"/>
    <s v="Moderate to Severe"/>
    <s v="Yes (Intervention was implemented among carer, but outcomes were measured among patients)"/>
    <s v="low risk"/>
    <s v="high risk"/>
    <s v="low risk"/>
    <s v="low risk"/>
    <s v="low risk"/>
    <s v="some concerns"/>
    <m/>
    <n v="0.52900000000000003"/>
    <m/>
    <m/>
    <m/>
    <m/>
    <s v="Implementation of discharge guidance plan, establishment of Wechat group for the discharged patients, opening of hotline, online provision of AD rehabilitation, nursing and medication guidance. The Wechat group and hotline mainly have the following functions, inquiry function. After the patients release or call to raise nursing and medication issues within the group, the designated nursing team members should reply within 1 d and organize appropriate case extension analysis and discussion within the Wechat group. For privacy problems of the individual patients and nursing staff, Wechat private chat or telephone contact was used. When the problems could not be solved remotely, the patients were required to return to the hospital for further consultation. The control group received routine health education and nursing guidance after discharge, while the observation group received additional extended nursing scheme for 1 y, including daily living ability training, body function training, language training, memory training, music therapy, psychological nursing support and offline collective activities of patients. ​ ​"/>
    <m/>
    <m/>
    <s v="Intervention for caregivers"/>
    <m/>
    <m/>
    <m/>
    <m/>
    <m/>
    <m/>
    <m/>
    <m/>
    <x v="3"/>
    <x v="3"/>
    <x v="1"/>
    <n v="19.47"/>
    <n v="51"/>
    <n v="3.37"/>
    <n v="10.37"/>
    <n v="51"/>
    <n v="2.17"/>
    <m/>
    <m/>
    <x v="1"/>
    <n v="365"/>
    <n v="365"/>
  </r>
  <r>
    <x v="2"/>
    <n v="2019"/>
    <s v="Intervention group"/>
    <x v="2"/>
    <s v="Information, education, and training to support carers"/>
    <s v="Iran"/>
    <s v="The study population consisted of family caregivers of elderly Alzheimer’s patients who referred to hospitals and neurologists’ offices located in the western cities of Mazandaran province, Iran (Ghaemshahr Razi Hospital; Ramsar, Tonekabon, and Ghaemshahr neurologists’ offices)"/>
    <s v="Mild cognitive impairment."/>
    <s v="Mild cognitive impairment"/>
    <s v="Mild"/>
    <s v="Yes"/>
    <s v="Some concerns"/>
    <s v="high risk"/>
    <s v="low risk"/>
    <s v="some concerns"/>
    <s v="some concerns"/>
    <s v="high risk"/>
    <s v="3/25 primary education, 8/25 high school diploma, 14/25 university education"/>
    <m/>
    <s v="42.6 ± 6.2 years"/>
    <n v="0.88"/>
    <m/>
    <m/>
    <s v="The intervention was administered as a training program that aimed to promote resilience development through PowerPoint presentations and educational pamphlets. These were supplied through a lecture for the intervention group. The program was based on HendersonMilstein and Kravets’ resilience education projects, as presented in Table 1 (11, 12)."/>
    <m/>
    <m/>
    <s v="Intervention for caregivers"/>
    <m/>
    <m/>
    <m/>
    <m/>
    <m/>
    <m/>
    <m/>
    <m/>
    <x v="4"/>
    <x v="4"/>
    <x v="1"/>
    <n v="11.6"/>
    <n v="27"/>
    <n v="2.8"/>
    <n v="3.4"/>
    <n v="25"/>
    <n v="1.5"/>
    <m/>
    <m/>
    <x v="2"/>
    <n v="91"/>
    <n v="56"/>
  </r>
  <r>
    <x v="2"/>
    <n v="2019"/>
    <s v="Control"/>
    <x v="0"/>
    <s v="No intervention"/>
    <s v="Iran"/>
    <s v="The study population consisted of family caregivers of elderly Alzheimer’s patients who referred to hospitals and neurologists’ offices located in the western cities of Mazandaran province, Iran (Ghaemshahr Razi Hospital; Ramsar, Tonekabon, and Ghaemshahr neurologists’ offices)"/>
    <s v="Mild cognitive impairment."/>
    <s v="Mild cognitive impairment"/>
    <s v="Mild"/>
    <s v="Yes"/>
    <s v="Some concerns"/>
    <s v="high risk"/>
    <s v="low risk"/>
    <s v="some concerns"/>
    <s v="some concerns"/>
    <s v="high risk"/>
    <s v="9/25 primary education, 11/25 high school diploma, 5/25 university education"/>
    <m/>
    <s v="43.4 ± 6.3 years"/>
    <n v="0.72"/>
    <m/>
    <m/>
    <s v="There was no intervention designed for the control group and the participants in this group received routine care, such as education on medicinal and non-medicinal care for their patients."/>
    <m/>
    <m/>
    <s v="Intervention for caregivers"/>
    <m/>
    <m/>
    <m/>
    <m/>
    <m/>
    <m/>
    <m/>
    <m/>
    <x v="4"/>
    <x v="4"/>
    <x v="1"/>
    <n v="10.039999999999999"/>
    <n v="27"/>
    <n v="4.0199999999999996"/>
    <n v="10.5"/>
    <n v="25"/>
    <n v="3.7"/>
    <m/>
    <m/>
    <x v="2"/>
    <n v="91"/>
    <n v="56"/>
  </r>
  <r>
    <x v="2"/>
    <n v="2019"/>
    <s v="Intervention group"/>
    <x v="2"/>
    <s v="Information, education, and training to support carers"/>
    <s v="Iran"/>
    <s v="The study population consisted of family caregivers of elderly Alzheimer’s patients who referred to hospitals and neurologists’ offices located in the western cities of Mazandaran province, Iran (Ghaemshahr Razi Hospital; Ramsar, Tonekabon, and Ghaemshahr neurologists’ offices)"/>
    <s v="Mild cognitive impairment."/>
    <s v="Mild cognitive impairment"/>
    <s v="Mild"/>
    <s v="Yes"/>
    <s v="Some concerns"/>
    <s v="high risk"/>
    <s v="low risk"/>
    <s v="some concerns"/>
    <s v="some concerns"/>
    <s v="high risk"/>
    <s v="3/25 primary education, 8/25 high school diploma, 14/25 university education"/>
    <m/>
    <s v="42.6 ± 6.2 years"/>
    <n v="0.88"/>
    <m/>
    <m/>
    <s v="The intervention was administered as a training program that aimed to promote resilience development through PowerPoint presentations and educational pamphlets. These were supplied through a lecture for the intervention group. The program was based on HendersonMilstein and Kravets’ resilience education projects, as presented in Table 1 (11, 12)."/>
    <m/>
    <m/>
    <s v="Intervention for caregivers"/>
    <m/>
    <m/>
    <m/>
    <m/>
    <m/>
    <m/>
    <m/>
    <m/>
    <x v="5"/>
    <x v="4"/>
    <x v="1"/>
    <n v="4.5"/>
    <n v="27"/>
    <n v="3.04"/>
    <n v="0.4"/>
    <n v="25"/>
    <n v="0.7"/>
    <m/>
    <m/>
    <x v="2"/>
    <n v="91"/>
    <n v="56"/>
  </r>
  <r>
    <x v="2"/>
    <n v="2019"/>
    <s v="Control"/>
    <x v="0"/>
    <s v="No intervention"/>
    <s v="Iran"/>
    <s v="The study population consisted of family caregivers of elderly Alzheimer’s patients who referred to hospitals and neurologists’ offices located in the western cities of Mazandaran province, Iran (Ghaemshahr Razi Hospital; Ramsar, Tonekabon, and Ghaemshahr neurologists’ offices)"/>
    <s v="Mild cognitive impairment."/>
    <s v="Mild cognitive impairment"/>
    <s v="Mild"/>
    <s v="Yes"/>
    <s v="Some concerns"/>
    <s v="high risk"/>
    <s v="low risk"/>
    <s v="some concerns"/>
    <s v="some concerns"/>
    <s v="high risk"/>
    <s v="9/25 primary education, 11/25 high school diploma, 5/25 university education"/>
    <m/>
    <s v="43.4 ± 6.3 years"/>
    <n v="0.72"/>
    <m/>
    <m/>
    <s v="There was no intervention designed for the control group and the participants in this group received routine care, such as education on medicinal and non-medicinal care for their patients."/>
    <m/>
    <m/>
    <s v="Intervention for caregivers"/>
    <m/>
    <m/>
    <m/>
    <m/>
    <m/>
    <m/>
    <m/>
    <m/>
    <x v="5"/>
    <x v="4"/>
    <x v="1"/>
    <n v="4.8"/>
    <n v="27"/>
    <n v="3.6"/>
    <n v="5.08"/>
    <n v="25"/>
    <n v="3.7"/>
    <m/>
    <m/>
    <x v="2"/>
    <n v="91"/>
    <n v="56"/>
  </r>
  <r>
    <x v="2"/>
    <n v="2019"/>
    <s v="Intervention group"/>
    <x v="2"/>
    <s v="Information, education, and training to support carers"/>
    <s v="Iran"/>
    <s v="The study population consisted of family caregivers of elderly Alzheimer’s patients who referred to hospitals and neurologists’ offices located in the western cities of Mazandaran province, Iran (Ghaemshahr Razi Hospital; Ramsar, Tonekabon, and Ghaemshahr neurologists’ offices)"/>
    <s v="Mild cognitive impairment."/>
    <s v="Mild cognitive impairment"/>
    <s v="Mild"/>
    <s v="Yes"/>
    <s v="Some concerns"/>
    <s v="high risk"/>
    <s v="low risk"/>
    <s v="some concerns"/>
    <s v="some concerns"/>
    <s v="high risk"/>
    <s v="3/25 primary education, 8/25 high school diploma, 14/25 university education"/>
    <m/>
    <s v="42.6 ± 6.2 years"/>
    <n v="0.88"/>
    <m/>
    <m/>
    <s v="The intervention was administered as a training program that aimed to promote resilience development through PowerPoint presentations and educational pamphlets. These were supplied through a lecture for the intervention group. The program was based on HendersonMilstein and Kravets’ resilience education projects, as presented in Table 1 (11, 12)."/>
    <m/>
    <m/>
    <s v="Intervention for caregivers"/>
    <m/>
    <m/>
    <m/>
    <m/>
    <m/>
    <m/>
    <m/>
    <m/>
    <x v="6"/>
    <x v="4"/>
    <x v="1"/>
    <n v="39.9"/>
    <n v="27"/>
    <n v="8.4"/>
    <n v="16.079999999999998"/>
    <n v="25"/>
    <n v="3.7"/>
    <m/>
    <m/>
    <x v="2"/>
    <n v="91"/>
    <n v="56"/>
  </r>
  <r>
    <x v="2"/>
    <n v="2019"/>
    <s v="Control"/>
    <x v="0"/>
    <s v="No intervention"/>
    <s v="Iran"/>
    <s v="The study population consisted of family caregivers of elderly Alzheimer’s patients who referred to hospitals and neurologists’ offices located in the western cities of Mazandaran province, Iran (Ghaemshahr Razi Hospital; Ramsar, Tonekabon, and Ghaemshahr neurologists’ offices)"/>
    <s v="Mild cognitive impairment."/>
    <s v="Mild cognitive impairment"/>
    <s v="Mild"/>
    <s v="Yes"/>
    <s v="Some concerns"/>
    <s v="high risk"/>
    <s v="low risk"/>
    <s v="some concerns"/>
    <s v="some concerns"/>
    <s v="high risk"/>
    <s v="9/25 primary education, 11/25 high school diploma, 5/25 university education"/>
    <m/>
    <s v="43.4 ± 6.3 years"/>
    <n v="0.72"/>
    <m/>
    <m/>
    <s v="There was no intervention designed for the control group and the participants in this group received routine care, such as education on medicinal and non-medicinal care for their patients."/>
    <m/>
    <m/>
    <s v="Intervention for caregivers"/>
    <m/>
    <m/>
    <m/>
    <m/>
    <m/>
    <m/>
    <m/>
    <m/>
    <x v="6"/>
    <x v="4"/>
    <x v="1"/>
    <n v="32.04"/>
    <n v="27"/>
    <n v="7.02"/>
    <n v="32.9"/>
    <n v="25"/>
    <n v="7.2"/>
    <m/>
    <m/>
    <x v="2"/>
    <n v="91"/>
    <n v="56"/>
  </r>
  <r>
    <x v="3"/>
    <n v="2020"/>
    <s v="Experimental group"/>
    <x v="1"/>
    <s v="Training and education for unpaid carers"/>
    <s v="India"/>
    <s v="selected community settings of Puducherry"/>
    <s v="Mild dementia"/>
    <s v="Mild dementia "/>
    <s v="Mild"/>
    <s v="Yes"/>
    <s v="Some concerns"/>
    <s v="some concerns"/>
    <s v="high risk"/>
    <s v="high risk"/>
    <s v="high risk"/>
    <s v="high risk"/>
    <m/>
    <m/>
    <m/>
    <m/>
    <m/>
    <m/>
    <s v="Cognitive training was given to all eligible subjects individually two sessions weekly continuously for a period of 1 month i.e. a total of 8 sessions. Each session will take approximately 1 hour."/>
    <m/>
    <m/>
    <s v="Intervention for caregivers"/>
    <m/>
    <m/>
    <m/>
    <m/>
    <m/>
    <m/>
    <m/>
    <m/>
    <x v="0"/>
    <x v="5"/>
    <x v="1"/>
    <n v="55.36"/>
    <n v="157"/>
    <n v="5.6384838387637508"/>
    <n v="53.87"/>
    <n v="157"/>
    <n v="6.1396824022094174"/>
    <m/>
    <m/>
    <x v="3"/>
    <n v="30"/>
    <n v="30"/>
  </r>
  <r>
    <x v="3"/>
    <n v="2020"/>
    <s v="Control"/>
    <x v="0"/>
    <s v="No intervention"/>
    <s v="India"/>
    <s v="selected community settings of Puducherry"/>
    <s v="Mild dementia"/>
    <s v="Mild dementia "/>
    <s v="Mild"/>
    <s v="Yes"/>
    <s v="Some concerns"/>
    <s v="some concerns"/>
    <s v="high risk"/>
    <s v="high risk"/>
    <s v="high risk"/>
    <s v="high risk"/>
    <m/>
    <m/>
    <m/>
    <m/>
    <m/>
    <m/>
    <s v="None stated"/>
    <m/>
    <m/>
    <s v="Intervention for caregivers"/>
    <m/>
    <m/>
    <m/>
    <m/>
    <m/>
    <m/>
    <m/>
    <m/>
    <x v="0"/>
    <x v="5"/>
    <x v="1"/>
    <n v="54.14"/>
    <n v="157"/>
    <n v="5.6384838387637508"/>
    <n v="19.61"/>
    <n v="157"/>
    <n v="6.1396824022094174"/>
    <m/>
    <m/>
    <x v="3"/>
    <n v="30"/>
    <n v="30"/>
  </r>
  <r>
    <x v="3"/>
    <n v="2020"/>
    <s v="Experimental group"/>
    <x v="1"/>
    <s v="Training and education for unpaid carers"/>
    <s v="India"/>
    <s v="selected community settings of Puducherry"/>
    <s v="Mild dementia"/>
    <s v="Mild dementia "/>
    <s v="Mild"/>
    <s v="Yes"/>
    <s v="Some concerns"/>
    <s v="some concerns"/>
    <s v="high risk"/>
    <s v="high risk"/>
    <s v="high risk"/>
    <s v="high risk"/>
    <m/>
    <m/>
    <m/>
    <m/>
    <m/>
    <m/>
    <s v="Cognitive training was given to all eligible subjects individually two sessions weekly continuously for a period of 1 month i.e. a total of 8 sessions. Each session will take approximately 1 hour."/>
    <m/>
    <m/>
    <s v="Intervention for caregivers"/>
    <m/>
    <m/>
    <m/>
    <m/>
    <m/>
    <m/>
    <m/>
    <m/>
    <x v="7"/>
    <x v="5"/>
    <x v="1"/>
    <n v="180.88"/>
    <n v="157"/>
    <n v="20.925040023856585"/>
    <n v="182.36"/>
    <n v="157"/>
    <n v="22.804534636777834"/>
    <m/>
    <m/>
    <x v="3"/>
    <n v="30"/>
    <n v="30"/>
  </r>
  <r>
    <x v="3"/>
    <n v="2020"/>
    <s v="Control"/>
    <x v="0"/>
    <s v="No intervention"/>
    <s v="India"/>
    <s v="selected community settings of Puducherry"/>
    <s v="Mild dementia"/>
    <s v="Mild dementia "/>
    <s v="Mild"/>
    <s v="Yes"/>
    <s v="Some concerns"/>
    <s v="some concerns"/>
    <s v="high risk"/>
    <s v="high risk"/>
    <s v="high risk"/>
    <s v="high risk"/>
    <m/>
    <m/>
    <m/>
    <m/>
    <m/>
    <m/>
    <s v="None stated"/>
    <m/>
    <m/>
    <s v="Intervention for caregivers"/>
    <m/>
    <m/>
    <m/>
    <m/>
    <m/>
    <m/>
    <m/>
    <m/>
    <x v="7"/>
    <x v="5"/>
    <x v="1"/>
    <n v="180.24"/>
    <n v="157"/>
    <n v="20.925040023856585"/>
    <n v="279.73"/>
    <n v="157"/>
    <n v="22.804534636777834"/>
    <m/>
    <m/>
    <x v="3"/>
    <n v="30"/>
    <n v="30"/>
  </r>
  <r>
    <x v="4"/>
    <n v="2011"/>
    <s v="Intervention group"/>
    <x v="1"/>
    <s v="Training and education for unpaid carers"/>
    <s v="Peru"/>
    <s v="Intervention was carried out at the participant's home. "/>
    <s v="Dementia (general/unspecified)"/>
    <s v="Dementia"/>
    <s v="Any severity stage"/>
    <s v="Yes"/>
    <s v="low risk"/>
    <s v="some concerns"/>
    <s v="low risk"/>
    <s v="high risk"/>
    <s v="some concerns"/>
    <s v="high risk"/>
    <s v="55.5% completed secondary or more"/>
    <s v="79.3"/>
    <s v="53.3"/>
    <s v="85.7"/>
    <m/>
    <m/>
    <s v="10/66 caregiver intervention consisting of education and training in 5 weekly 30-minute sessions"/>
    <m/>
    <m/>
    <m/>
    <s v="&quo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quot;"/>
    <m/>
    <m/>
    <m/>
    <m/>
    <m/>
    <s v="Intervention for carers"/>
    <m/>
    <x v="0"/>
    <x v="0"/>
    <x v="0"/>
    <m/>
    <m/>
    <m/>
    <n v="-1.02"/>
    <n v="27"/>
    <n v="1.9043938370706426"/>
    <n v="-1.53"/>
    <n v="-0.51"/>
    <x v="4"/>
    <n v="180"/>
    <n v="35"/>
  </r>
  <r>
    <x v="4"/>
    <n v="2011"/>
    <s v="Waiting list control group"/>
    <x v="0"/>
    <s v="No intervention"/>
    <s v="Peru"/>
    <s v="Intervention was carried out at the participant's home. "/>
    <s v="Dementia (general/unspecified)"/>
    <s v="Dementia"/>
    <s v="Any severity stage"/>
    <s v="Yes"/>
    <s v="low risk"/>
    <s v="some concerns"/>
    <s v="low risk"/>
    <s v="high risk"/>
    <s v="some concerns"/>
    <s v="high risk"/>
    <s v="37.0% completed secondary or more; 2 missing values"/>
    <s v="69.0"/>
    <s v="47.6"/>
    <s v="89.7"/>
    <m/>
    <m/>
    <s v="Waiting list"/>
    <m/>
    <m/>
    <m/>
    <s v="&quot; caregivers of people with dementia that received the intervention six months later&quot;"/>
    <m/>
    <m/>
    <m/>
    <m/>
    <m/>
    <s v="N/A"/>
    <m/>
    <x v="0"/>
    <x v="0"/>
    <x v="0"/>
    <m/>
    <m/>
    <m/>
    <m/>
    <n v="29"/>
    <m/>
    <m/>
    <m/>
    <x v="4"/>
    <n v="180"/>
    <n v="35"/>
  </r>
  <r>
    <x v="4"/>
    <n v="2011"/>
    <s v="Intervention group"/>
    <x v="1"/>
    <s v="Training and education for unpaid carers"/>
    <s v="Peru"/>
    <s v="Intervention was carried out at the participant's home. "/>
    <s v="Dementia (general/unspecified)"/>
    <s v="Dementia"/>
    <s v="Any severity stage"/>
    <s v="Yes"/>
    <s v="low risk"/>
    <s v="some concerns"/>
    <s v="low risk"/>
    <s v="high risk"/>
    <s v="some concerns"/>
    <s v="high risk"/>
    <s v="55.5% completed secondary or more"/>
    <s v="79.3"/>
    <s v="53.3"/>
    <s v="85.7"/>
    <m/>
    <m/>
    <s v="10/66 caregiver intervention consisting of education and training in 5 weekly 30-minute sessions"/>
    <m/>
    <m/>
    <m/>
    <s v="&quo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quot;"/>
    <m/>
    <m/>
    <m/>
    <m/>
    <m/>
    <s v="Intervention for carers"/>
    <m/>
    <x v="8"/>
    <x v="6"/>
    <x v="0"/>
    <m/>
    <m/>
    <m/>
    <n v="-0.22"/>
    <n v="27"/>
    <n v="1.9604054205138968"/>
    <n v="-0.75"/>
    <n v="0.3"/>
    <x v="4"/>
    <n v="180"/>
    <n v="35"/>
  </r>
  <r>
    <x v="4"/>
    <n v="2011"/>
    <s v="Waiting list control group"/>
    <x v="0"/>
    <s v="No intervention"/>
    <s v="Peru"/>
    <s v="Intervention was carried out at the participant's home. "/>
    <s v="Dementia (general/unspecified)"/>
    <s v="Dementia"/>
    <s v="Any severity stage"/>
    <s v="Yes"/>
    <s v="low risk"/>
    <s v="some concerns"/>
    <s v="low risk"/>
    <s v="high risk"/>
    <s v="some concerns"/>
    <s v="high risk"/>
    <s v="37.0% completed secondary or more; 2 missing values"/>
    <s v="69.0"/>
    <s v="47.6"/>
    <s v="89.7"/>
    <m/>
    <m/>
    <s v="Waiting list"/>
    <m/>
    <m/>
    <m/>
    <s v="&quot; caregivers of people with dementia that received the intervention six months later&quot;"/>
    <m/>
    <m/>
    <m/>
    <m/>
    <m/>
    <s v="N/A"/>
    <m/>
    <x v="8"/>
    <x v="6"/>
    <x v="0"/>
    <m/>
    <m/>
    <m/>
    <m/>
    <n v="29"/>
    <m/>
    <m/>
    <m/>
    <x v="4"/>
    <n v="180"/>
    <n v="35"/>
  </r>
  <r>
    <x v="4"/>
    <n v="2011"/>
    <s v="Intervention group"/>
    <x v="1"/>
    <s v="Training and education for unpaid carers"/>
    <s v="Peru"/>
    <s v="Intervention was carried out at the participant's home. "/>
    <s v="Dementia (general/unspecified)"/>
    <s v="Dementia"/>
    <s v="Any severity stage"/>
    <s v="Yes"/>
    <s v="low risk"/>
    <s v="some concerns"/>
    <s v="low risk"/>
    <s v="high risk"/>
    <s v="some concerns"/>
    <s v="high risk"/>
    <s v="55.5% completed secondary or more"/>
    <s v="79.3"/>
    <s v="53.3"/>
    <s v="85.7"/>
    <m/>
    <m/>
    <s v="10/66 caregiver intervention consisting of education and training in 5 weekly 30-minute sessions"/>
    <m/>
    <m/>
    <m/>
    <s v="&quo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quot;"/>
    <m/>
    <m/>
    <m/>
    <m/>
    <m/>
    <s v="Intervention for carers"/>
    <m/>
    <x v="9"/>
    <x v="7"/>
    <x v="0"/>
    <m/>
    <m/>
    <m/>
    <n v="-0.09"/>
    <n v="27"/>
    <n v="2.0910991152148237"/>
    <n v="-0.64"/>
    <n v="0.48"/>
    <x v="4"/>
    <n v="180"/>
    <n v="35"/>
  </r>
  <r>
    <x v="4"/>
    <n v="2011"/>
    <s v="Waiting list control group"/>
    <x v="0"/>
    <s v="No intervention"/>
    <s v="Peru"/>
    <s v="Intervention was carried out at the participant's home. "/>
    <s v="Dementia (general/unspecified)"/>
    <s v="Dementia"/>
    <s v="Any severity stage"/>
    <s v="Yes"/>
    <s v="low risk"/>
    <s v="some concerns"/>
    <s v="low risk"/>
    <s v="high risk"/>
    <s v="some concerns"/>
    <s v="high risk"/>
    <s v="37.0% completed secondary or more; 2 missing values"/>
    <s v="69.0"/>
    <s v="47.6"/>
    <s v="89.7"/>
    <m/>
    <m/>
    <s v="Waiting list"/>
    <m/>
    <m/>
    <m/>
    <s v="&quot; caregivers of people with dementia that received the intervention six months later&quot;"/>
    <m/>
    <m/>
    <m/>
    <m/>
    <m/>
    <s v="N/A"/>
    <m/>
    <x v="9"/>
    <x v="7"/>
    <x v="0"/>
    <m/>
    <m/>
    <m/>
    <m/>
    <n v="29"/>
    <m/>
    <m/>
    <m/>
    <x v="4"/>
    <n v="180"/>
    <n v="35"/>
  </r>
  <r>
    <x v="4"/>
    <n v="2011"/>
    <s v="Intervention group"/>
    <x v="1"/>
    <s v="Training and education for unpaid carers"/>
    <s v="Peru"/>
    <s v="Intervention was carried out at the participant's home. "/>
    <s v="Dementia (general/unspecified)"/>
    <s v="Dementia"/>
    <s v="Any severity stage"/>
    <s v="Yes"/>
    <s v="low risk"/>
    <s v="some concerns"/>
    <s v="low risk"/>
    <s v="high risk"/>
    <s v="some concerns"/>
    <s v="high risk"/>
    <s v="55.5% completed secondary or more"/>
    <s v="79.3"/>
    <s v="53.3"/>
    <s v="85.7"/>
    <m/>
    <m/>
    <s v="10/66 caregiver intervention consisting of education and training in 5 weekly 30-minute sessions"/>
    <m/>
    <m/>
    <m/>
    <s v="&quo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quot;"/>
    <m/>
    <m/>
    <m/>
    <m/>
    <m/>
    <s v="Intervention for carers"/>
    <m/>
    <x v="9"/>
    <x v="8"/>
    <x v="0"/>
    <m/>
    <m/>
    <m/>
    <n v="-0.1"/>
    <n v="27"/>
    <n v="2.12844017084366"/>
    <n v="-0.66"/>
    <n v="0.48"/>
    <x v="4"/>
    <n v="180"/>
    <n v="35"/>
  </r>
  <r>
    <x v="4"/>
    <n v="2011"/>
    <s v="Waiting list control group"/>
    <x v="0"/>
    <s v="No intervention"/>
    <s v="Peru"/>
    <s v="Intervention was carried out at the participant's home. "/>
    <s v="Dementia (general/unspecified)"/>
    <s v="Dementia"/>
    <s v="Any severity stage"/>
    <s v="Yes"/>
    <s v="low risk"/>
    <s v="some concerns"/>
    <s v="low risk"/>
    <s v="high risk"/>
    <s v="some concerns"/>
    <s v="high risk"/>
    <s v="37.0% completed secondary or more; 2 missing values"/>
    <s v="69.0"/>
    <s v="47.6"/>
    <s v="89.7"/>
    <m/>
    <m/>
    <s v="Waiting list"/>
    <m/>
    <m/>
    <m/>
    <s v="&quot; caregivers of people with dementia that received the intervention six months later&quot;"/>
    <m/>
    <m/>
    <m/>
    <m/>
    <m/>
    <s v="N/A"/>
    <m/>
    <x v="9"/>
    <x v="8"/>
    <x v="0"/>
    <m/>
    <m/>
    <m/>
    <m/>
    <n v="29"/>
    <m/>
    <m/>
    <m/>
    <x v="4"/>
    <n v="180"/>
    <n v="35"/>
  </r>
  <r>
    <x v="4"/>
    <n v="2011"/>
    <s v="Intervention group"/>
    <x v="1"/>
    <s v="Training and education for unpaid carers"/>
    <s v="Peru"/>
    <s v="Intervention was carried out at the participant's home. "/>
    <s v="Dementia (general/unspecified)"/>
    <s v="Dementia"/>
    <s v="Any severity stage"/>
    <s v="Yes"/>
    <s v="low risk"/>
    <s v="some concerns"/>
    <s v="low risk"/>
    <s v="high risk"/>
    <s v="some concerns"/>
    <s v="high risk"/>
    <s v="55.5% completed secondary or more"/>
    <s v="79.3"/>
    <s v="53.3"/>
    <s v="85.7"/>
    <m/>
    <m/>
    <s v="10/66 caregiver intervention consisting of education and training in 5 weekly 30-minute sessions"/>
    <m/>
    <m/>
    <m/>
    <s v="&quo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quot;"/>
    <m/>
    <m/>
    <m/>
    <m/>
    <m/>
    <s v="Intervention for carers"/>
    <m/>
    <x v="9"/>
    <x v="9"/>
    <x v="0"/>
    <m/>
    <m/>
    <m/>
    <n v="-0.14000000000000001"/>
    <n v="27"/>
    <n v="1.9790759483283149"/>
    <n v="-0.66"/>
    <n v="0.4"/>
    <x v="4"/>
    <n v="180"/>
    <n v="35"/>
  </r>
  <r>
    <x v="4"/>
    <n v="2011"/>
    <s v="Waiting list control group"/>
    <x v="0"/>
    <s v="No intervention"/>
    <s v="Peru"/>
    <s v="Intervention was carried out at the participant's home. "/>
    <s v="Dementia (general/unspecified)"/>
    <s v="Dementia"/>
    <s v="Any severity stage"/>
    <s v="Yes"/>
    <s v="low risk"/>
    <s v="some concerns"/>
    <s v="low risk"/>
    <s v="high risk"/>
    <s v="some concerns"/>
    <s v="high risk"/>
    <s v="37.0% completed secondary or more; 2 missing values"/>
    <s v="69.0"/>
    <s v="47.6"/>
    <s v="89.7"/>
    <m/>
    <m/>
    <s v="Waiting list"/>
    <m/>
    <m/>
    <m/>
    <s v="&quot; caregivers of people with dementia that received the intervention six months later&quot;"/>
    <m/>
    <m/>
    <m/>
    <m/>
    <m/>
    <s v="N/A"/>
    <m/>
    <x v="9"/>
    <x v="9"/>
    <x v="0"/>
    <m/>
    <m/>
    <m/>
    <m/>
    <n v="29"/>
    <m/>
    <m/>
    <m/>
    <x v="4"/>
    <n v="180"/>
    <n v="35"/>
  </r>
  <r>
    <x v="4"/>
    <n v="2011"/>
    <s v="Intervention group"/>
    <x v="1"/>
    <s v="Training and education for unpaid carers"/>
    <s v="Peru"/>
    <s v="Intervention was carried out at the participant's home. "/>
    <s v="Dementia (general/unspecified)"/>
    <s v="Dementia"/>
    <s v="Any severity stage"/>
    <s v="Yes"/>
    <s v="low risk"/>
    <s v="some concerns"/>
    <s v="low risk"/>
    <s v="high risk"/>
    <s v="some concerns"/>
    <s v="high risk"/>
    <s v="55.5% completed secondary or more"/>
    <s v="79.3"/>
    <s v="53.3"/>
    <s v="85.7"/>
    <m/>
    <m/>
    <s v="10/66 caregiver intervention consisting of education and training in 5 weekly 30-minute sessions"/>
    <m/>
    <m/>
    <m/>
    <s v="&quo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quot;"/>
    <m/>
    <m/>
    <m/>
    <m/>
    <m/>
    <s v="Intervention for carers"/>
    <m/>
    <x v="9"/>
    <x v="9"/>
    <x v="0"/>
    <m/>
    <m/>
    <m/>
    <n v="0.1"/>
    <n v="27"/>
    <n v="2.1471106986580772"/>
    <n v="-0.47"/>
    <n v="0.68"/>
    <x v="4"/>
    <n v="180"/>
    <n v="35"/>
  </r>
  <r>
    <x v="4"/>
    <n v="2011"/>
    <s v="Waiting list control group"/>
    <x v="0"/>
    <s v="No intervention"/>
    <s v="Peru"/>
    <s v="Intervention was carried out at the participant's home. "/>
    <s v="Dementia (general/unspecified)"/>
    <s v="Dementia"/>
    <s v="Any severity stage"/>
    <s v="Yes"/>
    <s v="low risk"/>
    <s v="some concerns"/>
    <s v="low risk"/>
    <s v="high risk"/>
    <s v="some concerns"/>
    <s v="high risk"/>
    <s v="37.0% completed secondary or more; 2 missing values"/>
    <s v="69.0"/>
    <s v="47.6"/>
    <s v="89.7"/>
    <m/>
    <m/>
    <s v="Waiting list"/>
    <m/>
    <m/>
    <m/>
    <s v="&quot; caregivers of people with dementia that received the intervention six months later&quot;"/>
    <m/>
    <m/>
    <m/>
    <m/>
    <m/>
    <s v="N/A"/>
    <m/>
    <x v="9"/>
    <x v="9"/>
    <x v="0"/>
    <m/>
    <m/>
    <m/>
    <m/>
    <n v="29"/>
    <m/>
    <m/>
    <m/>
    <x v="4"/>
    <n v="180"/>
    <n v="35"/>
  </r>
  <r>
    <x v="4"/>
    <n v="2011"/>
    <s v="Intervention group"/>
    <x v="1"/>
    <s v="Training and education for unpaid carers"/>
    <s v="Peru"/>
    <s v="Intervention was carried out at the participant's home. "/>
    <s v="Dementia (general/unspecified)"/>
    <s v="Dementia"/>
    <s v="Any severity stage"/>
    <s v="Yes"/>
    <s v="low risk"/>
    <s v="some concerns"/>
    <s v="low risk"/>
    <s v="high risk"/>
    <s v="some concerns"/>
    <s v="high risk"/>
    <s v="55.5% completed secondary or more"/>
    <s v="79.3"/>
    <s v="53.3"/>
    <s v="85.7"/>
    <m/>
    <m/>
    <s v="10/66 caregiver intervention consisting of education and training in 5 weekly 30-minute sessions"/>
    <m/>
    <m/>
    <m/>
    <s v="&quo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quot;"/>
    <m/>
    <m/>
    <m/>
    <m/>
    <m/>
    <s v="Intervention for carers"/>
    <m/>
    <x v="10"/>
    <x v="6"/>
    <x v="0"/>
    <m/>
    <m/>
    <m/>
    <n v="0.49"/>
    <n v="27"/>
    <n v="1.8483822536273884"/>
    <n v="0"/>
    <n v="0.99"/>
    <x v="4"/>
    <n v="180"/>
    <n v="35"/>
  </r>
  <r>
    <x v="4"/>
    <n v="2011"/>
    <s v="Waiting list control group"/>
    <x v="0"/>
    <s v="No intervention"/>
    <s v="Peru"/>
    <s v="Intervention was carried out at the participant's home. "/>
    <s v="Dementia (general/unspecified)"/>
    <s v="Dementia"/>
    <s v="Any severity stage"/>
    <s v="Yes"/>
    <s v="low risk"/>
    <s v="some concerns"/>
    <s v="low risk"/>
    <s v="high risk"/>
    <s v="some concerns"/>
    <s v="high risk"/>
    <s v="37.0% completed secondary or more; 2 missing values"/>
    <s v="69.0"/>
    <s v="47.6"/>
    <s v="89.7"/>
    <m/>
    <m/>
    <s v="Waiting list"/>
    <m/>
    <m/>
    <m/>
    <s v="&quot; caregivers of people with dementia that received the intervention six months later&quot;"/>
    <m/>
    <m/>
    <m/>
    <m/>
    <m/>
    <s v="N/A"/>
    <m/>
    <x v="10"/>
    <x v="6"/>
    <x v="0"/>
    <m/>
    <m/>
    <m/>
    <m/>
    <n v="29"/>
    <m/>
    <m/>
    <m/>
    <x v="4"/>
    <n v="180"/>
    <n v="35"/>
  </r>
  <r>
    <x v="4"/>
    <n v="2011"/>
    <s v="Intervention group"/>
    <x v="1"/>
    <s v="Training and education for unpaid carers"/>
    <s v="Peru"/>
    <s v="Intervention was carried out at the participant's home. "/>
    <s v="Dementia (general/unspecified)"/>
    <s v="Dementia"/>
    <s v="Any severity stage"/>
    <s v="Yes"/>
    <s v="low risk"/>
    <s v="some concerns"/>
    <s v="low risk"/>
    <s v="high risk"/>
    <s v="some concerns"/>
    <s v="high risk"/>
    <s v="55.5% completed secondary or more"/>
    <s v="79.3"/>
    <s v="53.3"/>
    <s v="85.7"/>
    <m/>
    <m/>
    <s v="10/66 caregiver intervention consisting of education and training in 5 weekly 30-minute sessions"/>
    <m/>
    <m/>
    <m/>
    <s v="&quo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quot;"/>
    <m/>
    <m/>
    <m/>
    <m/>
    <m/>
    <s v="Intervention for carers"/>
    <m/>
    <x v="11"/>
    <x v="6"/>
    <x v="0"/>
    <m/>
    <m/>
    <m/>
    <n v="0.39"/>
    <n v="27"/>
    <n v="2.0164170039571512"/>
    <n v="-0.15"/>
    <n v="0.93"/>
    <x v="4"/>
    <n v="180"/>
    <n v="35"/>
  </r>
  <r>
    <x v="4"/>
    <n v="2011"/>
    <s v="Waiting list control group"/>
    <x v="0"/>
    <s v="No intervention"/>
    <s v="Peru"/>
    <s v="Intervention was carried out at the participant's home. "/>
    <s v="Dementia (general/unspecified)"/>
    <s v="Dementia"/>
    <s v="Any severity stage"/>
    <s v="Yes"/>
    <s v="low risk"/>
    <s v="some concerns"/>
    <s v="low risk"/>
    <s v="high risk"/>
    <s v="some concerns"/>
    <s v="high risk"/>
    <s v="37.0% completed secondary or more; 2 missing values"/>
    <s v="69.0"/>
    <s v="47.6"/>
    <s v="89.7"/>
    <m/>
    <m/>
    <s v="Waiting list"/>
    <m/>
    <m/>
    <m/>
    <s v="&quot; caregivers of people with dementia that received the intervention six months later&quot;"/>
    <m/>
    <m/>
    <m/>
    <m/>
    <m/>
    <s v="N/A"/>
    <m/>
    <x v="11"/>
    <x v="6"/>
    <x v="0"/>
    <m/>
    <m/>
    <m/>
    <m/>
    <n v="29"/>
    <m/>
    <m/>
    <m/>
    <x v="4"/>
    <n v="180"/>
    <n v="35"/>
  </r>
  <r>
    <x v="4"/>
    <n v="2011"/>
    <s v="Intervention group"/>
    <x v="1"/>
    <s v="Training and education for unpaid carers"/>
    <s v="Peru"/>
    <s v="Intervention was carried out at the participant's home. "/>
    <s v="Dementia (general/unspecified)"/>
    <s v="Dementia"/>
    <s v="Any severity stage"/>
    <s v="Yes"/>
    <s v="low risk"/>
    <s v="some concerns"/>
    <s v="low risk"/>
    <s v="high risk"/>
    <s v="some concerns"/>
    <s v="high risk"/>
    <s v="55.5% completed secondary or more"/>
    <s v="79.3"/>
    <s v="53.3"/>
    <s v="85.7"/>
    <m/>
    <m/>
    <s v="10/66 caregiver intervention consisting of education and training in 5 weekly 30-minute sessions"/>
    <m/>
    <m/>
    <m/>
    <s v="&quo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quot;"/>
    <m/>
    <m/>
    <m/>
    <m/>
    <m/>
    <s v="Intervention for carers"/>
    <m/>
    <x v="7"/>
    <x v="10"/>
    <x v="0"/>
    <m/>
    <m/>
    <m/>
    <n v="0.32"/>
    <n v="27"/>
    <n v="4.3315624529449908"/>
    <n v="-0.84"/>
    <n v="1.48"/>
    <x v="4"/>
    <n v="180"/>
    <n v="35"/>
  </r>
  <r>
    <x v="4"/>
    <n v="2011"/>
    <s v="Waiting list control group"/>
    <x v="0"/>
    <s v="No intervention"/>
    <s v="Peru"/>
    <s v="Intervention was carried out at the participant's home. "/>
    <s v="Dementia (general/unspecified)"/>
    <s v="Dementia"/>
    <s v="Any severity stage"/>
    <s v="Yes"/>
    <s v="low risk"/>
    <s v="some concerns"/>
    <s v="low risk"/>
    <s v="high risk"/>
    <s v="some concerns"/>
    <s v="high risk"/>
    <s v="37.0% completed secondary or more; 2 missing values"/>
    <s v="69.0"/>
    <s v="47.6"/>
    <s v="89.7"/>
    <m/>
    <m/>
    <s v="Waiting list"/>
    <m/>
    <m/>
    <m/>
    <s v="&quot; caregivers of people with dementia that received the intervention six months later&quot;"/>
    <m/>
    <m/>
    <m/>
    <m/>
    <m/>
    <s v="N/A"/>
    <m/>
    <x v="7"/>
    <x v="10"/>
    <x v="0"/>
    <m/>
    <m/>
    <m/>
    <m/>
    <n v="29"/>
    <m/>
    <m/>
    <m/>
    <x v="4"/>
    <n v="180"/>
    <n v="35"/>
  </r>
  <r>
    <x v="5"/>
    <n v="2020"/>
    <s v="REACH VN"/>
    <x v="1"/>
    <s v="Training and education for unpaid carers"/>
    <s v="Vietnam"/>
    <s v="Soc Son, a semi-rural district in Hanoi with a longstanding history of collaboration with the NGH. Soc Son is more economically advantaged compared with many other semirural areas due to its proximity to Hanoi and location near the international airport, an area undergoing considerable economic development. A convenience sample of 12 clusters was chosen based on their proximity to NGH, their participation in the NGH dementia registry, and history of successfully participating in prior research projects and initiatives."/>
    <s v="Mild to Severe Alzheimer’s Disease (CDR &gt; 1)"/>
    <s v="Alzheimer’s Disease"/>
    <s v="Mild to Severe"/>
    <s v="Yes"/>
    <s v="low risk"/>
    <s v="some concerns"/>
    <s v="low risk"/>
    <s v="some concerns"/>
    <s v="low risk"/>
    <s v="low risk"/>
    <m/>
    <n v="0.76"/>
    <s v="59.0 ± 10.4 years"/>
    <n v="0.92"/>
    <m/>
    <m/>
    <s v="REACH VA is based on REACH II and consists of four “core” training sessions on problem solving, mood management/cognitive restructuring, stress management (eg, signal breath, pleasant event scheduling), and communication, plus up to two additional sessions based on caregiver’s needs and clinical judgment. In REACH VA, the sessions last 1 hour and are delivered by a trained interventionist by telephone, telehealth, or face-to-face. Our culturally adapted and manualized intervention, REACH VN, is based on the REACH VA intervention, with modifications to make it suitable for the context of a semi-rural area in Vietnam. We used a multi-step cultural adaptation process guided by existing frameworks commonly used in global health. Participants assigned to the enhanced control condition received a single face-to-face session at the time of enrollment in the caregiver’s home (or another place of their choosing) that focused on education about the nature of dementia and included the provision of written educational materials. In addition, any safety issues identified during the single home visit were addressed by research staff."/>
    <m/>
    <m/>
    <s v="Intervention for caregivers"/>
    <m/>
    <m/>
    <m/>
    <m/>
    <m/>
    <m/>
    <m/>
    <m/>
    <x v="0"/>
    <x v="0"/>
    <x v="1"/>
    <n v="6.7"/>
    <n v="25"/>
    <n v="2.1"/>
    <n v="2.9"/>
    <n v="25"/>
    <n v="2.4"/>
    <m/>
    <m/>
    <x v="5"/>
    <n v="90"/>
    <n v="35"/>
  </r>
  <r>
    <x v="5"/>
    <n v="2020"/>
    <s v="Enhanced control"/>
    <x v="0"/>
    <s v="No intervention"/>
    <s v="Vietnam"/>
    <s v="Soc Son, a semi-rural district in Hanoi with a longstanding history of collaboration with the NGH. Soc Son is more economically advantaged compared with many other semirural areas due to its proximity to Hanoi and location near the international airport, an area undergoing considerable economic development. A convenience sample of 12 clusters was chosen based on their proximity to NGH, their participation in the NGH dementia registry, and history of successfully participating in prior research projects and initiatives."/>
    <s v="Mild to Severe Alzheimer’s Disease (CDR &gt; 1)"/>
    <s v="Alzheimer’s Disease"/>
    <s v="Mild to Severe"/>
    <s v="Yes"/>
    <s v="low risk"/>
    <s v="some concerns"/>
    <s v="low risk"/>
    <s v="some concerns"/>
    <s v="low risk"/>
    <s v="low risk"/>
    <m/>
    <n v="0.76900000000000002"/>
    <s v="58.7 ± 13.9 years"/>
    <n v="0.80800000000000005"/>
    <m/>
    <m/>
    <s v="Participants assigned to the enhanced control condition received a single face-to-face session at the time of enrollment in the caregiver’s home (or another place of their choosing) that focused on education about the nature of dementia and included the provision of written educational materials. In addition, any safety issues identified during the single home visit were addressed by research staff."/>
    <m/>
    <m/>
    <s v="Intervention for caregivers"/>
    <m/>
    <m/>
    <m/>
    <m/>
    <m/>
    <m/>
    <m/>
    <m/>
    <x v="0"/>
    <x v="0"/>
    <x v="1"/>
    <n v="6.8"/>
    <n v="26"/>
    <n v="2.2999999999999998"/>
    <n v="5.5"/>
    <n v="26"/>
    <n v="3.4"/>
    <m/>
    <m/>
    <x v="5"/>
    <n v="90"/>
    <n v="35"/>
  </r>
  <r>
    <x v="5"/>
    <n v="2020"/>
    <s v="REACH VN"/>
    <x v="1"/>
    <s v="Training and education for unpaid carers"/>
    <s v="Vietnam"/>
    <s v="Soc Son, a semi-rural district in Hanoi with a longstanding history of collaboration with the NGH. Soc Son is more economically advantaged compared with many other semirural areas due to its proximity to Hanoi and location near the international airport, an area undergoing considerable economic development. A convenience sample of 12 clusters was chosen based on their proximity to NGH, their participation in the NGH dementia registry, and history of successfully participating in prior research projects and initiatives."/>
    <s v="Mild to Severe Alzheimer’s Disease (CDR &gt; 1)"/>
    <s v="Alzheimer’s Disease"/>
    <s v="Mild to Severe"/>
    <s v="Yes"/>
    <s v="low risk"/>
    <s v="some concerns"/>
    <s v="low risk"/>
    <s v="some concerns"/>
    <s v="low risk"/>
    <s v="low risk"/>
    <m/>
    <n v="0.76"/>
    <s v="59.0 ± 10.4 years"/>
    <n v="0.92"/>
    <m/>
    <m/>
    <s v="REACH VA is based on REACH II and consists of four “core” training sessions on problem solving, mood management/cognitive restructuring, stress management (eg, signal breath, pleasant event scheduling), and communication, plus up to two additional sessions based on caregiver’s needs and clinical judgment. In REACH VA, the sessions last 1 hour and are delivered by a trained interventionist by telephone, telehealth, or face-to-face. Our culturally adapted and manualized intervention, REACH VN, is based on the REACH VA intervention, with modifications to make it suitable for the context of a semi-rural area in Vietnam. We used a multi-step cultural adaptation process guided by existing frameworks commonly used in global health. Participants assigned to the enhanced control condition received a single face-to-face session at the time of enrollment in the caregiver’s home (or another place of their choosing) that focused on education about the nature of dementia and included the provision of written educational materials. In addition, any safety issues identified during the single home visit were addressed by research staff."/>
    <m/>
    <m/>
    <s v="Intervention for caregivers"/>
    <m/>
    <m/>
    <m/>
    <m/>
    <m/>
    <m/>
    <m/>
    <m/>
    <x v="6"/>
    <x v="11"/>
    <x v="1"/>
    <n v="4.0999999999999996"/>
    <n v="25"/>
    <n v="3"/>
    <n v="0.9"/>
    <n v="25"/>
    <n v="1"/>
    <m/>
    <m/>
    <x v="5"/>
    <n v="90"/>
    <n v="35"/>
  </r>
  <r>
    <x v="5"/>
    <n v="2020"/>
    <s v="Enhanced control"/>
    <x v="0"/>
    <s v="No intervention"/>
    <s v="Vietnam"/>
    <s v="Soc Son, a semi-rural district in Hanoi with a longstanding history of collaboration with the NGH. Soc Son is more economically advantaged compared with many other semirural areas due to its proximity to Hanoi and location near the international airport, an area undergoing considerable economic development. A convenience sample of 12 clusters was chosen based on their proximity to NGH, their participation in the NGH dementia registry, and history of successfully participating in prior research projects and initiatives."/>
    <s v="Mild to Severe Alzheimer’s Disease (CDR &gt; 1)"/>
    <s v="Alzheimer’s Disease"/>
    <s v="Mild to Severe"/>
    <s v="Yes"/>
    <s v="low risk"/>
    <s v="some concerns"/>
    <s v="low risk"/>
    <s v="some concerns"/>
    <s v="low risk"/>
    <s v="low risk"/>
    <m/>
    <n v="0.76900000000000002"/>
    <s v="58.7 ± 13.9 years"/>
    <n v="0.80800000000000005"/>
    <m/>
    <m/>
    <s v="Participants assigned to the enhanced control condition received a single face-to-face session at the time of enrollment in the caregiver’s home (or another place of their choosing) that focused on education about the nature of dementia and included the provision of written educational materials. In addition, any safety issues identified during the single home visit were addressed by research staff."/>
    <m/>
    <m/>
    <s v="Intervention for caregivers"/>
    <m/>
    <m/>
    <m/>
    <m/>
    <m/>
    <m/>
    <m/>
    <m/>
    <x v="6"/>
    <x v="11"/>
    <x v="1"/>
    <n v="4.5999999999999996"/>
    <n v="26"/>
    <n v="2.8"/>
    <n v="2.9"/>
    <n v="26"/>
    <n v="2.8"/>
    <m/>
    <m/>
    <x v="5"/>
    <n v="90"/>
    <n v="35"/>
  </r>
  <r>
    <x v="6"/>
    <n v="2012"/>
    <s v="对照组"/>
    <x v="0"/>
    <s v="No intervention"/>
    <s v="China"/>
    <s v="Hospital "/>
    <s v="Alzheimer's Disease"/>
    <s v="Dementia"/>
    <s v="Mild to moderate"/>
    <s v="No"/>
    <s v="Some concerns"/>
    <s v="some concerns"/>
    <s v="low risk"/>
    <s v="some concerns"/>
    <s v="some concerns"/>
    <s v="some concerns"/>
    <m/>
    <s v="54.17"/>
    <m/>
    <m/>
    <m/>
    <m/>
    <s v="Conventional therapy with Piracetam and Donepezil"/>
    <m/>
    <m/>
    <m/>
    <s v="&quot;按医嘱进行脑复康，多奈哌齐 等药物治疗，康复护理干预期间药物剂量不变。 &quot;"/>
    <m/>
    <m/>
    <m/>
    <m/>
    <m/>
    <s v="Multicomponent (Conventional therapy + Pharmaceutical)"/>
    <m/>
    <x v="2"/>
    <x v="12"/>
    <x v="1"/>
    <n v="18.52"/>
    <n v="48"/>
    <n v="3.4"/>
    <n v="20.329999999999998"/>
    <n v="48"/>
    <n v="3.49"/>
    <m/>
    <m/>
    <x v="1"/>
    <n v="365"/>
    <n v="365"/>
  </r>
  <r>
    <x v="6"/>
    <n v="2012"/>
    <s v="研究组 "/>
    <x v="3"/>
    <s v="Individual-based interventions"/>
    <s v="China"/>
    <s v="Hospital "/>
    <s v="Alzheimer's Disease"/>
    <s v="Dementia"/>
    <s v="Mild to moderate"/>
    <s v="No"/>
    <s v="Some concerns"/>
    <s v="some concerns"/>
    <s v="low risk"/>
    <s v="some concerns"/>
    <s v="some concerns"/>
    <s v="some concerns"/>
    <m/>
    <s v="58.33"/>
    <m/>
    <m/>
    <m/>
    <m/>
    <s v="Conventional therapy with Piracetam and Donepezil + whole course rehabilitafion nursing intervention including cognitive intervention，memory intervention，behaviour intervention，psychological intervention，safety intervention，community family nursing intervention，etc"/>
    <m/>
    <m/>
    <m/>
    <s v="&quot;按医嘱进行脑复康，多奈哌齐 等药物治疗，康复护理干预期间药物剂量不变。 &quot;研究组于入院第2天开始，根据本院编制的《老年痴呆全程康复护理规程》进行全程康复护理干预。 内容包括：①组织与管理：成立由专家、责任医生、责任护士、 护工组成的AD全程康复护理指导小组，小组成员负责制订 AD患者个性化全程康复护理计划，并负责组织实施。②健 康教育：针对AD患者的健康问题和照顾者对健康教育知识 的需求，每周进行相关老年性痴呆健康教育。③认知干预：干 预患者分析、综合、推理、判断和计算的能力，主要方法为3R 护理即Reminiscence(回忆往事)、Reality(现实定向)和 Remotivation(记忆再激发)。主要包括计算能力训练(如计算 家庭每月食品费、水电费、电话费、医疗费等开支，再算半年和 全年费用等)、数字排列训练(如扑克牌打乱后再让患者按顺 序排列等)、分类法训练(如给患者一张写有40种物品名称 的清单，让患者进行归类)等，每天训练三次。④记忆干预： 每天帮助患者记忆住所的环境、周围的人和物，最近进行的一 些活动等。⑤语言训练：要求患者叙述每天周围发生的事件、 家庭情况、新闻故事，让患者多交流，每天至少三次，防止出现 语言障碍。⑥行为干预：根据患者功能障碍情况，从13常生活 的穿衣、饮食、住房、用厕、出行等开始，并从患者的日常生活、 文体活动或一些轻的劳动过程中选出一些能使患者感兴趣并 有助于恢复功能和技能的活动，并按要求进行训练，帮助维持 或恢复功能。根据患者状况确定训练时间。⑦心理干预：每 天根据患者出现焦虑和抑郁等负性情绪的特点，采用安慰、鼓励、暗示以及听音乐、看幽默剧等方法对患者及照顾者进行心 理干预。同时鼓励患者与家人、亲友交往，从思想上、情感上 尽可能沟通，以减少患者的内心痛苦、孤独感、失望感、自罪自 责感。⑧用药指导：指导和督促患者按医嘱科学用药。⑨安 全干预：营造一个舒适、安全的住院环境及家居环境，防止出 现并发症和各种意外事故(如摔倒、骨折、走失、火灾、自杀自 残等)发生。⑩社区一家庭护理干预：患者在出院后，进行家庭 跟踪随访护理干预，每月为患者及照顾者进行讲课，每2周上 门随访1次，每周电话随访1次，了解患者的康复治疗情况， 提出相关指导意见。 &quot;"/>
    <m/>
    <m/>
    <m/>
    <m/>
    <m/>
    <s v="Multicomponent intervention (Conventional therapy +  non-pharmacological)"/>
    <m/>
    <x v="2"/>
    <x v="12"/>
    <x v="1"/>
    <n v="18.309999999999899"/>
    <n v="48"/>
    <n v="3.63"/>
    <n v="22.08"/>
    <n v="48"/>
    <n v="6.15"/>
    <m/>
    <m/>
    <x v="1"/>
    <n v="365"/>
    <n v="365"/>
  </r>
  <r>
    <x v="7"/>
    <n v="2017"/>
    <s v=" Nursing intervention "/>
    <x v="1"/>
    <s v="Training and education for unpaid carers"/>
    <s v="China"/>
    <s v="urban, community "/>
    <s v="Dementia (general/unspecified)"/>
    <s v="Dementia"/>
    <s v="Any severity stage"/>
    <s v="Yes"/>
    <s v="Some concerns"/>
    <s v="some concerns"/>
    <s v="low risk"/>
    <s v="some concerns"/>
    <s v="some concerns"/>
    <s v="some concerns"/>
    <m/>
    <m/>
    <s v="66.54"/>
    <s v="66.67"/>
    <s v="25.64"/>
    <m/>
    <s v="&quot;Nursing intervention according to the community nurse family visit program set up in this study, including the caregiver training, issued “dementia caregivers manual’’ and telephone follow—up for period of 3 months&quot;"/>
    <m/>
    <m/>
    <m/>
    <s v="&quot;1．2．1．1方案制定及社区护士培训 研究者在文献 查阅基础上形成初稿，经4位精神科及老年科护理领 域专家论证后，最终形成《社区失智老人居家照顾者照 护技能培训方案》及《失智症照顾者手册》。社区护士 失智症管理培训以学习讲座形式进行，由4位失智症 护理及老年护理领域专家授课，内容主要包括：①家庭 访视的方法和技巧；②认识失智症；③失智症的家庭护 理；④失智症日常康复训练；⑤照顾者自我照顾及社区 资源支持；⑥常规护理实践指导；⑦失智症日常生活照 顾实践指导等。采用体验式学习法，以情景模拟体验、 案例分析分享、小组讨论交流等多种方式进行，由授课 专家对培训护士进行理论及实践操作考核。共计5次 课程，每次3 h～4 h。 1．2．1．2人员分配及家庭访视 根据社区医护人员 课程培训结果，对培训合格的社区护士进行人员分配 及职责划分，每名护士负责3例～4例失智老人居家 照顾者的家庭访视，每2周进行1次集中讨论，讨论本 组内失智老人及其照顾者的现况并实时更新记录，如 遇不能解决的照顾问题，及时向专家求助。家庭访视 每周1次，每次1．5 h～2．0 h，具体工作可进行个体化 调整，注重理论学习与实际生活的联系，所有内容都要_x000a_针对照顾者家庭的实际情况由社区护士进行一对一指 导。首次家庭访视时主动进行自我介绍，获得照顾者 的信任和许可后，发放《失智症照顾者手册》及用以预 防失智老人走失的“黄手环”，评估失智老人的基本情 况(病人病情、日常生活能力等)及照顾者需求(疾病知 识、协助病人日常活动、环境安全设施设置等)等问题 并记录，结合手册进行失智症疾病基础知识的指导，使 照顾者意识到失智症并非是正常老化所造成的，是需 要治疗和护理的，让照顾者对失智症有一定的了解。 第2次结合“日常生活照顾指导”主题，按照家庭访视 常规流程进行，以手册为基础对照顾者进行饮食、口腔 卫生、排泄、洗澡穿衣及睡眠休息等内容的指导，如何 为失智老人提供营养丰富的三餐，运用定时如厕等方 法避免失智老人弄脏衣裤等。第3次进行“安全护理” 及“康复技能”指导，如何预防与应对异常行为、定向力 及记忆力训练等内容，引导失智老人浏览老照片、讲述 老故事以延缓记忆衰退等。第4次进行“照顾者自我 照顾”及“社区医疗资源利用”指导，引导照顾者接纳病 人，进行自我心理调适；合理安排时间，多参与健身及 娱乐活动以丰富生活，同时减轻照顾压力；多与家庭成 员交流，勇于表达自己的难处，接受外界的帮助，建立 有效的家庭支持系统；合理接纳和利用来自社区医疗 机构及心理援助组织的相关医疗支持；了解日间照护中心、“护老者之家”、喘息服务等政府养老服务资源并 学会根据自己的实际情况做出最佳的医疗服务决策。 在进行理论学习的同时，根据被访家庭的具体情况，由 社区护士为其提供个性化的支持和指导，注重与照顾 者的交流，利用倾听、共情、肢体接触等方式为照顾者 提供心理及情感支持，允许照顾者通过抱怨、哭泣等方 式进行不良情绪的发泄；将社区养老服务机构的宣传 资料发给照顾者，详细介绍社区资源的使用条件及方 法，同照顾者一起根据失智老人的健康状况及家庭条 件选择最佳的养老服务；陪照顾者检视家庭环境，排除 存在跌倒风险的居家陈设，减少青团、糕团等易诱发噎 食的食物，引导照顾者积极对待照顾活动，将所学知识 真正融人实际生活。 1．2．1．3 电话随访 家庭访视结束后，每周1次电话 随访照顾者，通过与照顾者电话沟通了解仍未解决的 问题，并予以指导，根据情况可以安排再次进行人户。 第2个月开始每两周进行1次电话随访，直至干预 结束。 &quot;_x000a_"/>
    <m/>
    <m/>
    <m/>
    <m/>
    <m/>
    <s v="Intervention for carers"/>
    <m/>
    <x v="0"/>
    <x v="13"/>
    <x v="1"/>
    <n v="53.51"/>
    <n v="39"/>
    <n v="16.100000000000001"/>
    <n v="33.64"/>
    <n v="39"/>
    <n v="15.49"/>
    <m/>
    <m/>
    <x v="5"/>
    <n v="90"/>
    <n v="90"/>
  </r>
  <r>
    <x v="7"/>
    <n v="2017"/>
    <s v="Routine community management (control)"/>
    <x v="0"/>
    <s v="No intervention"/>
    <s v="China"/>
    <s v="urban, community "/>
    <s v="Dementia (general/unspecified)"/>
    <s v="Dementia"/>
    <s v="Any severity stage"/>
    <s v="Yes"/>
    <s v="Some concerns"/>
    <s v="some concerns"/>
    <s v="low risk"/>
    <s v="some concerns"/>
    <s v="some concerns"/>
    <s v="some concerns"/>
    <m/>
    <m/>
    <s v="62.79"/>
    <s v="56.41"/>
    <s v="28.21"/>
    <m/>
    <s v="Routine community management"/>
    <m/>
    <m/>
    <m/>
    <s v="&quot;接受常规社区卫生服务，依照社区精 神类疾病护理管理常规进行，照顾者根据失智老人病 情变化可随时根据需要前往社区卫生服务中心等医疗 单位就诊。 &quot;"/>
    <m/>
    <m/>
    <m/>
    <m/>
    <m/>
    <s v="community management"/>
    <m/>
    <x v="0"/>
    <x v="13"/>
    <x v="1"/>
    <n v="56.46"/>
    <n v="39"/>
    <n v="9.18"/>
    <n v="58.26"/>
    <n v="39"/>
    <n v="10.6"/>
    <m/>
    <m/>
    <x v="5"/>
    <n v="90"/>
    <n v="90"/>
  </r>
  <r>
    <x v="7"/>
    <n v="2017"/>
    <s v=" Nursing intervention "/>
    <x v="1"/>
    <s v="Training and education for unpaid carers"/>
    <s v="China"/>
    <s v="urban, community "/>
    <s v="Dementia (general/unspecified)"/>
    <s v="Dementia"/>
    <s v="Any severity stage"/>
    <s v="Yes"/>
    <s v="Some concerns"/>
    <s v="some concerns"/>
    <s v="low risk"/>
    <s v="some concerns"/>
    <s v="some concerns"/>
    <s v="some concerns"/>
    <m/>
    <m/>
    <s v="66.54"/>
    <s v="66.67"/>
    <s v="25.64"/>
    <m/>
    <s v="&quot;Nursing intervention according to the community nurse family visit program set up in this study, including the caregiver training, issued “dementia caregivers manual’’ and telephone follow—up for period of 3 months&quot;"/>
    <m/>
    <m/>
    <m/>
    <s v="&quot;1．2．1．1方案制定及社区护士培训 研究者在文献 查阅基础上形成初稿，经4位精神科及老年科护理领 域专家论证后，最终形成《社区失智老人居家照顾者照 护技能培训方案》及《失智症照顾者手册》。社区护士 失智症管理培训以学习讲座形式进行，由4位失智症 护理及老年护理领域专家授课，内容主要包括：①家庭 访视的方法和技巧；②认识失智症；③失智症的家庭护 理；④失智症日常康复训练；⑤照顾者自我照顾及社区 资源支持；⑥常规护理实践指导；⑦失智症日常生活照 顾实践指导等。采用体验式学习法，以情景模拟体验、 案例分析分享、小组讨论交流等多种方式进行，由授课 专家对培训护士进行理论及实践操作考核。共计5次 课程，每次3 h～4 h。 1．2．1．2人员分配及家庭访视 根据社区医护人员 课程培训结果，对培训合格的社区护士进行人员分配 及职责划分，每名护士负责3例～4例失智老人居家 照顾者的家庭访视，每2周进行1次集中讨论，讨论本 组内失智老人及其照顾者的现况并实时更新记录，如 遇不能解决的照顾问题，及时向专家求助。家庭访视 每周1次，每次1．5 h～2．0 h，具体工作可进行个体化 调整，注重理论学习与实际生活的联系，所有内容都要_x000a_针对照顾者家庭的实际情况由社区护士进行一对一指 导。首次家庭访视时主动进行自我介绍，获得照顾者 的信任和许可后，发放《失智症照顾者手册》及用以预 防失智老人走失的“黄手环”，评估失智老人的基本情 况(病人病情、日常生活能力等)及照顾者需求(疾病知 识、协助病人日常活动、环境安全设施设置等)等问题 并记录，结合手册进行失智症疾病基础知识的指导，使 照顾者意识到失智症并非是正常老化所造成的，是需 要治疗和护理的，让照顾者对失智症有一定的了解。 第2次结合“日常生活照顾指导”主题，按照家庭访视 常规流程进行，以手册为基础对照顾者进行饮食、口腔 卫生、排泄、洗澡穿衣及睡眠休息等内容的指导，如何 为失智老人提供营养丰富的三餐，运用定时如厕等方 法避免失智老人弄脏衣裤等。第3次进行“安全护理” 及“康复技能”指导，如何预防与应对异常行为、定向力 及记忆力训练等内容，引导失智老人浏览老照片、讲述 老故事以延缓记忆衰退等。第4次进行“照顾者自我 照顾”及“社区医疗资源利用”指导，引导照顾者接纳病 人，进行自我心理调适；合理安排时间，多参与健身及 娱乐活动以丰富生活，同时减轻照顾压力；多与家庭成 员交流，勇于表达自己的难处，接受外界的帮助，建立 有效的家庭支持系统；合理接纳和利用来自社区医疗 机构及心理援助组织的相关医疗支持；了解日间照护中心、“护老者之家”、喘息服务等政府养老服务资源并 学会根据自己的实际情况做出最佳的医疗服务决策。 在进行理论学习的同时，根据被访家庭的具体情况，由 社区护士为其提供个性化的支持和指导，注重与照顾 者的交流，利用倾听、共情、肢体接触等方式为照顾者 提供心理及情感支持，允许照顾者通过抱怨、哭泣等方 式进行不良情绪的发泄；将社区养老服务机构的宣传 资料发给照顾者，详细介绍社区资源的使用条件及方 法，同照顾者一起根据失智老人的健康状况及家庭条 件选择最佳的养老服务；陪照顾者检视家庭环境，排除 存在跌倒风险的居家陈设，减少青团、糕团等易诱发噎 食的食物，引导照顾者积极对待照顾活动，将所学知识 真正融人实际生活。 1．2．1．3 电话随访 家庭访视结束后，每周1次电话 随访照顾者，通过与照顾者电话沟通了解仍未解决的 问题，并予以指导，根据情况可以安排再次进行人户。 第2个月开始每两周进行1次电话随访，直至干预 结束。 &quot;_x000a_"/>
    <m/>
    <m/>
    <m/>
    <m/>
    <m/>
    <s v="Intervention for carers"/>
    <m/>
    <x v="11"/>
    <x v="6"/>
    <x v="1"/>
    <n v="48.82"/>
    <n v="39"/>
    <n v="7.83"/>
    <n v="55.04"/>
    <n v="39"/>
    <n v="5.88"/>
    <m/>
    <m/>
    <x v="5"/>
    <n v="90"/>
    <n v="90"/>
  </r>
  <r>
    <x v="7"/>
    <n v="2017"/>
    <s v="Routine community management (control)"/>
    <x v="0"/>
    <s v="No intervention"/>
    <s v="China"/>
    <s v="urban, community "/>
    <s v="Dementia (general/unspecified)"/>
    <s v="Dementia"/>
    <s v="Any severity stage"/>
    <s v="Yes"/>
    <s v="Some concerns"/>
    <s v="some concerns"/>
    <s v="low risk"/>
    <s v="some concerns"/>
    <s v="some concerns"/>
    <s v="some concerns"/>
    <m/>
    <m/>
    <s v="62.79"/>
    <s v="56.41"/>
    <s v="28.21"/>
    <m/>
    <s v="Routine community management"/>
    <m/>
    <m/>
    <m/>
    <s v="&quot;接受常规社区卫生服务，依照社区精 神类疾病护理管理常规进行，照顾者根据失智老人病 情变化可随时根据需要前往社区卫生服务中心等医疗 单位就诊。 &quot;"/>
    <m/>
    <m/>
    <m/>
    <m/>
    <m/>
    <s v="community management"/>
    <m/>
    <x v="11"/>
    <x v="6"/>
    <x v="1"/>
    <n v="48.67"/>
    <n v="39"/>
    <n v="4.2"/>
    <n v="46.77"/>
    <n v="39"/>
    <n v="4"/>
    <m/>
    <m/>
    <x v="5"/>
    <n v="90"/>
    <n v="90"/>
  </r>
  <r>
    <x v="8"/>
    <n v="2017"/>
    <s v="&quot;First You Should Get Stronger&quot; caregiving programme"/>
    <x v="2"/>
    <s v="Information, education, and training to support carers"/>
    <s v="Turkey"/>
    <s v="Erenköy - a rural village (population circa 1500) in Turkey. Intervention delivered at carers homes"/>
    <s v="Dementia (general/unspecified)"/>
    <s v="Dementia"/>
    <s v="Not specified"/>
    <s v="Yes"/>
    <s v="Some concerns"/>
    <s v="high risk"/>
    <s v="high risk"/>
    <s v="high risk"/>
    <s v="some concerns"/>
    <s v="high risk"/>
    <m/>
    <s v="45.0"/>
    <s v="52.97"/>
    <s v="70.0"/>
    <m/>
    <m/>
    <s v="7 session home delivered bespoke caregiver information programme focused on for strengthening the caregiver, decreasing the caregiving burden and developing healthy life style behaviours"/>
    <m/>
    <m/>
    <m/>
    <s v="&quot;Visits were carried_x000a_out by the researcher once every week with each session lasting_x000a_45 min. [...] The content of the program was designed in accordance with_x000a_the relevant literature before the study was implemented entia_x000a_(Alves, Teixeira, Azevedo, Duarte, &amp; Paúl, 2015; Arango-Lasprilla_x000a_et al., 2014; Ducharme et al., 2015; Hou et al., 2013; Pinquar and_x000a_Sörensen, 2006). We sought expert opinions from four faculty_x000a_members in the psychiatric nursing department (1), public health_x000a_nursing department (2), internal medical nursing department(1)_x000a_who were specialized in working with the families of patients with_x000a_dementia. Final revisions were made in the program in accordance_x000a_with the opinions of experts. The program consists of seven_x000a_sessions for strengthening the caregiver, decreasing the caregiving_x000a_burden and developing healthy life style behaviors (Table 1). [...] Session 1 Introduction, learning about dementia and the_x000a_individual for whom care is given_x000a_Session 2 Communication with individuals with dementia_x000a_(caregiving without being derogatory)_x000a_Session 3 Defining the difficulties experienced by the_x000a_individual with dementia_x000a_Session 4 Carrying out the systematics of daily works_x000a_Session 5 Determining social support systems_x000a_Session 6 Carrying out activities for enhancing and developing_x000a_the health of the caregiver_x000a_Session 7 General evaluation and closure&quot;"/>
    <m/>
    <m/>
    <m/>
    <m/>
    <m/>
    <s v="Intervention for carers"/>
    <m/>
    <x v="0"/>
    <x v="0"/>
    <x v="1"/>
    <n v="78.3"/>
    <n v="20"/>
    <n v="4.46"/>
    <n v="67.099999999999895"/>
    <n v="20"/>
    <n v="7.18"/>
    <m/>
    <m/>
    <x v="6"/>
    <n v="49"/>
    <n v="49"/>
  </r>
  <r>
    <x v="8"/>
    <n v="2017"/>
    <s v="Control"/>
    <x v="0"/>
    <s v="No intervention"/>
    <s v="Turkey"/>
    <s v="Erenköy - a rural village (population circa 1500) in Turkey. Intervention delivered at carers homes"/>
    <s v="Dementia (general/unspecified)"/>
    <s v="Dementia"/>
    <s v="Not specified"/>
    <s v="Yes"/>
    <s v="Some concerns"/>
    <s v="high risk"/>
    <s v="high risk"/>
    <s v="high risk"/>
    <s v="some concerns"/>
    <s v="high risk"/>
    <m/>
    <s v="35.0"/>
    <s v="51.76"/>
    <s v="65.0"/>
    <m/>
    <m/>
    <s v="Control"/>
    <m/>
    <m/>
    <m/>
    <s v="Appears to be no intervention"/>
    <m/>
    <m/>
    <m/>
    <m/>
    <m/>
    <s v="Appears to be no intervention"/>
    <m/>
    <x v="0"/>
    <x v="0"/>
    <x v="1"/>
    <n v="78.45"/>
    <n v="20"/>
    <n v="3.26"/>
    <n v="79.3"/>
    <n v="20"/>
    <n v="3.79"/>
    <m/>
    <m/>
    <x v="6"/>
    <n v="49"/>
    <n v="49"/>
  </r>
  <r>
    <x v="9"/>
    <n v="2017"/>
    <s v="Control 1"/>
    <x v="2"/>
    <s v="Group support and therapy"/>
    <s v="Iran"/>
    <s v="Family caregivers of the elderly with Alzheimer's disease registered in Iran Alzheimer's Association in 2014"/>
    <s v="Alzheimer's Disease"/>
    <s v="Dementia"/>
    <s v="Not specified"/>
    <s v="Yes"/>
    <s v="Some concerns"/>
    <s v="high risk"/>
    <s v="high risk"/>
    <s v="high risk"/>
    <s v="high risk"/>
    <s v="high risk"/>
    <m/>
    <m/>
    <m/>
    <m/>
    <m/>
    <m/>
    <s v="Group sessions without spiritual therapy, 45-60 minutes for 5 weeks"/>
    <m/>
    <m/>
    <m/>
    <s v="&quot;Five, 45 to 60 minute weekly sessions were held for control group one. In these sessions caregivers were meet each other in groups, with-out performing any particular interventions, and daily issues were discussed&quot;"/>
    <m/>
    <m/>
    <m/>
    <m/>
    <m/>
    <s v="Intervention for carers "/>
    <m/>
    <x v="0"/>
    <x v="14"/>
    <x v="2"/>
    <n v="36.75"/>
    <n v="32"/>
    <n v="1.35"/>
    <n v="36.64"/>
    <n v="28"/>
    <n v="1.28"/>
    <m/>
    <m/>
    <x v="7"/>
    <n v="35"/>
    <n v="35"/>
  </r>
  <r>
    <x v="9"/>
    <n v="2017"/>
    <s v="Control 2"/>
    <x v="0"/>
    <s v="No intervention"/>
    <s v="Iran"/>
    <s v="Family caregivers of the elderly with Alzheimer's disease registered in Iran Alzheimer's Association in 2014"/>
    <s v="Alzheimer's Disease"/>
    <s v="Dementia"/>
    <s v="Not specified"/>
    <s v="Yes"/>
    <s v="Some concerns"/>
    <s v="high risk"/>
    <s v="high risk"/>
    <s v="high risk"/>
    <s v="high risk"/>
    <s v="high risk"/>
    <m/>
    <m/>
    <m/>
    <m/>
    <m/>
    <m/>
    <s v="Control"/>
    <m/>
    <m/>
    <m/>
    <s v="&quot;Control group two received no interventions, or even the chance of meeting the caregivers in the group&quot;"/>
    <m/>
    <m/>
    <m/>
    <m/>
    <m/>
    <s v="N/A"/>
    <m/>
    <x v="0"/>
    <x v="14"/>
    <x v="2"/>
    <n v="37.58"/>
    <n v="35"/>
    <n v="1.64"/>
    <n v="37.19"/>
    <n v="31"/>
    <n v="1.53"/>
    <m/>
    <m/>
    <x v="7"/>
    <n v="35"/>
    <n v="35"/>
  </r>
  <r>
    <x v="9"/>
    <n v="2017"/>
    <s v="Intervention "/>
    <x v="2"/>
    <s v="Group support and therapy"/>
    <s v="Iran"/>
    <s v="Family caregivers of the elderly with Alzheimer's disease registered in Iran Alzheimer's Association in 2014"/>
    <s v="Alzheimer's Disease"/>
    <s v="Dementia"/>
    <s v="Not specified"/>
    <s v="Yes"/>
    <s v="Some concerns"/>
    <s v="high risk"/>
    <s v="high risk"/>
    <s v="high risk"/>
    <s v="high risk"/>
    <s v="high risk"/>
    <m/>
    <m/>
    <m/>
    <m/>
    <m/>
    <m/>
    <s v="Spiritual group therapy 45-60 minutes for 5 weeks"/>
    <m/>
    <m/>
    <m/>
    <s v="Spiritual group therapy was held weekly_x000a_for_x000a_five weeks and each session lasted 45 to 60 min. Subjects presented_x000a_included: Introduction and formation of group solidarity in session one,_x000a_The role of reciting the Quran in personal peace in session two, The role_x000a_of recommended recitals and repeat them in personal peace in session_x000a_three, The role of reciting prayers in personal peace in session four_x000a_and Explaining the experience of spiritual care and its effects, preparing members to leave the group and take advantage of the group's achieve-_x000a_ments in session_x000a_fi_x000a_ve."/>
    <m/>
    <m/>
    <m/>
    <m/>
    <m/>
    <s v="Intervention for carers "/>
    <m/>
    <x v="0"/>
    <x v="14"/>
    <x v="2"/>
    <n v="37.159999999999897"/>
    <n v="33"/>
    <n v="1.26"/>
    <n v="32.43"/>
    <n v="30"/>
    <n v="2.73"/>
    <m/>
    <m/>
    <x v="7"/>
    <n v="35"/>
    <n v="35"/>
  </r>
  <r>
    <x v="9"/>
    <n v="2017"/>
    <s v="Control 1"/>
    <x v="2"/>
    <s v="Group support and therapy"/>
    <s v="Iran"/>
    <s v="Family caregivers of the elderly with Alzheimer's disease registered in Iran Alzheimer's Association in 2014"/>
    <s v="Alzheimer's Disease"/>
    <s v="Dementia"/>
    <s v="Not specified"/>
    <s v="Yes"/>
    <s v="Some concerns"/>
    <s v="high risk"/>
    <s v="high risk"/>
    <s v="high risk"/>
    <s v="high risk"/>
    <s v="high risk"/>
    <m/>
    <m/>
    <m/>
    <m/>
    <m/>
    <m/>
    <s v="Group sessions without spiritual therapy, 45-60 minutes for 5 weeks"/>
    <m/>
    <m/>
    <m/>
    <s v="&quot;Five, 45 to 60 minute weekly sessions were held for control group one. In these sessions caregivers were meet each other in groups, with-out performing any particular interventions, and daily issues were discussed&quot;"/>
    <m/>
    <m/>
    <m/>
    <m/>
    <m/>
    <s v="Intervention for carers "/>
    <m/>
    <x v="0"/>
    <x v="14"/>
    <x v="3"/>
    <n v="36.75"/>
    <n v="32"/>
    <n v="1.35"/>
    <n v="36.64"/>
    <n v="28"/>
    <n v="1.28"/>
    <m/>
    <m/>
    <x v="7"/>
    <n v="35"/>
    <n v="35"/>
  </r>
  <r>
    <x v="9"/>
    <n v="2017"/>
    <s v="Control 2"/>
    <x v="0"/>
    <s v="No intervention"/>
    <s v="Iran"/>
    <s v="Family caregivers of the elderly with Alzheimer's disease registered in Iran Alzheimer's Association in 2014"/>
    <s v="Alzheimer's Disease"/>
    <s v="Dementia"/>
    <s v="Not specified"/>
    <s v="Yes"/>
    <s v="Some concerns"/>
    <s v="high risk"/>
    <s v="high risk"/>
    <s v="high risk"/>
    <s v="high risk"/>
    <s v="high risk"/>
    <m/>
    <m/>
    <m/>
    <m/>
    <m/>
    <m/>
    <s v="Control"/>
    <m/>
    <m/>
    <m/>
    <s v="&quot;Control group two received no interventions, or even the chance of meeting the caregivers in the group&quot;"/>
    <m/>
    <m/>
    <m/>
    <m/>
    <m/>
    <s v="N/A"/>
    <m/>
    <x v="0"/>
    <x v="14"/>
    <x v="3"/>
    <n v="37.58"/>
    <n v="35"/>
    <n v="1.64"/>
    <n v="37.19"/>
    <n v="31"/>
    <n v="1.53"/>
    <m/>
    <m/>
    <x v="7"/>
    <n v="35"/>
    <n v="35"/>
  </r>
  <r>
    <x v="9"/>
    <n v="2017"/>
    <s v="Intervention "/>
    <x v="2"/>
    <s v="Group support and therapy"/>
    <s v="Iran"/>
    <s v="Family caregivers of the elderly with Alzheimer's disease registered in Iran Alzheimer's Association in 2014"/>
    <s v="Alzheimer's Disease"/>
    <s v="Dementia"/>
    <s v="Not specified"/>
    <s v="Yes"/>
    <s v="Some concerns"/>
    <s v="high risk"/>
    <s v="high risk"/>
    <s v="high risk"/>
    <s v="high risk"/>
    <s v="high risk"/>
    <m/>
    <m/>
    <m/>
    <m/>
    <m/>
    <m/>
    <s v="Spiritual group therapy 45-60 minutes for 5 weeks"/>
    <m/>
    <m/>
    <m/>
    <s v="Spiritual group therapy was held weekly_x000a_for_x000a_five weeks and each session lasted 45 to 60 min. Subjects presented_x000a_included: Introduction and formation of group solidarity in session one,_x000a_The role of reciting the Quran in personal peace in session two, The role_x000a_of recommended recitals and repeat them in personal peace in session_x000a_three, The role of reciting prayers in personal peace in session four_x000a_and Explaining the experience of spiritual care and its effects, preparing members to leave the group and take advantage of the group's achieve-_x000a_ments in session_x000a_fi_x000a_ve."/>
    <m/>
    <m/>
    <m/>
    <m/>
    <m/>
    <s v="Intervention for carers "/>
    <m/>
    <x v="0"/>
    <x v="14"/>
    <x v="3"/>
    <n v="37.159999999999897"/>
    <n v="33"/>
    <n v="1.26"/>
    <n v="32.43"/>
    <n v="30"/>
    <n v="2.73"/>
    <m/>
    <m/>
    <x v="7"/>
    <n v="35"/>
    <n v="35"/>
  </r>
  <r>
    <x v="10"/>
    <n v="2014"/>
    <s v="Controlled group"/>
    <x v="0"/>
    <s v="No intervention"/>
    <s v="Iran"/>
    <s v="Precise setting not stated but members of an Alzheimers Association and took place in urban Tehran."/>
    <s v="Alzheimer's Disease"/>
    <s v="Dementia"/>
    <s v="Not specified"/>
    <m/>
    <s v="high risk"/>
    <s v="high risk"/>
    <s v="high risk"/>
    <s v="high risk"/>
    <s v="some concerns"/>
    <s v="high risk"/>
    <m/>
    <m/>
    <m/>
    <s v="100%"/>
    <m/>
    <m/>
    <m/>
    <m/>
    <m/>
    <m/>
    <m/>
    <m/>
    <m/>
    <m/>
    <m/>
    <m/>
    <m/>
    <m/>
    <x v="0"/>
    <x v="13"/>
    <x v="1"/>
    <n v="25.3"/>
    <n v="10"/>
    <n v="7.33"/>
    <n v="44.7"/>
    <n v="10"/>
    <n v="13.71"/>
    <m/>
    <m/>
    <x v="7"/>
    <n v="35"/>
    <n v="35"/>
  </r>
  <r>
    <x v="10"/>
    <n v="2014"/>
    <s v="Experimental group"/>
    <x v="2"/>
    <s v="Group support and therapy"/>
    <s v="Iran"/>
    <s v="Precise setting not stated but members of an Alzheimers Association and took place in urban Tehran."/>
    <s v="Alzheimer's Disease"/>
    <s v="Dementia"/>
    <s v="Not specified"/>
    <m/>
    <s v="high risk"/>
    <s v="high risk"/>
    <s v="high risk"/>
    <s v="high risk"/>
    <s v="some concerns"/>
    <s v="high risk"/>
    <m/>
    <m/>
    <m/>
    <s v="100%"/>
    <m/>
    <m/>
    <m/>
    <m/>
    <m/>
    <m/>
    <m/>
    <m/>
    <m/>
    <m/>
    <m/>
    <m/>
    <m/>
    <m/>
    <x v="0"/>
    <x v="13"/>
    <x v="1"/>
    <n v="31.6"/>
    <n v="10"/>
    <n v="16.36"/>
    <n v="24"/>
    <n v="10"/>
    <n v="14.25"/>
    <m/>
    <m/>
    <x v="7"/>
    <n v="35"/>
    <n v="35"/>
  </r>
  <r>
    <x v="10"/>
    <n v="2014"/>
    <s v="Controlled group"/>
    <x v="0"/>
    <s v="No intervention"/>
    <s v="Iran"/>
    <s v="Precise setting not stated but members of an Alzheimers Association and took place in urban Tehran."/>
    <s v="Alzheimer's Disease"/>
    <s v="Dementia"/>
    <s v="Not specified"/>
    <m/>
    <s v="high risk"/>
    <s v="high risk"/>
    <s v="high risk"/>
    <s v="high risk"/>
    <s v="some concerns"/>
    <s v="high risk"/>
    <m/>
    <m/>
    <m/>
    <s v="100%"/>
    <m/>
    <m/>
    <m/>
    <m/>
    <m/>
    <m/>
    <m/>
    <m/>
    <m/>
    <m/>
    <m/>
    <m/>
    <m/>
    <m/>
    <x v="5"/>
    <x v="15"/>
    <x v="1"/>
    <n v="12.7"/>
    <n v="10"/>
    <n v="4.57"/>
    <n v="19.399999999999899"/>
    <n v="10"/>
    <n v="9.2100000000000009"/>
    <m/>
    <m/>
    <x v="7"/>
    <n v="35"/>
    <n v="35"/>
  </r>
  <r>
    <x v="10"/>
    <n v="2014"/>
    <s v="Experimental group"/>
    <x v="2"/>
    <s v="Group support and therapy"/>
    <s v="Iran"/>
    <s v="Precise setting not stated but members of an Alzheimers Association and took place in urban Tehran."/>
    <s v="Alzheimer's Disease"/>
    <s v="Dementia"/>
    <s v="Not specified"/>
    <m/>
    <s v="high risk"/>
    <s v="high risk"/>
    <s v="high risk"/>
    <s v="high risk"/>
    <s v="some concerns"/>
    <s v="high risk"/>
    <m/>
    <m/>
    <m/>
    <s v="100%"/>
    <m/>
    <m/>
    <m/>
    <m/>
    <m/>
    <m/>
    <m/>
    <m/>
    <m/>
    <m/>
    <m/>
    <m/>
    <m/>
    <m/>
    <x v="5"/>
    <x v="15"/>
    <x v="1"/>
    <n v="20"/>
    <n v="10"/>
    <n v="6.16"/>
    <n v="6.7"/>
    <n v="10"/>
    <n v="2.54"/>
    <m/>
    <m/>
    <x v="7"/>
    <n v="35"/>
    <n v="35"/>
  </r>
  <r>
    <x v="10"/>
    <n v="2014"/>
    <s v="Controlled group"/>
    <x v="0"/>
    <s v="No intervention"/>
    <s v="Iran"/>
    <s v="Precise setting not stated but members of an Alzheimers Association and took place in urban Tehran."/>
    <s v="Alzheimer's Disease"/>
    <s v="Dementia"/>
    <s v="Not specified"/>
    <m/>
    <s v="high risk"/>
    <s v="high risk"/>
    <s v="high risk"/>
    <s v="high risk"/>
    <s v="some concerns"/>
    <s v="high risk"/>
    <m/>
    <m/>
    <m/>
    <s v="100%"/>
    <m/>
    <m/>
    <m/>
    <m/>
    <m/>
    <m/>
    <m/>
    <m/>
    <m/>
    <m/>
    <m/>
    <m/>
    <m/>
    <m/>
    <x v="11"/>
    <x v="16"/>
    <x v="1"/>
    <n v="47.61"/>
    <n v="10"/>
    <n v="18.32"/>
    <n v="37.57"/>
    <n v="10"/>
    <n v="12.8"/>
    <m/>
    <m/>
    <x v="7"/>
    <n v="35"/>
    <n v="35"/>
  </r>
  <r>
    <x v="10"/>
    <n v="2014"/>
    <s v="Experimental group"/>
    <x v="2"/>
    <s v="Group support and therapy"/>
    <s v="Iran"/>
    <s v="Precise setting not stated but members of an Alzheimers Association and took place in urban Tehran."/>
    <s v="Alzheimer's Disease"/>
    <s v="Dementia"/>
    <s v="Not specified"/>
    <m/>
    <s v="high risk"/>
    <s v="high risk"/>
    <s v="high risk"/>
    <s v="high risk"/>
    <s v="some concerns"/>
    <s v="high risk"/>
    <m/>
    <m/>
    <m/>
    <s v="100%"/>
    <m/>
    <m/>
    <m/>
    <m/>
    <m/>
    <m/>
    <m/>
    <m/>
    <m/>
    <m/>
    <m/>
    <m/>
    <m/>
    <m/>
    <x v="11"/>
    <x v="16"/>
    <x v="1"/>
    <n v="58.01"/>
    <n v="10"/>
    <n v="24.01"/>
    <n v="70.98"/>
    <n v="10"/>
    <n v="11.11"/>
    <m/>
    <m/>
    <x v="7"/>
    <n v="35"/>
    <n v="35"/>
  </r>
  <r>
    <x v="11"/>
    <n v="2018"/>
    <s v="Enhancing positive aspects of caregiving program (EPACP)"/>
    <x v="2"/>
    <s v="Information, education, and training to support carers"/>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11"/>
    <s v="83.3"/>
    <m/>
    <m/>
    <s v="EPACP plus usual care. The program consistedof six groups sessions and one individual session"/>
    <m/>
    <m/>
    <m/>
    <s v="&quot; The_x000a_EPACP was developed based on the Kramer’s twofactor adaptation model4 and designed to increase_x000a_caregiving self-efficacy, spirituality, social support,_x000a_and maintain positive caregiving experiences for_x000a_family caregiver of the person with dementia. Strategies_x000a_used included information provision and skill training;_x000a_exploring spirituality; finding positive events in their_x000a_lives; mindfulness practice; positive reappraisal_x000a_activities; and goal setting practice all conducted through_x000a_group discussions and training. Individual counseling_x000a_was also given. A dementia caregiving booklet, role_x000a_model, and video were also used. The program consisted_x000a_of six groups sessions and one individual session. Three_x000a_groups of 15 family members met once a week, for 2_x000a_hours over 6 weeks. At week 7, the PI offered the_x000a_individual sessions (see details in Table 1).&quot;"/>
    <m/>
    <m/>
    <m/>
    <m/>
    <m/>
    <s v="Intervention for carers"/>
    <m/>
    <x v="12"/>
    <x v="17"/>
    <x v="1"/>
    <n v="44.08"/>
    <n v="36"/>
    <n v="1.1299999999999899"/>
    <n v="43.27"/>
    <n v="36"/>
    <n v="2.4700000000000002"/>
    <m/>
    <m/>
    <x v="8"/>
    <n v="84"/>
    <n v="35"/>
  </r>
  <r>
    <x v="11"/>
    <n v="2018"/>
    <s v="Usual care (Control Group)"/>
    <x v="0"/>
    <s v="No intervention"/>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66"/>
    <s v="72.2"/>
    <m/>
    <m/>
    <s v="Usual care which included health education or suggestions fromnurses and other professionals at psychiatric clinicsof hospital or at home."/>
    <m/>
    <m/>
    <m/>
    <s v="&quot;For the_x000a_control group, participants received only usual care_x000a_which included health education or suggestions from_x000a_nurses and other professionals at psychiatric clinics_x000a_of hospital or at home. &quot;"/>
    <m/>
    <m/>
    <m/>
    <m/>
    <m/>
    <s v="N/A"/>
    <m/>
    <x v="12"/>
    <x v="17"/>
    <x v="1"/>
    <n v="37.75"/>
    <n v="36"/>
    <n v="3.86"/>
    <n v="37.36"/>
    <n v="36"/>
    <n v="5.89"/>
    <m/>
    <m/>
    <x v="8"/>
    <n v="84"/>
    <n v="35"/>
  </r>
  <r>
    <x v="11"/>
    <n v="2018"/>
    <s v="Enhancing positive aspects of caregiving program (EPACP)"/>
    <x v="2"/>
    <s v="Information, education, and training to support carers"/>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11"/>
    <s v="83.3"/>
    <m/>
    <m/>
    <s v="EPACP plus usual care. The program consistedof six groups sessions and one individual session"/>
    <m/>
    <m/>
    <m/>
    <s v="&quot; The_x000a_EPACP was developed based on the Kramer’s twofactor adaptation model4 and designed to increase_x000a_caregiving self-efficacy, spirituality, social support,_x000a_and maintain positive caregiving experiences for_x000a_family caregiver of the person with dementia. Strategies_x000a_used included information provision and skill training;_x000a_exploring spirituality; finding positive events in their_x000a_lives; mindfulness practice; positive reappraisal_x000a_activities; and goal setting practice all conducted through_x000a_group discussions and training. Individual counseling_x000a_was also given. A dementia caregiving booklet, role_x000a_model, and video were also used. The program consisted_x000a_of six groups sessions and one individual session. Three_x000a_groups of 15 family members met once a week, for 2_x000a_hours over 6 weeks. At week 7, the PI offered the_x000a_individual sessions (see details in Table 1).&quot;"/>
    <m/>
    <m/>
    <m/>
    <m/>
    <m/>
    <s v="Intervention for carers"/>
    <m/>
    <x v="12"/>
    <x v="17"/>
    <x v="1"/>
    <n v="44.08"/>
    <n v="36"/>
    <n v="1.1299999999999899"/>
    <n v="44.08"/>
    <n v="36"/>
    <n v="1.1299999999999899"/>
    <m/>
    <m/>
    <x v="9"/>
    <n v="140"/>
    <n v="35"/>
  </r>
  <r>
    <x v="11"/>
    <n v="2018"/>
    <s v="Usual care (Control Group)"/>
    <x v="0"/>
    <s v="No intervention"/>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66"/>
    <s v="72.2"/>
    <m/>
    <m/>
    <s v="Usual care which included health education or suggestions fromnurses and other professionals at psychiatric clinicsof hospital or at home."/>
    <m/>
    <m/>
    <m/>
    <s v="&quot;For the_x000a_control group, participants received only usual care_x000a_which included health education or suggestions from_x000a_nurses and other professionals at psychiatric clinics_x000a_of hospital or at home. &quot;"/>
    <m/>
    <m/>
    <m/>
    <m/>
    <m/>
    <s v="N/A"/>
    <m/>
    <x v="12"/>
    <x v="17"/>
    <x v="1"/>
    <n v="37.75"/>
    <n v="36"/>
    <n v="3.86"/>
    <n v="37.75"/>
    <n v="36"/>
    <n v="3.86"/>
    <m/>
    <m/>
    <x v="9"/>
    <n v="140"/>
    <n v="35"/>
  </r>
  <r>
    <x v="11"/>
    <n v="2018"/>
    <s v="Enhancing positive aspects of caregiving program (EPACP)"/>
    <x v="2"/>
    <s v="Information, education, and training to support carers"/>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11"/>
    <s v="83.3"/>
    <m/>
    <m/>
    <s v="EPACP plus usual care. The program consistedof six groups sessions and one individual session"/>
    <m/>
    <m/>
    <m/>
    <s v="&quot; The_x000a_EPACP was developed based on the Kramer’s twofactor adaptation model4 and designed to increase_x000a_caregiving self-efficacy, spirituality, social support,_x000a_and maintain positive caregiving experiences for_x000a_family caregiver of the person with dementia. Strategies_x000a_used included information provision and skill training;_x000a_exploring spirituality; finding positive events in their_x000a_lives; mindfulness practice; positive reappraisal_x000a_activities; and goal setting practice all conducted through_x000a_group discussions and training. Individual counseling_x000a_was also given. A dementia caregiving booklet, role_x000a_model, and video were also used. The program consisted_x000a_of six groups sessions and one individual session. Three_x000a_groups of 15 family members met once a week, for 2_x000a_hours over 6 weeks. At week 7, the PI offered the_x000a_individual sessions (see details in Table 1).&quot;"/>
    <m/>
    <m/>
    <m/>
    <m/>
    <m/>
    <s v="Intervention for carers"/>
    <m/>
    <x v="12"/>
    <x v="17"/>
    <x v="1"/>
    <n v="44.08"/>
    <n v="36"/>
    <n v="1.1299999999999899"/>
    <n v="42.58"/>
    <n v="36"/>
    <n v="3.2"/>
    <m/>
    <m/>
    <x v="10"/>
    <n v="56"/>
    <n v="35"/>
  </r>
  <r>
    <x v="11"/>
    <n v="2018"/>
    <s v="Usual care (Control Group)"/>
    <x v="0"/>
    <s v="No intervention"/>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66"/>
    <s v="72.2"/>
    <m/>
    <m/>
    <s v="Usual care which included health education or suggestions fromnurses and other professionals at psychiatric clinicsof hospital or at home."/>
    <m/>
    <m/>
    <m/>
    <s v="&quot;For the_x000a_control group, participants received only usual care_x000a_which included health education or suggestions from_x000a_nurses and other professionals at psychiatric clinics_x000a_of hospital or at home. &quot;"/>
    <m/>
    <m/>
    <m/>
    <m/>
    <m/>
    <s v="N/A"/>
    <m/>
    <x v="12"/>
    <x v="17"/>
    <x v="1"/>
    <n v="37.75"/>
    <n v="36"/>
    <n v="3.86"/>
    <n v="39.19"/>
    <n v="36"/>
    <n v="4.5199999999999898"/>
    <m/>
    <m/>
    <x v="10"/>
    <n v="56"/>
    <n v="35"/>
  </r>
  <r>
    <x v="11"/>
    <n v="2018"/>
    <s v="Enhancing positive aspects of caregiving program (EPACP)"/>
    <x v="2"/>
    <s v="Information, education, and training to support carers"/>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11"/>
    <s v="83.3"/>
    <m/>
    <m/>
    <s v="EPACP plus usual care. The program consistedof six groups sessions and one individual session"/>
    <m/>
    <m/>
    <m/>
    <s v="&quot; The_x000a_EPACP was developed based on the Kramer’s twofactor adaptation model4 and designed to increase_x000a_caregiving self-efficacy, spirituality, social support,_x000a_and maintain positive caregiving experiences for_x000a_family caregiver of the person with dementia. Strategies_x000a_used included information provision and skill training;_x000a_exploring spirituality; finding positive events in their_x000a_lives; mindfulness practice; positive reappraisal_x000a_activities; and goal setting practice all conducted through_x000a_group discussions and training. Individual counseling_x000a_was also given. A dementia caregiving booklet, role_x000a_model, and video were also used. The program consisted_x000a_of six groups sessions and one individual session. Three_x000a_groups of 15 family members met once a week, for 2_x000a_hours over 6 weeks. At week 7, the PI offered the_x000a_individual sessions (see details in Table 1).&quot;"/>
    <m/>
    <m/>
    <m/>
    <m/>
    <m/>
    <s v="Intervention for carers"/>
    <m/>
    <x v="11"/>
    <x v="18"/>
    <x v="1"/>
    <n v="79.44"/>
    <n v="36"/>
    <n v="11.19"/>
    <n v="98.91"/>
    <n v="36"/>
    <n v="10.050000000000001"/>
    <m/>
    <m/>
    <x v="8"/>
    <n v="84"/>
    <n v="35"/>
  </r>
  <r>
    <x v="11"/>
    <n v="2018"/>
    <s v="Usual care (Control Group)"/>
    <x v="0"/>
    <s v="No intervention"/>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11"/>
    <s v="83.3"/>
    <m/>
    <m/>
    <s v="EPACP plus usual care. The program consistedof six groups sessions and one individual session"/>
    <m/>
    <m/>
    <m/>
    <s v="&quot; The_x000a_EPACP was developed based on the Kramer’s twofactor adaptation model4 and designed to increase_x000a_caregiving self-efficacy, spirituality, social support,_x000a_and maintain positive caregiving experiences for_x000a_family caregiver of the person with dementia. Strategies_x000a_used included information provision and skill training;_x000a_exploring spirituality; finding positive events in their_x000a_lives; mindfulness practice; positive reappraisal_x000a_activities; and goal setting practice all conducted through_x000a_group discussions and training. Individual counseling_x000a_was also given. A dementia caregiving booklet, role_x000a_model, and video were also used. The program consisted_x000a_of six groups sessions and one individual session. Three_x000a_groups of 15 family members met once a week, for 2_x000a_hours over 6 weeks. At week 7, the PI offered the_x000a_individual sessions (see details in Table 1).&quot;"/>
    <m/>
    <m/>
    <m/>
    <m/>
    <m/>
    <s v="Intervention for carers"/>
    <m/>
    <x v="11"/>
    <x v="18"/>
    <x v="1"/>
    <n v="79.77"/>
    <n v="36"/>
    <n v="11.02"/>
    <n v="99.8"/>
    <n v="36"/>
    <n v="11.25"/>
    <m/>
    <m/>
    <x v="8"/>
    <n v="84"/>
    <n v="35"/>
  </r>
  <r>
    <x v="11"/>
    <n v="2018"/>
    <s v="Enhancing positive aspects of caregiving program (EPACP)"/>
    <x v="2"/>
    <s v="Information, education, and training to support carers"/>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11"/>
    <s v="83.3"/>
    <m/>
    <m/>
    <s v="EPACP plus usual care. The program consistedof six groups sessions and one individual session"/>
    <m/>
    <m/>
    <m/>
    <s v="&quot; The_x000a_EPACP was developed based on the Kramer’s twofactor adaptation model4 and designed to increase_x000a_caregiving self-efficacy, spirituality, social support,_x000a_and maintain positive caregiving experiences for_x000a_family caregiver of the person with dementia. Strategies_x000a_used included information provision and skill training;_x000a_exploring spirituality; finding positive events in their_x000a_lives; mindfulness practice; positive reappraisal_x000a_activities; and goal setting practice all conducted through_x000a_group discussions and training. Individual counseling_x000a_was also given. A dementia caregiving booklet, role_x000a_model, and video were also used. The program consisted_x000a_of six groups sessions and one individual session. Three_x000a_groups of 15 family members met once a week, for 2_x000a_hours over 6 weeks. At week 7, the PI offered the_x000a_individual sessions (see details in Table 1).&quot;"/>
    <m/>
    <m/>
    <m/>
    <m/>
    <m/>
    <s v="Intervention for carers"/>
    <m/>
    <x v="11"/>
    <x v="18"/>
    <x v="1"/>
    <n v="79.44"/>
    <n v="36"/>
    <n v="11.19"/>
    <n v="100.27"/>
    <n v="36"/>
    <n v="9.56"/>
    <m/>
    <m/>
    <x v="9"/>
    <n v="140"/>
    <n v="35"/>
  </r>
  <r>
    <x v="11"/>
    <n v="2018"/>
    <s v="Usual care (Control Group)"/>
    <x v="0"/>
    <s v="No intervention"/>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11"/>
    <s v="83.3"/>
    <m/>
    <m/>
    <s v="EPACP plus usual care. The program consistedof six groups sessions and one individual session"/>
    <m/>
    <m/>
    <m/>
    <s v="&quot; The_x000a_EPACP was developed based on the Kramer’s twofactor adaptation model4 and designed to increase_x000a_caregiving self-efficacy, spirituality, social support,_x000a_and maintain positive caregiving experiences for_x000a_family caregiver of the person with dementia. Strategies_x000a_used included information provision and skill training;_x000a_exploring spirituality; finding positive events in their_x000a_lives; mindfulness practice; positive reappraisal_x000a_activities; and goal setting practice all conducted through_x000a_group discussions and training. Individual counseling_x000a_was also given. A dementia caregiving booklet, role_x000a_model, and video were also used. The program consisted_x000a_of six groups sessions and one individual session. Three_x000a_groups of 15 family members met once a week, for 2_x000a_hours over 6 weeks. At week 7, the PI offered the_x000a_individual sessions (see details in Table 1).&quot;"/>
    <m/>
    <m/>
    <m/>
    <m/>
    <m/>
    <s v="Intervention for carers"/>
    <m/>
    <x v="11"/>
    <x v="18"/>
    <x v="1"/>
    <n v="79.77"/>
    <n v="36"/>
    <n v="11.02"/>
    <n v="98.91"/>
    <n v="36"/>
    <n v="11.23"/>
    <m/>
    <m/>
    <x v="9"/>
    <n v="140"/>
    <n v="35"/>
  </r>
  <r>
    <x v="11"/>
    <n v="2018"/>
    <s v="Enhancing positive aspects of caregiving program (EPACP)"/>
    <x v="2"/>
    <s v="Information, education, and training to support carers"/>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11"/>
    <s v="83.3"/>
    <m/>
    <m/>
    <s v="EPACP plus usual care. The program consistedof six groups sessions and one individual session"/>
    <m/>
    <m/>
    <m/>
    <s v="&quot; The_x000a_EPACP was developed based on the Kramer’s twofactor adaptation model4 and designed to increase_x000a_caregiving self-efficacy, spirituality, social support,_x000a_and maintain positive caregiving experiences for_x000a_family caregiver of the person with dementia. Strategies_x000a_used included information provision and skill training;_x000a_exploring spirituality; finding positive events in their_x000a_lives; mindfulness practice; positive reappraisal_x000a_activities; and goal setting practice all conducted through_x000a_group discussions and training. Individual counseling_x000a_was also given. A dementia caregiving booklet, role_x000a_model, and video were also used. The program consisted_x000a_of six groups sessions and one individual session. Three_x000a_groups of 15 family members met once a week, for 2_x000a_hours over 6 weeks. At week 7, the PI offered the_x000a_individual sessions (see details in Table 1).&quot;"/>
    <m/>
    <m/>
    <m/>
    <m/>
    <m/>
    <s v="Intervention for carers"/>
    <m/>
    <x v="11"/>
    <x v="18"/>
    <x v="1"/>
    <n v="79.44"/>
    <n v="36"/>
    <n v="11.19"/>
    <n v="98.61"/>
    <n v="36"/>
    <n v="10.8"/>
    <m/>
    <m/>
    <x v="10"/>
    <n v="56"/>
    <n v="35"/>
  </r>
  <r>
    <x v="11"/>
    <n v="2018"/>
    <s v="Usual care (Control Group)"/>
    <x v="0"/>
    <s v="No intervention"/>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11"/>
    <s v="83.3"/>
    <m/>
    <m/>
    <s v="EPACP plus usual care. The program consistedof six groups sessions and one individual session"/>
    <m/>
    <m/>
    <m/>
    <s v="&quot; The_x000a_EPACP was developed based on the Kramer’s twofactor adaptation model4 and designed to increase_x000a_caregiving self-efficacy, spirituality, social support,_x000a_and maintain positive caregiving experiences for_x000a_family caregiver of the person with dementia. Strategies_x000a_used included information provision and skill training;_x000a_exploring spirituality; finding positive events in their_x000a_lives; mindfulness practice; positive reappraisal_x000a_activities; and goal setting practice all conducted through_x000a_group discussions and training. Individual counseling_x000a_was also given. A dementia caregiving booklet, role_x000a_model, and video were also used. The program consisted_x000a_of six groups sessions and one individual session. Three_x000a_groups of 15 family members met once a week, for 2_x000a_hours over 6 weeks. At week 7, the PI offered the_x000a_individual sessions (see details in Table 1).&quot;"/>
    <m/>
    <m/>
    <m/>
    <m/>
    <m/>
    <s v="Intervention for carers"/>
    <m/>
    <x v="11"/>
    <x v="18"/>
    <x v="1"/>
    <n v="79.77"/>
    <n v="36"/>
    <n v="11.02"/>
    <n v="100.11"/>
    <n v="36"/>
    <n v="10.49"/>
    <m/>
    <m/>
    <x v="10"/>
    <n v="56"/>
    <n v="35"/>
  </r>
  <r>
    <x v="12"/>
    <n v="2010"/>
    <s v="Control"/>
    <x v="0"/>
    <s v="No intervention"/>
    <s v="Iran"/>
    <s v="Modares Psychiatric Hospital and Shariati Psychiatric clinic in the city of Isfahan, which are the centers for elderly with dementia"/>
    <s v="Dementia (general/unspecified)"/>
    <s v="Dementia"/>
    <s v="Not specified"/>
    <s v="Yes"/>
    <s v="Some concerns"/>
    <s v="high risk"/>
    <s v="high risk"/>
    <s v="high risk"/>
    <s v="some concerns"/>
    <s v="high risk"/>
    <s v="Illiterate: 16%; Primary school: 68%; Guidance school: 8%; High school diploma: 8%; Higher education: 0%"/>
    <s v="56"/>
    <s v="46.56"/>
    <s v="68"/>
    <m/>
    <m/>
    <s v="Control"/>
    <m/>
    <m/>
    <m/>
    <s v="No details"/>
    <m/>
    <m/>
    <m/>
    <m/>
    <m/>
    <s v="N/A"/>
    <m/>
    <x v="0"/>
    <x v="0"/>
    <x v="1"/>
    <n v="43.28"/>
    <n v="25"/>
    <n v="13.08"/>
    <n v="64.5"/>
    <n v="25"/>
    <n v="25.13"/>
    <m/>
    <m/>
    <x v="11"/>
    <n v="65"/>
    <n v="35"/>
  </r>
  <r>
    <x v="12"/>
    <n v="2010"/>
    <s v="Family education program"/>
    <x v="2"/>
    <s v="Information, education, and training to support carers"/>
    <s v="Iran"/>
    <s v="Modares Psychiatric Hospital and Shariati Psychiatric clinic in the city of Isfahan, which are the centers for elderly with dementia"/>
    <s v="Dementia (general/unspecified)"/>
    <s v="Dementia"/>
    <s v="Not specified"/>
    <s v="Yes"/>
    <s v="Some concerns"/>
    <s v="high risk"/>
    <s v="high risk"/>
    <s v="high risk"/>
    <s v="some concerns"/>
    <s v="high risk"/>
    <s v="Illiterate: 48%; Primary school: 32%; Guidance school: 4%; High school diploma: 16%; Higher education: 0%"/>
    <s v="44"/>
    <s v="42.88"/>
    <s v="84"/>
    <m/>
    <m/>
    <s v="Family education programme for caregivers; 5 weekly group sessions for 90 minutes each, plus recordings on CD"/>
    <m/>
    <m/>
    <m/>
    <s v="&quot;Caregivers of the case group attended family educational program after signing a consent form. Patients and controls were not present in this program. The content of the program was based on an educational pamphlet prepared and edited by the researchers through reading books and articles. The content was approved by 10 psychiatrists, neurologist and faculty members of the School of Nursing and Midwifery of Isfahan University of Medical Sciences. This program included 5 weekly sessions22 using lecturing, group discussions (10-15 members in groups), and question and answer as table 1 presents. The duration of each session was 90 minutes23 and the place was Noor Hospital in Isfahan. This program was conducted under the supervision of the first researcher who has several years of experience as a university lecturer and patients and their families’ educator and also has a master degree in psychiatry. Meanwhile, CDs of all the sessions were provided to caregivers of the case group.&quot;"/>
    <m/>
    <m/>
    <m/>
    <m/>
    <m/>
    <s v="Intervention for caregivers"/>
    <m/>
    <x v="0"/>
    <x v="0"/>
    <x v="1"/>
    <n v="42"/>
    <n v="25"/>
    <n v="65.17"/>
    <n v="56.33"/>
    <n v="25"/>
    <n v="54.14"/>
    <m/>
    <m/>
    <x v="11"/>
    <n v="65"/>
    <n v="35"/>
  </r>
  <r>
    <x v="12"/>
    <n v="2010"/>
    <s v="Control"/>
    <x v="0"/>
    <s v="No intervention"/>
    <s v="Iran"/>
    <s v="Modares Psychiatric Hospital and Shariati Psychiatric clinic in the city of Isfahan, which are the centers for elderly with dementia"/>
    <s v="Dementia (general/unspecified)"/>
    <s v="Dementia"/>
    <s v="Not specified"/>
    <s v="Yes"/>
    <s v="Some concerns"/>
    <s v="high risk"/>
    <s v="high risk"/>
    <s v="high risk"/>
    <s v="some concerns"/>
    <s v="high risk"/>
    <s v="Illiterate: 16%; Primary school: 68%; Guidance school: 8%; High school diploma: 8%; Higher education: 0%"/>
    <s v="56"/>
    <s v="46.56"/>
    <s v="68"/>
    <m/>
    <m/>
    <s v="Control"/>
    <m/>
    <m/>
    <m/>
    <s v="No details"/>
    <m/>
    <m/>
    <m/>
    <m/>
    <m/>
    <s v="N/A"/>
    <m/>
    <x v="0"/>
    <x v="0"/>
    <x v="1"/>
    <n v="43.28"/>
    <n v="25"/>
    <n v="13.08"/>
    <n v="46.8"/>
    <n v="25"/>
    <n v="3.13"/>
    <m/>
    <m/>
    <x v="12"/>
    <n v="35"/>
    <n v="35"/>
  </r>
  <r>
    <x v="12"/>
    <n v="2010"/>
    <s v="Family education program"/>
    <x v="2"/>
    <s v="Information, education, and training to support carers"/>
    <s v="Iran"/>
    <s v="Modares Psychiatric Hospital and Shariati Psychiatric clinic in the city of Isfahan, which are the centers for elderly with dementia"/>
    <s v="Dementia (general/unspecified)"/>
    <s v="Dementia"/>
    <s v="Not specified"/>
    <s v="Yes"/>
    <s v="Some concerns"/>
    <s v="high risk"/>
    <s v="high risk"/>
    <s v="high risk"/>
    <s v="some concerns"/>
    <s v="high risk"/>
    <s v="Illiterate: 48%; Primary school: 32%; Guidance school: 4%; High school diploma: 16%; Higher education: 0%"/>
    <s v="44"/>
    <s v="42.88"/>
    <s v="84"/>
    <m/>
    <m/>
    <s v="Family education programme for caregivers; 5 weekly group sessions for 90 minutes each, plus recordings on CD"/>
    <m/>
    <m/>
    <m/>
    <s v="&quot;Caregivers of the case group attended family educational program after signing a consent form. Patients and controls were not present in this program. The content of the program was based on an educational pamphlet prepared and edited by the researchers through reading books and articles. The content was approved by 10 psychiatrists, neurologist and faculty members of the School of Nursing and Midwifery of Isfahan University of Medical Sciences. This program included 5 weekly sessions22 using lecturing, group discussions (10-15 members in groups), and question and answer as table 1 presents. The duration of each session was 90 minutes23 and the place was Noor Hospital in Isfahan. This program was conducted under the supervision of the first researcher who has several years of experience as a university lecturer and patients and their families’ educator and also has a master degree in psychiatry. Meanwhile, CDs of all the sessions were provided to caregivers of the case group.&quot;"/>
    <m/>
    <m/>
    <m/>
    <m/>
    <m/>
    <s v="Intervention for caregivers"/>
    <m/>
    <x v="0"/>
    <x v="0"/>
    <x v="1"/>
    <n v="42"/>
    <n v="25"/>
    <n v="65.17"/>
    <n v="44.35"/>
    <n v="25"/>
    <n v="65.150000000000006"/>
    <m/>
    <m/>
    <x v="12"/>
    <n v="35"/>
    <n v="35"/>
  </r>
  <r>
    <x v="13"/>
    <n v="2019"/>
    <s v="Intervention group"/>
    <x v="2"/>
    <s v="Information, education, and training to support carers"/>
    <s v="China"/>
    <s v="Family caregivers were recruited via resident and staff referrals from community health centers and neurological units of a tertiary hospital of a city in southeast China."/>
    <s v="Moderate to Severe dementia (MMSE ≤17)"/>
    <s v="Dementia"/>
    <s v="Any severity stage"/>
    <s v="Yes"/>
    <s v="low risk"/>
    <s v="some concerns"/>
    <s v="some concerns"/>
    <s v="some concerns"/>
    <s v="some concerns"/>
    <s v="some concerns"/>
    <m/>
    <n v="0.71430000000000005"/>
    <s v="63.27 ± 11.22"/>
    <n v="0.55359999999999998"/>
    <m/>
    <m/>
    <s v="This NLCBI comprised five monthly 60-minute individual sessions conducted at caregivers’ homes at the beginning of each month by appointment, with a 20- to 30-minute consultation call in the middle of the month. Duration of the intervention and follow up was determined based on the time of an interventional effect and retention of respondents. Five RNs were trained on the intervention protocol and psychosocial communication techniques. Although nurses were instructed to follow the protocol, minimal flexibility was allowed to adapt to individual caregivers. A discussion group in an E-chat room using WeChat software was set up for communication among nurse interventionists to ensure consistency in the intervention. At the initial session, caregivers agreed to make up a session within a few days after a missed appointment."/>
    <m/>
    <m/>
    <s v="Intervention for caregivers"/>
    <m/>
    <m/>
    <m/>
    <m/>
    <m/>
    <m/>
    <m/>
    <m/>
    <x v="5"/>
    <x v="19"/>
    <x v="1"/>
    <n v="13.93"/>
    <n v="56"/>
    <n v="3.45"/>
    <n v="10.19"/>
    <n v="47"/>
    <n v="2.78"/>
    <m/>
    <m/>
    <x v="13"/>
    <n v="210"/>
    <n v="150"/>
  </r>
  <r>
    <x v="13"/>
    <n v="2019"/>
    <s v="Control group"/>
    <x v="0"/>
    <s v="No intervention"/>
    <s v="China"/>
    <s v="Family caregivers were recruited via resident and staff referrals from community health centers and neurological units of a tertiary hospital of a city in southeast China."/>
    <s v="Moderate to Severe dementia (MMSE ≤17)"/>
    <s v="Dementia"/>
    <s v="Any severity stage"/>
    <s v="Yes"/>
    <s v="low risk"/>
    <s v="some concerns"/>
    <s v="some concerns"/>
    <s v="some concerns"/>
    <s v="some concerns"/>
    <s v="some concerns"/>
    <m/>
    <n v="0.63390000000000002"/>
    <s v="62.09 ± 10.56"/>
    <n v="0.69640000000000002"/>
    <m/>
    <m/>
    <s v="Caregivers in the control group were provided with five monthly, short (5 to 10 minutes), general conversations with a nurse interventionist at the beginning of each month either at caregivers’ homes, at the hospital, or via telephone as convenient. No in-depth instructions were given; conversations were casual chats on caregivers’ daily lives and health."/>
    <m/>
    <m/>
    <s v="Intervention for caregivers"/>
    <m/>
    <m/>
    <m/>
    <m/>
    <m/>
    <m/>
    <m/>
    <m/>
    <x v="5"/>
    <x v="19"/>
    <x v="1"/>
    <n v="13.21"/>
    <n v="56"/>
    <n v="3.11"/>
    <n v="12.21"/>
    <n v="35"/>
    <n v="3.56"/>
    <m/>
    <m/>
    <x v="13"/>
    <n v="210"/>
    <n v="150"/>
  </r>
  <r>
    <x v="13"/>
    <n v="2019"/>
    <s v="Intervention group"/>
    <x v="2"/>
    <s v="Information, education, and training to support carers"/>
    <s v="China"/>
    <s v="Family caregivers were recruited via resident and staff referrals from community health centers and neurological units of a tertiary hospital of a city in southeast China."/>
    <s v="Moderate to Severe dementia (MMSE ≤17)"/>
    <s v="Dementia"/>
    <s v="Any severity stage"/>
    <s v="Yes"/>
    <s v="low risk"/>
    <s v="some concerns"/>
    <s v="some concerns"/>
    <s v="some concerns"/>
    <s v="some concerns"/>
    <s v="some concerns"/>
    <m/>
    <n v="0.71430000000000005"/>
    <s v="63.27 ± 11.22"/>
    <n v="0.55359999999999998"/>
    <m/>
    <m/>
    <s v="This NLCBI comprised five monthly 60-minute individual sessions conducted at caregivers’ homes at the beginning of each month by appointment, with a 20- to 30-minute consultation call in the middle of the month. Duration of the intervention and follow up was determined based on the time of an interventional effect and retention of respondents. Five RNs were trained on the intervention protocol and psychosocial communication techniques. Although nurses were instructed to follow the protocol, minimal flexibility was allowed to adapt to individual caregivers. A discussion group in an E-chat room using WeChat software was set up for communication among nurse interventionists to ensure consistency in the intervention. At the initial session, caregivers agreed to make up a session within a few days after a missed appointment."/>
    <m/>
    <m/>
    <s v="Intervention for caregivers"/>
    <m/>
    <m/>
    <m/>
    <m/>
    <m/>
    <m/>
    <m/>
    <m/>
    <x v="5"/>
    <x v="19"/>
    <x v="1"/>
    <n v="13.93"/>
    <n v="56"/>
    <n v="3.45"/>
    <n v="9.4"/>
    <n v="54"/>
    <n v="3.39"/>
    <m/>
    <m/>
    <x v="14"/>
    <n v="150"/>
    <n v="150"/>
  </r>
  <r>
    <x v="13"/>
    <n v="2019"/>
    <s v="Control group"/>
    <x v="0"/>
    <s v="No intervention"/>
    <s v="China"/>
    <s v="Family caregivers were recruited via resident and staff referrals from community health centers and neurological units of a tertiary hospital of a city in southeast China."/>
    <s v="Moderate to Severe dementia (MMSE ≤17)"/>
    <s v="Dementia"/>
    <s v="Any severity stage"/>
    <s v="Yes"/>
    <s v="low risk"/>
    <s v="some concerns"/>
    <s v="some concerns"/>
    <s v="some concerns"/>
    <s v="some concerns"/>
    <s v="some concerns"/>
    <m/>
    <n v="0.63390000000000002"/>
    <s v="62.09 ± 10.56"/>
    <n v="0.69640000000000002"/>
    <m/>
    <m/>
    <s v="Caregivers in the control group were provided with five monthly, short (5 to 10 minutes), general conversations with a nurse interventionist at the beginning of each month either at caregivers’ homes, at the hospital, or via telephone as convenient. No in-depth instructions were given; conversations were casual chats on caregivers’ daily lives and health."/>
    <m/>
    <m/>
    <s v="Intervention for caregivers"/>
    <m/>
    <m/>
    <m/>
    <m/>
    <m/>
    <m/>
    <m/>
    <m/>
    <x v="5"/>
    <x v="19"/>
    <x v="1"/>
    <n v="13.21"/>
    <n v="56"/>
    <n v="3.11"/>
    <n v="11.96"/>
    <n v="45"/>
    <n v="3.4"/>
    <m/>
    <m/>
    <x v="14"/>
    <n v="150"/>
    <n v="150"/>
  </r>
  <r>
    <x v="14"/>
    <n v="2017"/>
    <s v="Control"/>
    <x v="0"/>
    <s v="No intervention"/>
    <s v="Iran"/>
    <s v="City of Rafsanjan (Iran). Participants (family caregivers) were recruited from private neurologists' offices."/>
    <s v="Alzheimer's Disease"/>
    <s v="Dementia"/>
    <s v="Not specified"/>
    <s v="Yes"/>
    <s v="Some concerns"/>
    <s v="high risk"/>
    <s v="high risk"/>
    <s v="high risk"/>
    <s v="some concerns"/>
    <s v="high risk"/>
    <m/>
    <m/>
    <s v="50.57"/>
    <s v="89.3"/>
    <s v="Housewife: 78.6%; Other: 21.4%"/>
    <m/>
    <s v="Control"/>
    <m/>
    <m/>
    <m/>
    <s v="&quot;Patients in the control group received no education about spirituality.&quot;"/>
    <m/>
    <m/>
    <m/>
    <m/>
    <m/>
    <s v="N/A"/>
    <m/>
    <x v="13"/>
    <x v="20"/>
    <x v="1"/>
    <n v="28.39"/>
    <n v="28"/>
    <n v="6.41"/>
    <n v="27.85"/>
    <n v="28"/>
    <n v="5.98"/>
    <m/>
    <m/>
    <x v="15"/>
    <n v="56"/>
    <n v="35"/>
  </r>
  <r>
    <x v="14"/>
    <n v="2017"/>
    <s v="Spiritual care education (intervention)"/>
    <x v="2"/>
    <s v="Information, education, and training to support carers"/>
    <s v="Iran"/>
    <s v="City of Rafsanjan (Iran). Participants (family caregivers) were recruited from private neurologists' offices."/>
    <s v="Alzheimer's Disease"/>
    <s v="Dementia"/>
    <s v="Not specified"/>
    <s v="Yes"/>
    <s v="Some concerns"/>
    <s v="high risk"/>
    <s v="high risk"/>
    <s v="high risk"/>
    <s v="some concerns"/>
    <s v="high risk"/>
    <m/>
    <m/>
    <s v="47.38"/>
    <s v="80.8"/>
    <s v="Housewife: 61.5%; Other: 38.5%"/>
    <m/>
    <s v="Spiritual care education sessions, 1x per week for 5 weeks"/>
    <m/>
    <m/>
    <m/>
    <s v="&quot;The  intervention  included  five  SC educational  sessions  held  weekly  for  five consecutive weeks. The length of each session ranged from 45 to 60 minutes. All sessions wereheld by the first author. The educational package had already been developed by Reyhani et al.32It includes topics such as reliance on God, seekinghelp from holy people, patience, generosity, altruism, mantra, and prayer. This package has been approved by clergies and university instructors. In sessions one to five, we explained  the roles of reliance on God, seeking help from holy people, patience,generosity, and mantra and prayer in maintaining or regaining the inner peace.&quot;"/>
    <m/>
    <m/>
    <m/>
    <m/>
    <m/>
    <s v="Intervention for carers"/>
    <m/>
    <x v="13"/>
    <x v="20"/>
    <x v="1"/>
    <n v="29.8"/>
    <n v="26"/>
    <n v="4.8"/>
    <n v="32.729999999999897"/>
    <n v="26"/>
    <n v="4.75"/>
    <m/>
    <m/>
    <x v="15"/>
    <n v="56"/>
    <n v="35"/>
  </r>
  <r>
    <x v="15"/>
    <n v="2017"/>
    <s v="Control (No intervention)"/>
    <x v="0"/>
    <s v="No intervention"/>
    <s v="Egypt"/>
    <s v="Psychogeriatric out‑patient clinic of Al‑Maamoura Psychiatric Hospital. Alexandria (urban setting)"/>
    <s v="Dementia (general/unspecified)"/>
    <s v="Dementia"/>
    <s v="Not specified"/>
    <s v="Yes"/>
    <s v="low risk"/>
    <s v="high risk"/>
    <s v="high risk"/>
    <s v="high risk"/>
    <s v="some concerns"/>
    <s v="high risk"/>
    <m/>
    <m/>
    <s v="47.97"/>
    <s v="69.5"/>
    <m/>
    <m/>
    <s v="No intervention"/>
    <m/>
    <m/>
    <m/>
    <s v="No intervention"/>
    <m/>
    <m/>
    <m/>
    <m/>
    <m/>
    <s v="N/A"/>
    <m/>
    <x v="0"/>
    <x v="0"/>
    <x v="1"/>
    <n v="50"/>
    <n v="59"/>
    <n v="12.6"/>
    <n v="0.74"/>
    <n v="59"/>
    <n v="0.84"/>
    <m/>
    <m/>
    <x v="16"/>
    <n v="146"/>
    <n v="56"/>
  </r>
  <r>
    <x v="15"/>
    <n v="2017"/>
    <s v="Group psychosocial intervention programme"/>
    <x v="2"/>
    <s v="Group support and therapy"/>
    <s v="Egypt"/>
    <s v="Psychogeriatric out‑patient clinic of Al‑Maamoura Psychiatric Hospital. Alexandria (urban setting)"/>
    <s v="Dementia (general/unspecified)"/>
    <s v="Dementia"/>
    <s v="Not specified"/>
    <s v="Yes"/>
    <s v="low risk"/>
    <s v="high risk"/>
    <s v="high risk"/>
    <s v="high risk"/>
    <s v="some concerns"/>
    <s v="high risk"/>
    <m/>
    <m/>
    <s v="49.35"/>
    <s v="61.8"/>
    <m/>
    <m/>
    <s v="8 week multi-component group psychosocial programme"/>
    <m/>
    <m/>
    <m/>
    <s v="8 week multi-component group psychosocial programme. &quot;Short‑term goalsincluded (1) improving caregivers’ knowledge aboutdementia, (2) helping caregivers to identify differentproblematic behaviors of care recipients and differentstrategies to handle such behaviors, and (3) providingsocial support for caregivers. Long‑term goals incorporated(1) acquiring the skills of handling problematic behaviors ofcare recipients, (2) enhancing caregivers’ skills and strategiesfor managing the burden of care, and (3) improvingcaregivers’ emotional status through acquiring skills ofcoping and stress management.  The program included three components: grouppsychoeducation (two sessions), brief group CBT(six sessions), and group support sessions that wereheld throughout the program covering topics similar topsychoeducation/CBT topics as illustrated in Table 1. Eachsession took 45–60 min. Training was conducted througha collaborative approach using illustrations, vignettes, roleplaying, brainstorming, group discussion, and audio‑visualaids. Different methods were used to achieve differentobjectives of the program. An intervention protocol withall details covering the above‑mentioned sessions wasprepared based on caregivers’ needs reported by them inthe early assessment phase, and on reviewing literaturefor other programs directed to caregivers’ of people withNCDs, worldwide. Culturally sensitive sessions weredesigned taking into consideration the characteristics ofparticipants. The program was implemented by the principalinvestigator (second author).&quot;"/>
    <m/>
    <m/>
    <m/>
    <m/>
    <m/>
    <s v="Intervention for carers"/>
    <m/>
    <x v="0"/>
    <x v="0"/>
    <x v="1"/>
    <n v="52.1"/>
    <n v="55"/>
    <n v="15.1"/>
    <n v="-17.399999999999999"/>
    <n v="55"/>
    <n v="8.3800000000000008"/>
    <m/>
    <m/>
    <x v="16"/>
    <n v="146"/>
    <n v="56"/>
  </r>
  <r>
    <x v="15"/>
    <n v="2017"/>
    <s v="Control (No intervention)"/>
    <x v="0"/>
    <s v="No intervention"/>
    <s v="Egypt"/>
    <s v="Psychogeriatric out‑patient clinic of Al‑Maamoura Psychiatric Hospital. Alexandria (urban setting)"/>
    <s v="Dementia (general/unspecified)"/>
    <s v="Dementia"/>
    <s v="Not specified"/>
    <s v="Yes"/>
    <s v="low risk"/>
    <s v="high risk"/>
    <s v="high risk"/>
    <s v="high risk"/>
    <s v="some concerns"/>
    <s v="high risk"/>
    <m/>
    <m/>
    <s v="47.97"/>
    <s v="69.5"/>
    <m/>
    <m/>
    <s v="No intervention"/>
    <m/>
    <m/>
    <m/>
    <s v="No intervention"/>
    <m/>
    <m/>
    <m/>
    <m/>
    <m/>
    <s v="N/A"/>
    <m/>
    <x v="0"/>
    <x v="0"/>
    <x v="1"/>
    <n v="50"/>
    <n v="59"/>
    <n v="12.6"/>
    <n v="0.15"/>
    <n v="59"/>
    <n v="0.4"/>
    <m/>
    <m/>
    <x v="17"/>
    <n v="56"/>
    <n v="56"/>
  </r>
  <r>
    <x v="15"/>
    <n v="2017"/>
    <s v="Group psychosocial intervention programme"/>
    <x v="2"/>
    <s v="Group support and therapy"/>
    <s v="Egypt"/>
    <s v="Psychogeriatric out‑patient clinic of Al‑Maamoura Psychiatric Hospital. Alexandria (urban setting)"/>
    <s v="Dementia (general/unspecified)"/>
    <s v="Dementia"/>
    <s v="Not specified"/>
    <s v="Yes"/>
    <s v="low risk"/>
    <s v="high risk"/>
    <s v="high risk"/>
    <s v="high risk"/>
    <s v="some concerns"/>
    <s v="high risk"/>
    <m/>
    <m/>
    <s v="49.35"/>
    <s v="61.8"/>
    <m/>
    <m/>
    <s v="8 week multi-component group psychosocial programme"/>
    <m/>
    <m/>
    <m/>
    <s v="8 week multi-component group psychosocial programme. &quot;Short‑term goalsincluded (1) improving caregivers’ knowledge aboutdementia, (2) helping caregivers to identify differentproblematic behaviors of care recipients and differentstrategies to handle such behaviors, and (3) providingsocial support for caregivers. Long‑term goals incorporated(1) acquiring the skills of handling problematic behaviors ofcare recipients, (2) enhancing caregivers’ skills and strategiesfor managing the burden of care, and (3) improvingcaregivers’ emotional status through acquiring skills ofcoping and stress management.  The program included three components: grouppsychoeducation (two sessions), brief group CBT(six sessions), and group support sessions that wereheld throughout the program covering topics similar topsychoeducation/CBT topics as illustrated in Table 1. Eachsession took 45–60 min. Training was conducted througha collaborative approach using illustrations, vignettes, roleplaying, brainstorming, group discussion, and audio‑visualaids. Different methods were used to achieve differentobjectives of the program. An intervention protocol withall details covering the above‑mentioned sessions wasprepared based on caregivers’ needs reported by them inthe early assessment phase, and on reviewing literaturefor other programs directed to caregivers’ of people withNCDs, worldwide. Culturally sensitive sessions weredesigned taking into consideration the characteristics ofparticipants. The program was implemented by the principalinvestigator (second author).&quot;"/>
    <m/>
    <m/>
    <m/>
    <m/>
    <m/>
    <s v="Intervention for carers"/>
    <m/>
    <x v="0"/>
    <x v="0"/>
    <x v="1"/>
    <n v="52.1"/>
    <n v="55"/>
    <n v="15.1"/>
    <n v="-17.36"/>
    <n v="55"/>
    <n v="8.34"/>
    <m/>
    <m/>
    <x v="17"/>
    <n v="56"/>
    <n v="56"/>
  </r>
  <r>
    <x v="16"/>
    <n v="2016"/>
    <s v="Progressively Lowered Stress Threshold-based intervention"/>
    <x v="2"/>
    <s v="Information, education, and training to support carers"/>
    <s v="Turkey"/>
    <s v="Western Turkey, home based. Patient lists were obtained from dementia outpatient clinics at one university hospital and the office of the Alzheimer’s Association in Izmir. "/>
    <s v="Alzheimer's Disease"/>
    <s v="Dementia"/>
    <s v="Mild"/>
    <s v="Yes"/>
    <s v="Some concerns"/>
    <s v="some concerns"/>
    <s v="some concerns"/>
    <s v="high risk"/>
    <s v="some concerns"/>
    <s v="high risk"/>
    <s v="Primary school: 69%; High school: 14%; University: 17%"/>
    <s v="63"/>
    <s v="61.2"/>
    <s v="74"/>
    <m/>
    <m/>
    <s v="Progressively Lowered Stress Threshold-based intervention for 3 months"/>
    <m/>
    <m/>
    <m/>
    <s v="&quot;The PLST model (Hall &amp; Buckwalter, 1987) provides the foundation for a psychoeduca-tional intervention that assists formal and informal caregivers in understanding behaviors and plan-ning care for individuals with de-mentia. It has been tested widely since 1988. The model can be eas-ily understood by professional and non-professional caregivers and allows for flexible modification of the care plan based on individuals’ changing needs. The PLST model is a conceptual framework that organizes symp-toms, suggests causes of challenging behaviors, and teaches caregivers methods of modifying the envi-ronment to eliminate or minimize behavioral symptoms. The rea-sons for, or triggers of, symptoms can usually be modified in any setting, resulting in a decrease in behaviors distressing to caregiv-ers and individuals with dementia. The PLST model should empower caregivers by helping them pre-vent and manage the most difficult behaviors in Alzheimer’s disease. _x000a_ [...] Interventions were conduct-ed at patients’ homes in their usual environment. Individuals with de-mentia and their caregivers in the experimental group were seen four times in a 6-month period. Each session lasted at least 1 hour. The intervention phase lasted 3 months. [...] The first home visit focused on understanding the behaviors of the individuals with dementia, how caregivers coped with these behav-iors, and difficulties experienced by caregivers. After 2 weeks, during the second home visit for caregivers in the experimental group, the PLST-based intervention was pro-vided and demonstrated. At the third home visit 2 months later, the care plan was reviewed, more techniques were taught, and writ-ten materials summarizing the care plan were provided. After the third home visit, follow-up telephone calls were made every 2 weeks. Ex-perimental group members also re-ceived a caregiver booklet prepared by the authors that contained a variety of educational and support materials, such as general informa-tion about the disease, common problems (e.g., sleep disturbances), how to administer medications, bathing, toileting, physical activi-ties, nutrition, and communication, as well as recommended reading for family members caring for individ-uals with dementia.&quot; "/>
    <m/>
    <m/>
    <m/>
    <m/>
    <m/>
    <s v="Non-pharmacological intervention"/>
    <m/>
    <x v="0"/>
    <x v="13"/>
    <x v="1"/>
    <n v="38.020000000000003"/>
    <n v="35"/>
    <n v="21.49"/>
    <n v="34.71"/>
    <n v="35"/>
    <n v="18.82"/>
    <m/>
    <m/>
    <x v="18"/>
    <n v="180"/>
    <n v="90"/>
  </r>
  <r>
    <x v="16"/>
    <n v="2016"/>
    <s v="Routine care (control)"/>
    <x v="0"/>
    <s v="No intervention"/>
    <s v="Turkey"/>
    <s v="Western Turkey, home based. Patient lists were obtained from dementia outpatient clinics at one university hospital and the office of the Alzheimer’s Association in Izmir. "/>
    <s v="Alzheimer's Disease"/>
    <s v="Dementia"/>
    <s v="Mild"/>
    <s v="Yes"/>
    <s v="Some concerns"/>
    <s v="some concerns"/>
    <s v="some concerns"/>
    <s v="high risk"/>
    <s v="some concerns"/>
    <s v="high risk"/>
    <s v="Primary school: 49%; High school: 34%; University: 17%"/>
    <s v="54"/>
    <s v="62.28"/>
    <s v="71"/>
    <m/>
    <m/>
    <s v="Routine care"/>
    <m/>
    <m/>
    <m/>
    <s v="&quot;Comparison group members received routine care. In the routine care program, following diagnosis, caregivers were informed about the disease by physicians and given leaflets. When caregivers came to the outpatient visit with the pa-tients, they had an opportunity to ask physicians questions. Fre-quency of outpatient visits varied between every 6 months and once per year. Participants in the com-parison group were seen four times in a 6-month period at their home. Each session lasted approximately 1 hour. The first home visit fo-cused on a review of the study aims and protocols, obtaining informed consent, and data collection. After 2 weeks, during the second home visit for caregivers in the compari-son group, general information about care of individuals with de-mentia was presented and updated leaflets were provided. At the third home visit 2 months later, data were collected. At the last home visit 3 months later, data were again collected. After the study was completed, participants in the comparison group were provided with the experimental group pro-tocols.&quot;"/>
    <m/>
    <m/>
    <m/>
    <m/>
    <m/>
    <s v="N/A"/>
    <m/>
    <x v="0"/>
    <x v="13"/>
    <x v="1"/>
    <n v="31.19"/>
    <n v="35"/>
    <n v="16.54"/>
    <n v="35.659999999999897"/>
    <n v="35"/>
    <n v="17.07"/>
    <m/>
    <m/>
    <x v="18"/>
    <n v="180"/>
    <n v="90"/>
  </r>
  <r>
    <x v="16"/>
    <n v="2016"/>
    <s v="Progressively Lowered Stress Threshold-based intervention"/>
    <x v="2"/>
    <s v="Information, education, and training to support carers"/>
    <s v="Turkey"/>
    <s v="Western Turkey, home based. Patient lists were obtained from dementia outpatient clinics at one university hospital and the office of the Alzheimer’s Association in Izmir. "/>
    <s v="Alzheimer's Disease"/>
    <s v="Dementia"/>
    <s v="Mild"/>
    <s v="Yes"/>
    <s v="Some concerns"/>
    <s v="some concerns"/>
    <s v="some concerns"/>
    <s v="high risk"/>
    <s v="some concerns"/>
    <s v="high risk"/>
    <s v="Primary school: 69%; High school: 14%; University: 17%"/>
    <s v="63"/>
    <s v="61.2"/>
    <s v="74"/>
    <m/>
    <m/>
    <s v="Progressively Lowered Stress Threshold-based intervention for 3 months"/>
    <m/>
    <m/>
    <m/>
    <s v="&quot;The PLST model (Hall &amp; Buckwalter, 1987) provides the foundation for a psychoeduca-tional intervention that assists formal and informal caregivers in understanding behaviors and plan-ning care for individuals with de-mentia. It has been tested widely since 1988. The model can be eas-ily understood by professional and non-professional caregivers and allows for flexible modification of the care plan based on individuals’ changing needs. The PLST model is a conceptual framework that organizes symp-toms, suggests causes of challenging behaviors, and teaches caregivers methods of modifying the envi-ronment to eliminate or minimize behavioral symptoms. The rea-sons for, or triggers of, symptoms can usually be modified in any setting, resulting in a decrease in behaviors distressing to caregiv-ers and individuals with dementia. The PLST model should empower caregivers by helping them pre-vent and manage the most difficult behaviors in Alzheimer’s disease. _x000a_ [...] Interventions were conduct-ed at patients’ homes in their usual environment. Individuals with de-mentia and their caregivers in the experimental group were seen four times in a 6-month period. Each session lasted at least 1 hour. The intervention phase lasted 3 months. [...] The first home visit focused on understanding the behaviors of the individuals with dementia, how caregivers coped with these behav-iors, and difficulties experienced by caregivers. After 2 weeks, during the second home visit for caregivers in the experimental group, the PLST-based intervention was pro-vided and demonstrated. At the third home visit 2 months later, the care plan was reviewed, more techniques were taught, and writ-ten materials summarizing the care plan were provided. After the third home visit, follow-up telephone calls were made every 2 weeks. Ex-perimental group members also re-ceived a caregiver booklet prepared by the authors that contained a variety of educational and support materials, such as general informa-tion about the disease, common problems (e.g., sleep disturbances), how to administer medications, bathing, toileting, physical activi-ties, nutrition, and communication, as well as recommended reading for family members caring for individ-uals with dementia.&quot; "/>
    <m/>
    <m/>
    <m/>
    <m/>
    <m/>
    <s v="Non-pharmacological intervention"/>
    <m/>
    <x v="11"/>
    <x v="6"/>
    <x v="1"/>
    <n v="86"/>
    <n v="35"/>
    <n v="9.15"/>
    <n v="88.51"/>
    <n v="35"/>
    <n v="8.2799999999999905"/>
    <m/>
    <m/>
    <x v="18"/>
    <n v="180"/>
    <n v="90"/>
  </r>
  <r>
    <x v="16"/>
    <n v="2016"/>
    <s v="Routine care (control)"/>
    <x v="0"/>
    <s v="No intervention"/>
    <s v="Turkey"/>
    <s v="Western Turkey, home based. Patient lists were obtained from dementia outpatient clinics at one university hospital and the office of the Alzheimer’s Association in Izmir. "/>
    <s v="Alzheimer's Disease"/>
    <s v="Dementia"/>
    <s v="Mild"/>
    <s v="Yes"/>
    <s v="Some concerns"/>
    <s v="some concerns"/>
    <s v="some concerns"/>
    <s v="high risk"/>
    <s v="some concerns"/>
    <s v="high risk"/>
    <s v="Primary school: 49%; High school: 34%; University: 17%"/>
    <s v="54"/>
    <s v="62.28"/>
    <s v="71"/>
    <m/>
    <m/>
    <s v="Routine care"/>
    <m/>
    <m/>
    <m/>
    <s v="&quot;Comparison group members received routine care. In the routine care program, following diagnosis, caregivers were informed about the disease by physicians and given leaflets. When caregivers came to the outpatient visit with the pa-tients, they had an opportunity to ask physicians questions. Fre-quency of outpatient visits varied between every 6 months and once per year. Participants in the com-parison group were seen four times in a 6-month period at their home. Each session lasted approximately 1 hour. The first home visit fo-cused on a review of the study aims and protocols, obtaining informed consent, and data collection. After 2 weeks, during the second home visit for caregivers in the compari-son group, general information about care of individuals with de-mentia was presented and updated leaflets were provided. At the third home visit 2 months later, data were collected. At the last home visit 3 months later, data were again collected. After the study was completed, participants in the comparison group were provided with the experimental group pro-tocols.&quot;"/>
    <m/>
    <m/>
    <m/>
    <m/>
    <m/>
    <s v="N/A"/>
    <m/>
    <x v="11"/>
    <x v="6"/>
    <x v="1"/>
    <n v="87.2"/>
    <n v="35"/>
    <n v="5.69"/>
    <n v="85.23"/>
    <n v="35"/>
    <n v="5.68"/>
    <m/>
    <m/>
    <x v="18"/>
    <n v="180"/>
    <n v="90"/>
  </r>
  <r>
    <x v="17"/>
    <n v="2012"/>
    <s v="Comprehensive nursing intervention"/>
    <x v="3"/>
    <s v="Individual-based interventions"/>
    <s v="China"/>
    <s v="Hospital "/>
    <s v="Alzheimer's Disease"/>
    <s v="Dementia"/>
    <s v="Not specified"/>
    <s v="No info. "/>
    <s v="Some concerns"/>
    <s v="some concerns"/>
    <s v="low risk"/>
    <s v="high risk"/>
    <s v="some concerns"/>
    <s v="high risk"/>
    <s v="9 primary school ,9 middle school and 2 bachelor degree "/>
    <s v="50"/>
    <m/>
    <m/>
    <m/>
    <m/>
    <m/>
    <m/>
    <m/>
    <s v="Psychological care, emotional care cognitive care, daily care, home safety  and care after the discharge from hospital for 14 days"/>
    <m/>
    <s v="&quot;1.2.1 心理护理 鼓励家属多陪伴患者,加强与患者的交流, 可一起参加社会或家庭活动D 尊重患者,以诚恳的态度对待患 者,鼓励患者战胜疾病,以增强患者信心D 针对患者不同病情, 有计划地与患者交谈,消除患者的顾虑,培养乐观情绪,使患者 以较好的心理状态配合治疗D 1.2.2 情感护理 针对患者焦虑情绪,在护理时应保持病房环 境的舒适性,在适当的时间放一些轻松愉悦的音乐:针对患者抑 郁倾述,应耐心倾听患者的倾述,不强迫患者做不愿意的事,以 鼓励为主,引导患者进行适当的运动,如散步等:针对易激动情 绪,应积极分析原因,安慰患者,避免语言刺激,鼓励患者做锻 炼,以放松心情:针对淡漠情绪,可增加病房内物品摆放,比如患 者感兴趣的物品,鼓励患者加强与他人的交流D 1.2.3 认知护理 对记忆的训练:念一串数字,让患者复述,逐 渐增加难度,增强患者的瞬时记忆:让患者看数件物品后数分 钟,让患者回忆刚刚所看到的物品,以增强短时记忆D 对定向力 的训练:开始让患者记忆一些特别的日期~时间等,如生日~节 日,让患者尝试记忆亲人~护士~医生的姓名:对回忆的训练:让 患者看对其意义较大的物品,使患者回忆往事:对分析能力的训 练:让患者对物品进行分类:对口语的训练:给患者讲述一段故 事,让患者回答一些简单的问题,或者简单概括故事的情节D 1.2.4 生活护理 给予患者自我照顾的机会,对患者进行生活 能力训练,如洗漱~穿脱衣~进餐等,鼓励患者尽量自理,如完全 不能自理,设专人护理,注意翻身拍背,按摩等,防止褥疮~感染等并发症D 对药物的发放,应按时按顿,指导患者将药物全部服 下,对有幻觉的患者,应耐心劝说,详细解释D 患者认知障碍严 重时,常出现白天休息,夜间吵闹,应保持夜间病房安静,入睡前 可予温水泡脚,对伴有严重睡眠障碍者,应给予药物帮助入睡D 1.2.5 安全护理 增强病房的安全性和舒适性,对有空间~时 间定向力障碍的患者,要求有专人陪护,防止走失D 对有行动不 便的患者,增加相应的设施,如座便器~扶手等D 1.2.6 出院健康指导 老年痴呆尚无有效的治疗,以预防为 主,关键是早发现~早治疗,延缓大脑细胞更加广泛和不可逆转 的退变,以控制病情的进展,防止并发症的发生,延长生命,提高 生活质量D 护理人员对患者和家属进行相关知识培训,提高主 动性,调动积极性,共同完成护理计划D 鼓励患者家属出院后多 陪伴患者,如散步~聊天,或参加一些学习和力所能及的社会家 庭活动D 给予多方面的帮助,使其消除孤独寂寞感,感受家庭的 温馨和生活的快乐D 嘱家属保持联系,指导家属参与家庭护理, 定时电话或者上门指导患者家属护理的技巧和质疑事项&quot;_x000a_"/>
    <m/>
    <m/>
    <m/>
    <m/>
    <s v="Multicomponent (心理护理, 情感护理, 认知护理,  生活护理, 安全护理, 出院健康指导)"/>
    <m/>
    <x v="2"/>
    <x v="12"/>
    <x v="1"/>
    <n v="18.36"/>
    <n v="20"/>
    <n v="3.19"/>
    <n v="19.579999999999899"/>
    <n v="20"/>
    <n v="4.2"/>
    <m/>
    <m/>
    <x v="19"/>
    <n v="194"/>
    <n v="14"/>
  </r>
  <r>
    <x v="17"/>
    <n v="2012"/>
    <s v="Control"/>
    <x v="0"/>
    <s v="No intervention"/>
    <s v="China"/>
    <s v="Hospital "/>
    <s v="Alzheimer's Disease"/>
    <s v="Dementia"/>
    <s v="Not specified"/>
    <s v="No info. "/>
    <s v="Some concerns"/>
    <s v="some concerns"/>
    <s v="low risk"/>
    <s v="high risk"/>
    <s v="some concerns"/>
    <s v="high risk"/>
    <s v="7 primary school ,10 middle school and 3 bachelor degree "/>
    <s v="55"/>
    <m/>
    <m/>
    <m/>
    <m/>
    <m/>
    <m/>
    <m/>
    <s v="Routine caring for 14 days (Control)"/>
    <m/>
    <s v="常规护理"/>
    <m/>
    <m/>
    <m/>
    <m/>
    <s v="Routine caring"/>
    <m/>
    <x v="2"/>
    <x v="12"/>
    <x v="1"/>
    <n v="18.559999999999899"/>
    <n v="20"/>
    <n v="3.67"/>
    <n v="19.329999999999899"/>
    <n v="20"/>
    <n v="4.1500000000000004"/>
    <m/>
    <m/>
    <x v="19"/>
    <n v="194"/>
    <n v="14"/>
  </r>
  <r>
    <x v="18"/>
    <n v="2010"/>
    <s v="Control group"/>
    <x v="0"/>
    <s v="No intervention"/>
    <s v="China"/>
    <s v="Nursing College of Guangdong Medical College Hospital"/>
    <s v="Alzheimer's Disease"/>
    <s v="Dementia"/>
    <s v="Mild to moderate"/>
    <s v="No"/>
    <s v="Some concerns"/>
    <s v="some concerns"/>
    <s v="low risk"/>
    <s v="some concerns"/>
    <s v="some concerns"/>
    <s v="some concerns"/>
    <s v="&quot;平均受教育年限6.1年&quot;"/>
    <s v="52.63"/>
    <m/>
    <m/>
    <m/>
    <m/>
    <s v="The control group received routine discharge guidance. No intervention was administered after discharge."/>
    <m/>
    <m/>
    <m/>
    <s v="&quot;对照组进行常规出院指导，出院后不施加任何干预。&quot;"/>
    <m/>
    <m/>
    <m/>
    <m/>
    <m/>
    <s v="no treatment "/>
    <m/>
    <x v="7"/>
    <x v="16"/>
    <x v="1"/>
    <n v="450.1"/>
    <n v="19"/>
    <n v="151"/>
    <n v="405.1"/>
    <n v="19"/>
    <n v="146.4"/>
    <m/>
    <m/>
    <x v="20"/>
    <n v="365"/>
    <n v="365"/>
  </r>
  <r>
    <x v="18"/>
    <n v="2010"/>
    <s v="treatment group"/>
    <x v="3"/>
    <s v="Individual-based interventions"/>
    <s v="China"/>
    <s v="Nursing College of Guangdong Medical College Hospital"/>
    <s v="Alzheimer's Disease"/>
    <s v="Dementia"/>
    <s v="Mild to moderate"/>
    <s v="No"/>
    <s v="Some concerns"/>
    <s v="some concerns"/>
    <s v="low risk"/>
    <s v="some concerns"/>
    <s v="some concerns"/>
    <s v="some concerns"/>
    <s v="&quot;平均受教育年限6.3年&quot;"/>
    <s v="47.37"/>
    <m/>
    <m/>
    <m/>
    <m/>
    <s v="The experimental group received one-year nursing intervention on the basis of routine discharge guidance."/>
    <m/>
    <m/>
    <m/>
    <s v="&quot;试验组除常规出院指导外，护士每周电话访问1次；每2周安排1次免费门诊护理咨询；每4周进行1次家访；每3个月举办AD病人及家属座谈会1次。干预时间为1年。干预内容包括：①对病人家属进行AD疾病及护理知识的宣教，并根据_x000a_AD病人及家属常见的护理问题编写“老年性痴呆病人健康须知”。②家居安全护理指导。针对AD病人常见的误吸、误服、跌倒、失走、热伤等居家安全问题对病人和家属进行指导，以减轻居家安全问题的发生率。③心理护理及情感支持。运用支持性心理护理技术，如倾听、解释、保证、指导和建议、疏泄、鼓励、促进自助。具体内容主要是耐心倾听病人和家属提出的问题，了解病人的个性特点，有针对性地对病人及其家属进行心理护理，同时根据病人的心理特征，采用安慰、鼓励、暗示等方法予以开导I调动家庭照顾者的真诚，给予病人充分的关注和理解。使病人感受到家庭的温暖，减轻其心理压力；鼓励病人参加一些力所能及的家庭、社会活动，如种花、养鱼、画画等以分散病人的注意力和避免不良情绪产生，使其感受到生活的乐趣和自身的存在价值。④康复训练指导。日常生活能力训练，如做饭、进食、穿衣、洗刷，沐浴、购物等日常生活能力训练，先叙述后模拟，尽量帮助其维持一种固定的生活习惯；认知训练，通过回忆和生活回顾、调动兴趣爱好、支持小组的训练方式H3；记忆训练，对于有严重记忆障碍的老人，可运用环境影响其行为[5]，如保持恒定的常规环境，多次的重复性刺激，采用背诵、帮助分析，联系概念、联系自身、听说读写并用、编故事、记日记、看图片等方法训练记_x000a_忆}思维训练，通过排列数字、物品分类，数字计算等，训练病人_x000a_综合分析、判断、推理和计算能力；逻辑思维与表达能力训练，如对病人密切相关问题的提问，并进行简单的数字计算；体能训_x000a_练．根据病人的身体状况，选择合适的体能训练，如公园散步、做老人体操、跳舞等，活动量循序渐进，以无不适为度。⑤遵医行为指导，指导和督促病人按医嘱定时、定量以正确的方式服药，告知用药的注意事项，保证用药安全。&quot;"/>
    <m/>
    <m/>
    <m/>
    <m/>
    <m/>
    <s v="Non-pharmacol"/>
    <m/>
    <x v="7"/>
    <x v="16"/>
    <x v="1"/>
    <n v="448.1"/>
    <n v="19"/>
    <n v="132.4"/>
    <n v="570.1"/>
    <n v="19"/>
    <n v="141.9"/>
    <m/>
    <m/>
    <x v="20"/>
    <n v="365"/>
    <n v="365"/>
  </r>
  <r>
    <x v="19"/>
    <n v="2010"/>
    <s v="Control group"/>
    <x v="0"/>
    <s v="No intervention"/>
    <s v="China"/>
    <s v="The Third Peoplel's Hospital of Foshan City"/>
    <s v="Alzheimer's Disease"/>
    <s v="Dementia"/>
    <s v="Mild to moderate"/>
    <s v="Yes （Intervention was implemented among carer, but outcomes were measured among patients）"/>
    <s v="Some concerns"/>
    <s v="some concerns"/>
    <s v="low risk"/>
    <s v="some concerns"/>
    <s v="some concerns"/>
    <s v="some concerns"/>
    <m/>
    <m/>
    <m/>
    <m/>
    <m/>
    <m/>
    <s v="no any intervention"/>
    <m/>
    <m/>
    <m/>
    <m/>
    <m/>
    <m/>
    <m/>
    <m/>
    <m/>
    <m/>
    <m/>
    <x v="2"/>
    <x v="12"/>
    <x v="1"/>
    <n v="15.32"/>
    <n v="60"/>
    <n v="1.98"/>
    <n v="14.07"/>
    <n v="60"/>
    <n v="1.63"/>
    <m/>
    <m/>
    <x v="21"/>
    <m/>
    <s v="Unclear"/>
  </r>
  <r>
    <x v="19"/>
    <n v="2010"/>
    <s v="Intervention group (Carer training)"/>
    <x v="1"/>
    <s v="Training and education for unpaid carers, training for sleep disorder "/>
    <s v="China"/>
    <s v="The Third Peoplel's Hospital of Foshan City"/>
    <s v="Alzheimer's Disease"/>
    <s v="Dementia"/>
    <s v="Mild to moderate"/>
    <s v="Yes （Intervention was implemented among carer, but outcomes were measured among patients）"/>
    <s v="Some concerns"/>
    <s v="some concerns"/>
    <s v="low risk"/>
    <s v="some concerns"/>
    <s v="some concerns"/>
    <s v="some concerns"/>
    <s v="&quot;文盲1l例，小学22例，初中18例，高中以上9例&quot;"/>
    <s v="53.33"/>
    <m/>
    <m/>
    <m/>
    <m/>
    <s v="The caregivers of observation groups were taught of AD disease nowledge，daily care，_x000a_safe care knowledge，training and rehabilitation training guidance to improve their nursing skills"/>
    <m/>
    <m/>
    <m/>
    <s v="1．2．1对观察组照顾者的干预_x000a_1．2．1．1 对照顾者进行AD相关护理知识和技巧的训练，内容_x000a_包括：①AD患者的分期和常见的表现，让照顾者了解AD患者_x000a_病情的发展。②日常生活护理。③AD患者安全护理，针对患者常_x000a_见的走失、跌倒、自我伤害、意外受伤等安全问题对照顾者进行相_x000a_关知识指导。④训练AD患者的康复技巧，根据AD患者的分期进_x000a_行认图、物品分类、计算力、理解力和记忆力等方面的训练。⑤照_x000a_顾者心理指导。尊重AD患者的人格、隐私，接纳痴呆老人的怪异_x000a_言行，鼓励照顾者寻求邻居、朋友、同事的帮助和心理支持，主动_x000a_利用社会支持，缓解照顾压力。_x000a_1．2．1．2 课题组护士电话随访1次／周，家访2次／月。我们给_x000a_照顾者留下咨询电话，随时帮助照顾者解决AD患者出现的问_x000a_题。每季度去社区举办健康教育讲座1次，并现场指导照顾者对_x000a_AD患者的康复训练，了解照顾者反馈的信息、有针对性调整讲_x000a_课内容，提高培训效果。_x000a_"/>
    <m/>
    <m/>
    <m/>
    <m/>
    <m/>
    <s v="Non-pharmacol"/>
    <m/>
    <x v="2"/>
    <x v="12"/>
    <x v="1"/>
    <n v="15.1"/>
    <n v="60"/>
    <n v="2.56"/>
    <n v="16.12"/>
    <n v="60"/>
    <n v="2.84"/>
    <m/>
    <m/>
    <x v="21"/>
    <m/>
    <s v="Unclear"/>
  </r>
  <r>
    <x v="20"/>
    <n v="2019"/>
    <s v="Intervention group"/>
    <x v="3"/>
    <s v="Individual-based interventions"/>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8/30 illiterate, 3/30 literate, 15/30 primary school, 1/30 middle school, 2/30 high school, 1/30 university"/>
    <n v="0.76700000000000002"/>
    <s v="&gt; 53 years: 40% (12/30)"/>
    <n v="0.83330000000000004"/>
    <m/>
    <m/>
    <s v="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
    <m/>
    <m/>
    <s v="Intervention for caregivers"/>
    <m/>
    <m/>
    <m/>
    <m/>
    <m/>
    <m/>
    <m/>
    <m/>
    <x v="4"/>
    <x v="21"/>
    <x v="1"/>
    <n v="10.06"/>
    <n v="30"/>
    <n v="8.89"/>
    <n v="6.18"/>
    <n v="26"/>
    <n v="7.26"/>
    <m/>
    <m/>
    <x v="22"/>
    <n v="112"/>
    <n v="112"/>
  </r>
  <r>
    <x v="20"/>
    <n v="2019"/>
    <s v="Control"/>
    <x v="0"/>
    <s v="No intervention"/>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4/31 illiterate, 9/31 literate, 9/31 primary school, 3/31 middle school, 3/31 high school, 3/30 university"/>
    <n v="0.67700000000000005"/>
    <s v="&gt; 53 years: 58% (18/31)"/>
    <n v="0.74229999999999996"/>
    <m/>
    <m/>
    <s v="The group received just routine hospital care. At the end of 16 weeks, the programme was provided to this group too."/>
    <m/>
    <m/>
    <s v="Intervention for caregivers"/>
    <m/>
    <m/>
    <m/>
    <m/>
    <m/>
    <m/>
    <m/>
    <m/>
    <x v="4"/>
    <x v="21"/>
    <x v="1"/>
    <n v="12.23"/>
    <n v="31"/>
    <n v="8.0500000000000007"/>
    <n v="15.47"/>
    <n v="28"/>
    <n v="9.2799999999999994"/>
    <m/>
    <m/>
    <x v="22"/>
    <n v="112"/>
    <n v="112"/>
  </r>
  <r>
    <x v="20"/>
    <n v="2019"/>
    <s v="Intervention group"/>
    <x v="3"/>
    <s v="Individual-based interventions"/>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8/30 illiterate, 3/30 literate, 15/30 primary school, 1/30 middle school, 2/30 high school, 1/30 university"/>
    <n v="0.76700000000000002"/>
    <s v="&gt; 53 years: 40% (12/30)"/>
    <n v="0.83330000000000004"/>
    <m/>
    <m/>
    <s v="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
    <m/>
    <m/>
    <s v="Intervention for caregivers"/>
    <m/>
    <m/>
    <m/>
    <m/>
    <m/>
    <m/>
    <m/>
    <m/>
    <x v="0"/>
    <x v="0"/>
    <x v="1"/>
    <n v="31.43"/>
    <n v="30"/>
    <n v="18.18"/>
    <n v="27.87"/>
    <n v="26"/>
    <n v="18.39"/>
    <m/>
    <m/>
    <x v="22"/>
    <n v="112"/>
    <n v="112"/>
  </r>
  <r>
    <x v="20"/>
    <n v="2019"/>
    <s v="Control"/>
    <x v="0"/>
    <s v="No intervention"/>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4/31 illiterate, 9/31 literate, 9/31 primary school, 3/31 middle school, 3/31 high school, 3/30 university"/>
    <n v="0.67700000000000005"/>
    <s v="&gt; 53 years: 58% (18/31)"/>
    <n v="0.74229999999999996"/>
    <m/>
    <m/>
    <s v="The group received just routine hospital care. At the end of 16 weeks, the programme was provided to this group too."/>
    <m/>
    <m/>
    <s v="Intervention for caregivers"/>
    <m/>
    <m/>
    <m/>
    <m/>
    <m/>
    <m/>
    <m/>
    <m/>
    <x v="0"/>
    <x v="0"/>
    <x v="1"/>
    <n v="40.17"/>
    <n v="31"/>
    <n v="18.100000000000001"/>
    <n v="40.700000000000003"/>
    <n v="28"/>
    <n v="17.66"/>
    <m/>
    <m/>
    <x v="22"/>
    <n v="112"/>
    <n v="112"/>
  </r>
  <r>
    <x v="20"/>
    <n v="2019"/>
    <s v="Intervention group"/>
    <x v="3"/>
    <s v="Individual-based interventions"/>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8/30 illiterate, 3/30 literate, 15/30 primary school, 1/30 middle school, 2/30 high school, 1/30 university"/>
    <n v="0.76700000000000002"/>
    <s v="&gt; 53 years: 40% (12/30)"/>
    <n v="0.83330000000000004"/>
    <m/>
    <m/>
    <s v="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
    <m/>
    <m/>
    <s v="Intervention for caregivers"/>
    <m/>
    <m/>
    <m/>
    <m/>
    <m/>
    <m/>
    <m/>
    <m/>
    <x v="5"/>
    <x v="22"/>
    <x v="1"/>
    <n v="11.62"/>
    <n v="30"/>
    <n v="8.34"/>
    <n v="9.68"/>
    <n v="26"/>
    <n v="8.4499999999999993"/>
    <m/>
    <m/>
    <x v="22"/>
    <n v="112"/>
    <n v="112"/>
  </r>
  <r>
    <x v="20"/>
    <n v="2019"/>
    <s v="Control"/>
    <x v="0"/>
    <s v="No intervention"/>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4/31 illiterate, 9/31 literate, 9/31 primary school, 3/31 middle school, 3/31 high school, 3/30 university"/>
    <n v="0.67700000000000005"/>
    <s v="&gt; 53 years: 58% (18/31)"/>
    <n v="0.74229999999999996"/>
    <m/>
    <m/>
    <s v="The group received just routine hospital care. At the end of 16 weeks, the programme was provided to this group too."/>
    <m/>
    <m/>
    <s v="Intervention for caregivers"/>
    <m/>
    <m/>
    <m/>
    <m/>
    <m/>
    <m/>
    <m/>
    <m/>
    <x v="5"/>
    <x v="22"/>
    <x v="1"/>
    <n v="15.23"/>
    <n v="31"/>
    <n v="7.7"/>
    <n v="20.64"/>
    <n v="28"/>
    <n v="8.94"/>
    <m/>
    <m/>
    <x v="22"/>
    <n v="112"/>
    <n v="112"/>
  </r>
  <r>
    <x v="20"/>
    <n v="2019"/>
    <s v="Intervention group"/>
    <x v="3"/>
    <s v="Individual-based interventions"/>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8/30 illiterate, 3/30 literate, 15/30 primary school, 1/30 middle school, 2/30 high school, 1/30 university"/>
    <n v="0.76700000000000002"/>
    <s v="&gt; 53 years: 40% (12/30)"/>
    <n v="0.83330000000000004"/>
    <m/>
    <m/>
    <s v="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
    <m/>
    <m/>
    <s v="Intervention for caregivers"/>
    <m/>
    <m/>
    <m/>
    <m/>
    <m/>
    <m/>
    <m/>
    <m/>
    <x v="9"/>
    <x v="7"/>
    <x v="1"/>
    <n v="11.87"/>
    <n v="30"/>
    <n v="9.73"/>
    <n v="10.5"/>
    <n v="26"/>
    <n v="8.6999999999999993"/>
    <m/>
    <m/>
    <x v="22"/>
    <n v="112"/>
    <n v="112"/>
  </r>
  <r>
    <x v="20"/>
    <n v="2019"/>
    <s v="Control"/>
    <x v="0"/>
    <s v="No intervention"/>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4/31 illiterate, 9/31 literate, 9/31 primary school, 3/31 middle school, 3/31 high school, 3/30 university"/>
    <n v="0.67700000000000005"/>
    <s v="&gt; 53 years: 58% (18/31)"/>
    <n v="0.74229999999999996"/>
    <m/>
    <m/>
    <s v="The group received just routine hospital care. At the end of 16 weeks, the programme was provided to this group too."/>
    <m/>
    <m/>
    <s v="Intervention for caregivers"/>
    <m/>
    <m/>
    <m/>
    <m/>
    <m/>
    <m/>
    <m/>
    <m/>
    <x v="9"/>
    <x v="7"/>
    <x v="1"/>
    <n v="9.35"/>
    <n v="31"/>
    <n v="8.06"/>
    <n v="14.64"/>
    <n v="28"/>
    <n v="10.06"/>
    <m/>
    <m/>
    <x v="22"/>
    <n v="112"/>
    <n v="112"/>
  </r>
  <r>
    <x v="20"/>
    <n v="2019"/>
    <s v="Intervention group"/>
    <x v="3"/>
    <s v="Individual-based interventions"/>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8/30 illiterate, 3/30 literate, 15/30 primary school, 1/30 middle school, 2/30 high school, 1/30 university"/>
    <n v="0.76700000000000002"/>
    <s v="&gt; 53 years: 40% (12/30)"/>
    <n v="0.83330000000000004"/>
    <m/>
    <m/>
    <s v="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
    <m/>
    <m/>
    <s v="Intervention for caregivers"/>
    <m/>
    <m/>
    <m/>
    <m/>
    <m/>
    <m/>
    <m/>
    <m/>
    <x v="14"/>
    <x v="23"/>
    <x v="1"/>
    <n v="41.79"/>
    <n v="30"/>
    <n v="9.0239999999999991"/>
    <n v="44.87"/>
    <n v="26"/>
    <n v="8.94"/>
    <m/>
    <m/>
    <x v="22"/>
    <n v="112"/>
    <n v="112"/>
  </r>
  <r>
    <x v="20"/>
    <n v="2019"/>
    <s v="Control"/>
    <x v="0"/>
    <s v="No intervention"/>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4/31 illiterate, 9/31 literate, 9/31 primary school, 3/31 middle school, 3/31 high school, 3/30 university"/>
    <n v="0.67700000000000005"/>
    <s v="&gt; 53 years: 58% (18/31)"/>
    <n v="0.74229999999999996"/>
    <m/>
    <m/>
    <s v="The group received just routine hospital care. At the end of 16 weeks, the programme was provided to this group too."/>
    <m/>
    <m/>
    <s v="Intervention for caregivers"/>
    <m/>
    <m/>
    <m/>
    <m/>
    <m/>
    <m/>
    <m/>
    <m/>
    <x v="14"/>
    <x v="23"/>
    <x v="1"/>
    <n v="42.18"/>
    <n v="31"/>
    <n v="10.52"/>
    <n v="39.47"/>
    <n v="28"/>
    <n v="9.39"/>
    <m/>
    <m/>
    <x v="22"/>
    <n v="112"/>
    <n v="112"/>
  </r>
  <r>
    <x v="20"/>
    <n v="2019"/>
    <s v="Intervention group"/>
    <x v="3"/>
    <s v="Individual-based interventions"/>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8/30 illiterate, 3/30 literate, 15/30 primary school, 1/30 middle school, 2/30 high school, 1/30 university"/>
    <n v="0.76700000000000002"/>
    <s v="&gt; 53 years: 40% (12/30)"/>
    <n v="0.83330000000000004"/>
    <m/>
    <m/>
    <s v="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
    <m/>
    <m/>
    <s v="Intervention for caregivers"/>
    <m/>
    <m/>
    <m/>
    <m/>
    <m/>
    <m/>
    <m/>
    <m/>
    <x v="10"/>
    <x v="24"/>
    <x v="1"/>
    <n v="41.75"/>
    <n v="30"/>
    <n v="10"/>
    <n v="45.41"/>
    <n v="26"/>
    <n v="7.94"/>
    <m/>
    <m/>
    <x v="22"/>
    <n v="112"/>
    <n v="112"/>
  </r>
  <r>
    <x v="20"/>
    <n v="2019"/>
    <s v="Control"/>
    <x v="0"/>
    <s v="No intervention"/>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4/31 illiterate, 9/31 literate, 9/31 primary school, 3/31 middle school, 3/31 high school, 3/30 university"/>
    <n v="0.67700000000000005"/>
    <s v="&gt; 53 years: 58% (18/31)"/>
    <n v="0.74229999999999996"/>
    <m/>
    <m/>
    <s v="The group received just routine hospital care. At the end of 16 weeks, the programme was provided to this group too."/>
    <m/>
    <m/>
    <s v="Intervention for caregivers"/>
    <m/>
    <m/>
    <m/>
    <m/>
    <m/>
    <m/>
    <m/>
    <m/>
    <x v="10"/>
    <x v="24"/>
    <x v="1"/>
    <n v="41.59"/>
    <n v="31"/>
    <n v="9.7799999999999994"/>
    <n v="37.74"/>
    <n v="28"/>
    <n v="10.77"/>
    <m/>
    <m/>
    <x v="22"/>
    <n v="112"/>
    <n v="112"/>
  </r>
  <r>
    <x v="20"/>
    <n v="2019"/>
    <s v="Intervention group"/>
    <x v="3"/>
    <s v="Individual-based interventions"/>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8/30 illiterate, 3/30 literate, 15/30 primary school, 1/30 middle school, 2/30 high school, 1/30 university"/>
    <n v="0.76700000000000002"/>
    <s v="&gt; 53 years: 40% (12/30)"/>
    <n v="0.83330000000000004"/>
    <m/>
    <m/>
    <s v="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
    <m/>
    <m/>
    <s v="Intervention for caregivers"/>
    <m/>
    <m/>
    <m/>
    <m/>
    <m/>
    <m/>
    <m/>
    <m/>
    <x v="3"/>
    <x v="8"/>
    <x v="1"/>
    <n v="31.18"/>
    <n v="30"/>
    <n v="23.79"/>
    <n v="26.5"/>
    <n v="26"/>
    <n v="21.99"/>
    <m/>
    <m/>
    <x v="22"/>
    <n v="112"/>
    <n v="112"/>
  </r>
  <r>
    <x v="20"/>
    <n v="2019"/>
    <s v="Control"/>
    <x v="0"/>
    <s v="No intervention"/>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4/31 illiterate, 9/31 literate, 9/31 primary school, 3/31 middle school, 3/31 high school, 3/30 university"/>
    <n v="0.67700000000000005"/>
    <s v="&gt; 53 years: 58% (18/31)"/>
    <n v="0.74229999999999996"/>
    <m/>
    <m/>
    <s v="The group received just routine hospital care. At the end of 16 weeks, the programme was provided to this group too."/>
    <m/>
    <m/>
    <s v="Intervention for caregivers"/>
    <m/>
    <m/>
    <m/>
    <m/>
    <m/>
    <m/>
    <m/>
    <m/>
    <x v="3"/>
    <x v="8"/>
    <x v="1"/>
    <n v="19.41"/>
    <n v="31"/>
    <n v="16.09"/>
    <n v="30.7"/>
    <n v="28"/>
    <n v="23.78"/>
    <m/>
    <m/>
    <x v="22"/>
    <n v="112"/>
    <n v="112"/>
  </r>
  <r>
    <x v="20"/>
    <n v="2019"/>
    <s v="Intervention group"/>
    <x v="3"/>
    <s v="Individual-based interventions"/>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8/30 illiterate, 3/30 literate, 15/30 primary school, 1/30 middle school, 2/30 high school, 1/30 university"/>
    <n v="0.76700000000000002"/>
    <s v="&gt; 53 years: 40% (12/30)"/>
    <n v="0.83330000000000004"/>
    <m/>
    <m/>
    <s v="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
    <m/>
    <m/>
    <s v="Intervention for caregivers"/>
    <m/>
    <m/>
    <m/>
    <m/>
    <m/>
    <m/>
    <m/>
    <m/>
    <x v="7"/>
    <x v="25"/>
    <x v="1"/>
    <n v="31.18"/>
    <n v="22"/>
    <n v="6.14"/>
    <n v="31.79"/>
    <n v="17"/>
    <n v="5.41"/>
    <m/>
    <m/>
    <x v="22"/>
    <n v="112"/>
    <n v="112"/>
  </r>
  <r>
    <x v="20"/>
    <n v="2019"/>
    <s v="Control"/>
    <x v="0"/>
    <s v="No intervention"/>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4/31 illiterate, 9/31 literate, 9/31 primary school, 3/31 middle school, 3/31 high school, 3/30 university"/>
    <n v="0.67700000000000005"/>
    <s v="&gt; 53 years: 58% (18/31)"/>
    <n v="0.74229999999999996"/>
    <m/>
    <m/>
    <s v="The group received just routine hospital care. At the end of 16 weeks, the programme was provided to this group too."/>
    <m/>
    <m/>
    <s v="Intervention for caregivers"/>
    <m/>
    <m/>
    <m/>
    <m/>
    <m/>
    <m/>
    <m/>
    <m/>
    <x v="7"/>
    <x v="25"/>
    <x v="1"/>
    <n v="33.29"/>
    <n v="20"/>
    <n v="4.96"/>
    <n v="32.39"/>
    <n v="17"/>
    <n v="4.33"/>
    <m/>
    <m/>
    <x v="22"/>
    <n v="112"/>
    <n v="112"/>
  </r>
  <r>
    <x v="21"/>
    <n v="2010"/>
    <s v="Control group"/>
    <x v="0"/>
    <s v="No intervention"/>
    <s v="China"/>
    <s v="Community"/>
    <s v="Alzheimer's Disease"/>
    <s v="Dementia"/>
    <s v="Mild to moderate"/>
    <s v="No"/>
    <s v="Some concerns"/>
    <s v="high risk"/>
    <s v="low risk"/>
    <s v="high risk"/>
    <s v="some concerns"/>
    <s v="high risk"/>
    <m/>
    <m/>
    <m/>
    <m/>
    <m/>
    <m/>
    <s v="Home care as usual for a year "/>
    <m/>
    <m/>
    <m/>
    <s v="Home care guidance"/>
    <m/>
    <m/>
    <m/>
    <m/>
    <m/>
    <s v="Non-pharmacol"/>
    <m/>
    <x v="1"/>
    <x v="26"/>
    <x v="1"/>
    <n v="19.48"/>
    <n v="40"/>
    <n v="2.84"/>
    <n v="18.5"/>
    <n v="40"/>
    <n v="3.1"/>
    <m/>
    <m/>
    <x v="1"/>
    <n v="365"/>
    <n v="365"/>
  </r>
  <r>
    <x v="21"/>
    <n v="2010"/>
    <s v="Intervention group"/>
    <x v="3"/>
    <s v="Individual-based interventions"/>
    <s v="China"/>
    <s v="Community"/>
    <s v="Alzheimer's Disease"/>
    <s v="Dementia"/>
    <s v="Mild to moderate"/>
    <s v="No"/>
    <s v="Some concerns"/>
    <s v="high risk"/>
    <s v="low risk"/>
    <s v="high risk"/>
    <s v="some concerns"/>
    <s v="high risk"/>
    <m/>
    <m/>
    <m/>
    <m/>
    <m/>
    <m/>
    <s v="Community comprehensive intervention for a year "/>
    <m/>
    <m/>
    <m/>
    <s v="Phone contact weekly, Home visit monthly, for 1 year, covering the following 4 components: 1) Health Education, 2) Basic personal care, 3) Psycho-emotional support, 4) Rehabilitation training guide. &quot;干预组开展全面、 综合的社区护理。健康知识宣教 社区护理人员根据 AD 患者及家属健康知识需求， 定期开展知识讲座， 发放 AD 患者及照顾者健康教育和康复指导手册， 并详细讲解， 使其理解掌握， 能够简单复述宣教内容； 每周电话访问 1 次， 倾听患者及家属的问题， 建立良好的护患关系， 取得患者信任； 每个月家庭访视 1 次， 现场进行健康教育宣传及护理技术指导， 为期 1 年。基础生活护理 ① 基础护理： 实施 “无缝医疗保健”［3］，社区护理人员与家属共同讨论确定患者在家中适合的照料方式。 给予患者细心的呵护， 安排合理的作息时间， 保证良好的睡眠质量； 保持皮肤清洁， 衣物洁净， 注意保暖， 预防皮肤及肺部等各系统的感染； 按时服药， 促进疾病恢复； 根据身体状况， 做适当的户外运动， 锻炼身体， 增强体质。 ② 安全护理：家里地面不宜过于光滑， 必要时在盥洗室等处安扶手， 防止患者 跌 倒； 行动困难患者如厕、 洗浴要有人陪伴， 以 防 意 外 发生； 家中锐器物品、 药品妥善放置， 避免患者自伤或误服； 易走失的患者， 随身携带与家人联系的卡片， 避免单独外出， 防止 丢 失 迷 路。 ③ 饮 食 护 理： 一日三餐定时定量， 饥 饱 适 宜，膳 食 搭 配 合 理， 以清淡营养丰富为主， 多 食 豆 类、 奶 类、 瘦肉、 蔬菜、 海鲜、 粗纤维等食物， 保证优质蛋白质、 多不饱和脂肪酸及维生素等营养素的摄取。心理情感支持 全面评估患者， 根据其性格特征， 采取个性化护理， 充分体现 “以人为本”。 定期为患者做心理情感咨询， 了解患者的心理情绪状态， 减少患者因情绪异常引起行为问题的发生。 鼓励患者参加力所能及的家庭社会活动， 如看书、 读报、 听广播、 种花、 下棋、 打球、 参加社区老人联谊会等， 以 分 散 注 意 力， 排 遣 不 良 情 绪， 增 加 交 流， 提 高 沟 通 能力， 使其感受到生活的乐趣及自身价值， 促进心理健康。 指导照顾者掌握与老年痴呆患者交流的方法， 用理解、 宽容， 诚恳的态度对待病人， 耐心听取病人的诉说， 细心观察患者的情绪变化， 尽量满足其合理要求； 成立社区老年痴呆患者照顾者病友会， 提供照顾者之间分享照顾技巧的途径， 同时有助于减轻照顾者的照顾感受压力。康 复 训 练 指 导 ① 益 智 训 练： 减 缓 记 忆、 智 能 衰 退，指导家属要经常提醒患者日期、 时间、 地址、 家中电话号码等信息， 鼓励患者对往事的回忆， 要不厌其烦， 帮助其强化近期记忆和激发远期记忆。 让患者做一些简单的数字排列和运算，识图， 折纸等活动， 每日不少于 30 min。 组织患者参加适宜的集体活动， 增强其自信心， 促进计算， 判断， 思维， 理解等认知能力及语言能力的恢复。 ② 日常生活能力训练： 根据患者自理能力， 选择力所能及的生活内容进行训练。 自理能力较好的患者， 尽量让其自己完成做饭、 吃饭、 穿衣、 洗漱、 洗澡、打扫房间等日常生活， 四肢关节经常活动能够保持手脚灵活，促进血液循环； 自理能力较差的患者， 家属协助其完成复杂的生活活动， 并做好肢体功能康复训练。&quot;"/>
    <m/>
    <m/>
    <m/>
    <m/>
    <m/>
    <s v="Multicomponent: i) non-pharmcol, ii) Interv for carers"/>
    <m/>
    <x v="1"/>
    <x v="26"/>
    <x v="1"/>
    <n v="19.21"/>
    <n v="40"/>
    <n v="3.93"/>
    <n v="21.02"/>
    <n v="40"/>
    <n v="3.88"/>
    <m/>
    <m/>
    <x v="1"/>
    <n v="365"/>
    <n v="365"/>
  </r>
  <r>
    <x v="21"/>
    <n v="2010"/>
    <s v="Control group"/>
    <x v="0"/>
    <s v="No intervention"/>
    <s v="China"/>
    <s v="Community"/>
    <s v="Alzheimer's Disease"/>
    <s v="Dementia"/>
    <s v="Mild to moderate"/>
    <s v="No"/>
    <s v="Some concerns"/>
    <s v="high risk"/>
    <s v="low risk"/>
    <s v="high risk"/>
    <s v="some concerns"/>
    <s v="high risk"/>
    <m/>
    <m/>
    <m/>
    <m/>
    <m/>
    <m/>
    <s v="Home care as usual for a year "/>
    <m/>
    <m/>
    <m/>
    <s v="Home care guidance"/>
    <m/>
    <m/>
    <m/>
    <m/>
    <m/>
    <s v="Non-pharmacol"/>
    <m/>
    <x v="2"/>
    <x v="12"/>
    <x v="1"/>
    <n v="19.48"/>
    <n v="40"/>
    <n v="2.84"/>
    <n v="18.5"/>
    <n v="40"/>
    <n v="3.1"/>
    <m/>
    <m/>
    <x v="1"/>
    <n v="365"/>
    <n v="365"/>
  </r>
  <r>
    <x v="21"/>
    <n v="2010"/>
    <s v="Intervention group"/>
    <x v="3"/>
    <s v="Individual-based interventions"/>
    <s v="China"/>
    <s v="Community"/>
    <s v="Alzheimer's Disease"/>
    <s v="Dementia"/>
    <s v="Mild to moderate"/>
    <s v="No"/>
    <s v="Some concerns"/>
    <s v="high risk"/>
    <s v="low risk"/>
    <s v="high risk"/>
    <s v="some concerns"/>
    <s v="high risk"/>
    <m/>
    <m/>
    <m/>
    <m/>
    <m/>
    <m/>
    <s v="Community comprehensive intervention for a year "/>
    <m/>
    <m/>
    <m/>
    <s v="Phone contact weekly, Home visit monthly, for 1 year, covering the following 4 components: 1) Health Education, 2) Basic personal care, 3) Psycho-emotional support, 4) Rehabilitation training guide. &quot;干预组开展全面、 综合的社区护理。健康知识宣教 社区护理人员根据 AD 患者及家属健康知识需求， 定期开展知识讲座， 发放 AD 患者及照顾者健康教育和康复指导手册， 并详细讲解， 使其理解掌握， 能够简单复述宣教内容； 每周电话访问 1 次， 倾听患者及家属的问题， 建立良好的护患关系， 取得患者信任； 每个月家庭访视 1 次， 现场进行健康教育宣传及护理技术指导， 为期 1 年。基础生活护理 ① 基础护理： 实施 “无缝医疗保健”［3］，社区护理人员与家属共同讨论确定患者在家中适合的照料方式。 给予患者细心的呵护， 安排合理的作息时间， 保证良好的睡眠质量； 保持皮肤清洁， 衣物洁净， 注意保暖， 预防皮肤及肺部等各系统的感染； 按时服药， 促进疾病恢复； 根据身体状况， 做适当的户外运动， 锻炼身体， 增强体质。 ② 安全护理：家里地面不宜过于光滑， 必要时在盥洗室等处安扶手， 防止患者 跌 倒； 行动困难患者如厕、 洗浴要有人陪伴， 以 防 意 外 发生； 家中锐器物品、 药品妥善放置， 避免患者自伤或误服； 易走失的患者， 随身携带与家人联系的卡片， 避免单独外出， 防止 丢 失 迷 路。 ③ 饮 食 护 理： 一日三餐定时定量， 饥 饱 适 宜，膳 食 搭 配 合 理， 以清淡营养丰富为主， 多 食 豆 类、 奶 类、 瘦肉、 蔬菜、 海鲜、 粗纤维等食物， 保证优质蛋白质、 多不饱和脂肪酸及维生素等营养素的摄取。心理情感支持 全面评估患者， 根据其性格特征， 采取个性化护理， 充分体现 “以人为本”。 定期为患者做心理情感咨询， 了解患者的心理情绪状态， 减少患者因情绪异常引起行为问题的发生。 鼓励患者参加力所能及的家庭社会活动， 如看书、 读报、 听广播、 种花、 下棋、 打球、 参加社区老人联谊会等， 以 分 散 注 意 力， 排 遣 不 良 情 绪， 增 加 交 流， 提 高 沟 通 能力， 使其感受到生活的乐趣及自身价值， 促进心理健康。 指导照顾者掌握与老年痴呆患者交流的方法， 用理解、 宽容， 诚恳的态度对待病人， 耐心听取病人的诉说， 细心观察患者的情绪变化， 尽量满足其合理要求； 成立社区老年痴呆患者照顾者病友会， 提供照顾者之间分享照顾技巧的途径， 同时有助于减轻照顾者的照顾感受压力。康 复 训 练 指 导 ① 益 智 训 练： 减 缓 记 忆、 智 能 衰 退，指导家属要经常提醒患者日期、 时间、 地址、 家中电话号码等信息， 鼓励患者对往事的回忆， 要不厌其烦， 帮助其强化近期记忆和激发远期记忆。 让患者做一些简单的数字排列和运算，识图， 折纸等活动， 每日不少于 30 min。 组织患者参加适宜的集体活动， 增强其自信心， 促进计算， 判断， 思维， 理解等认知能力及语言能力的恢复。 ② 日常生活能力训练： 根据患者自理能力， 选择力所能及的生活内容进行训练。 自理能力较好的患者， 尽量让其自己完成做饭、 吃饭、 穿衣、 洗漱、 洗澡、打扫房间等日常生活， 四肢关节经常活动能够保持手脚灵活，促进血液循环； 自理能力较差的患者， 家属协助其完成复杂的生活活动， 并做好肢体功能康复训练。&quot;"/>
    <m/>
    <m/>
    <m/>
    <m/>
    <m/>
    <s v="Multicomponent: i) non-pharmcol, ii) Interv for carers"/>
    <m/>
    <x v="2"/>
    <x v="12"/>
    <x v="1"/>
    <n v="19.21"/>
    <n v="40"/>
    <n v="3.93"/>
    <n v="21.02"/>
    <n v="40"/>
    <n v="3.88"/>
    <m/>
    <m/>
    <x v="1"/>
    <n v="365"/>
    <n v="365"/>
  </r>
  <r>
    <x v="22"/>
    <n v="2012"/>
    <s v="Mutual support group"/>
    <x v="2"/>
    <s v="Group support and therapy"/>
    <s v="China"/>
    <s v="&quot;The caregivers were recruited from a list of people with dementia attending one of two dementia resources and respite care centers in Guangzhou, Guangdong Province of mainland China. The resource center provided daytime physical care, self-care and skills training for clients, respite care, social and recreational activi-ties, and care-giving resources to about 3,000 clients with dementia, and their family members. The cli-ents with dementia were received to this center from mainly three sources, including: a regional psychiat-ric center, two psychiatric outpatient departments, and Social Security and Welfare Department of The Government.&quot;"/>
    <s v="Dementia (general/unspecified)"/>
    <s v="Dementia"/>
    <s v="Any severity stage"/>
    <s v="Yes"/>
    <s v="Some concerns"/>
    <s v="high risk"/>
    <s v="high risk"/>
    <s v="high risk"/>
    <s v="some concerns"/>
    <s v="high risk"/>
    <m/>
    <s v="51.3"/>
    <s v="35.9% (18-30yr);   41% (31-50yr);      23.1% (51-70yr)"/>
    <s v="59.0"/>
    <s v="33.3"/>
    <s v="25.7"/>
    <s v="Peer-led mutual support group sessions, 1.5 hours every two weeks over a 24-week period, in addition to usual care"/>
    <m/>
    <m/>
    <m/>
    <s v="&quot;The peer-led mutual support group met bi-weekly, for a total of 12 1.5-hour sessions. All group sessions mainly consisted of information giving, sharing and discussion, psychological support, and problem solving; and a group protocol was spe-cifi cally designed for this study, based on evidence from other mutual support group intervention studies (Almberg et al., 1997; Fung &amp; Chien 2002; Toseland et al., 1989). Seven major themes of fam-ily support groups formed the basis for group members’ interactions and purposive activities in each session, including: (1) information about cli-ent’s condition; (2) development of group as a sup-port system; (3) emotional impact of care-giving; (4) learning about self-care; (5) improvement of interpersonal relationships; (6) establishing sup-port outside the group; and (7) improvement of home care skills. The protocol of the mutual sup-port group is presented in Table 1.To foster the use of problem-solving strategy within the group, at least one group members shared personal care-giving problems with other members in each session and these problems were worked on using a six-step model suggested by Zarit, Orr, and Zarit (1985). These six steps consisted of defi ning the problem, generation of alternatives, examining and evaluating each alternative, cognitive rehearsal of action plan, execution of the plan as homework, and evaluation of agreed outcomes.An advanced practice psychiatric nurse, who had more than 5 years of experience in dementia care and community mental health services and had experienced group facilitation, was chosen as facilitator for the supportive group. This nurse attended a 2-day training workshop organized by the research team on facilitation of a mutual sup-port group before the study was started. During the 24-week group intervention, the audio-taped group sessions were reviewed by the facilitator, together with the research team, to monitor treat-ment integrity, adherence to the protocol and any questions from group members.One to two peer leaders, elected by the group members, agreed to coordinate and plan the group sessions with the facilitator’s consultation, as suggested by Chien et al. (2006) and Toseland et al. (1989). The elected leaders were experienced in family and dementia care and received three 4-hour training sessions on planning and leading a mutual support group, using the protocol.&quot;"/>
    <m/>
    <m/>
    <m/>
    <m/>
    <m/>
    <s v="Intervention for carers"/>
    <m/>
    <x v="11"/>
    <x v="6"/>
    <x v="1"/>
    <n v="97.89"/>
    <n v="39"/>
    <n v="14.11"/>
    <n v="114.02"/>
    <n v="39"/>
    <n v="13.98"/>
    <m/>
    <m/>
    <x v="23"/>
    <n v="198"/>
    <n v="168"/>
  </r>
  <r>
    <x v="22"/>
    <n v="2012"/>
    <s v="Routine care group (control)"/>
    <x v="0"/>
    <s v="No intervention"/>
    <s v="China"/>
    <s v="&quot;The caregivers were recruited from a list of people with dementia attending one of two dementia resources and respite care centers in Guangzhou, Guangdong Province of mainland China. The resource center provided daytime physical care, self-care and skills training for clients, respite care, social and recreational activi-ties, and care-giving resources to about 3,000 clients with dementia, and their family members. The cli-ents with dementia were received to this center from mainly three sources, including: a regional psychiat-ric center, two psychiatric outpatient departments, and Social Security and Welfare Department of The Government.&quot;"/>
    <s v="Dementia (general/unspecified)"/>
    <s v="Dementia"/>
    <s v="Any severity stage"/>
    <s v="Yes"/>
    <s v="Some concerns"/>
    <s v="high risk"/>
    <s v="high risk"/>
    <s v="high risk"/>
    <s v="some concerns"/>
    <s v="high risk"/>
    <m/>
    <s v="53.8"/>
    <s v="33.3% (18-30yr);    43.6% (31-50yr);    23.1% (51.70yr)"/>
    <s v="64.1"/>
    <s v="25.6"/>
    <s v="25.7"/>
    <s v="Conventional family services provided by dementia centers, including medical consultation, financial and social services advice, educational talks on dementia care, and referals and advice on medical and social services"/>
    <m/>
    <m/>
    <m/>
    <s v="&quot;The control group received the conventional family services provided by the dementia centers. Similar to the other big cities in Guangdong and other Provinces of mainland China, the services included: (1) medical consultation of client and advice to family on client’s illness condition,  treatment plan and effects of med-ications provided on monthly basis by two visiting doctors; (2) advice and referrals of fi nancial aids and social welfare services provided by a social worker; (3) educational talk or seminars in dementia care conducted by registered general nurses; and (4) refer-rals and advices on medical and social services by the center staff. In other developing cities and sub-urban or remote areas, there is not any dementia care cen-ter and the only health care service that those fami-lies can obtain is the medical consultation by visiting doctors and their referrals to hospital care whenever necessary.Participants in the control group were informed about community supporting ser-vices for dementia care and referral to appropri-ate agencies for respite could be obtained from staff in the dementia center. After post-test, the research assistant asked them whether they would like to participate in a mutual support group spe-cifi cally organized for them.&quot;"/>
    <m/>
    <m/>
    <m/>
    <m/>
    <m/>
    <s v="N/A"/>
    <m/>
    <x v="11"/>
    <x v="6"/>
    <x v="1"/>
    <n v="103.71"/>
    <n v="39"/>
    <n v="9.2799999999999905"/>
    <n v="88.19"/>
    <n v="39"/>
    <n v="7.56"/>
    <m/>
    <m/>
    <x v="23"/>
    <n v="198"/>
    <n v="168"/>
  </r>
  <r>
    <x v="23"/>
    <n v="2014"/>
    <s v="control group"/>
    <x v="0"/>
    <s v="No intervention"/>
    <s v="China"/>
    <s v="retried cadre's sanitarium"/>
    <s v="Alzheimer's Disease"/>
    <s v="Dementia"/>
    <s v="Not specified"/>
    <s v="Yes"/>
    <s v="Some concerns"/>
    <s v="high risk"/>
    <s v="low risk"/>
    <s v="high risk"/>
    <s v="some concerns"/>
    <s v="high risk"/>
    <m/>
    <m/>
    <m/>
    <m/>
    <m/>
    <m/>
    <s v="Memantine + Aricept + Usual community healthcare service and personal care for 1 year"/>
    <m/>
    <m/>
    <m/>
    <s v="&quot;对照组只给予一般_x000a_的社区卫生服务和生活护理，未进行居家护理干预&quot;"/>
    <m/>
    <m/>
    <m/>
    <m/>
    <m/>
    <s v="Multicoponent: Pharmaceutical, Non-pharmacol"/>
    <m/>
    <x v="15"/>
    <x v="26"/>
    <x v="1"/>
    <n v="34.21"/>
    <n v="61"/>
    <n v="5.74"/>
    <n v="38.950000000000003"/>
    <n v="61"/>
    <n v="6.57"/>
    <m/>
    <m/>
    <x v="0"/>
    <n v="180"/>
    <n v="365"/>
  </r>
  <r>
    <x v="23"/>
    <n v="2014"/>
    <s v="treatment group"/>
    <x v="3"/>
    <s v="Individual-based interventions"/>
    <s v="China"/>
    <s v="retried cadre's sanitarium"/>
    <s v="Alzheimer's Disease"/>
    <s v="Dementia"/>
    <s v="Not specified"/>
    <s v="Yes"/>
    <s v="Some concerns"/>
    <s v="high risk"/>
    <s v="low risk"/>
    <s v="high risk"/>
    <s v="some concerns"/>
    <s v="high risk"/>
    <m/>
    <m/>
    <m/>
    <m/>
    <m/>
    <m/>
    <s v="Memantine + Aricept + Standardised home care intervention, incl. carer training on personl care, psychosocial support, safety, rehabilitation, and regular home visit; for 1 year"/>
    <m/>
    <m/>
    <m/>
    <s v="&quot;所有患者均由神经内科专科医生处方给药，主要为安理申和美金刚，均坚持服药治疗。试验组采用规范的居家护理干预模式进行为期 员 年的规范干预。&quot;"/>
    <m/>
    <m/>
    <m/>
    <m/>
    <m/>
    <s v="Multicoponent: Pharmaceutical, Non-pharmacol, Interv. for carers"/>
    <m/>
    <x v="15"/>
    <x v="26"/>
    <x v="1"/>
    <n v="34.14"/>
    <n v="62"/>
    <n v="5.35"/>
    <n v="33.159999999999897"/>
    <n v="62"/>
    <n v="5.29"/>
    <m/>
    <m/>
    <x v="0"/>
    <n v="180"/>
    <n v="365"/>
  </r>
  <r>
    <x v="23"/>
    <n v="2014"/>
    <s v="control group"/>
    <x v="0"/>
    <s v="No intervention"/>
    <s v="China"/>
    <s v="retried cadre's sanitarium"/>
    <s v="Alzheimer's Disease"/>
    <s v="Dementia"/>
    <s v="Not specified"/>
    <s v="Yes"/>
    <s v="Some concerns"/>
    <s v="high risk"/>
    <s v="low risk"/>
    <s v="high risk"/>
    <s v="some concerns"/>
    <s v="high risk"/>
    <m/>
    <m/>
    <m/>
    <m/>
    <m/>
    <m/>
    <s v="Memantine + Aricept + Usual community healthcare service and personal care for 1 year"/>
    <m/>
    <m/>
    <m/>
    <s v="&quot;对照组只给予一般_x000a_的社区卫生服务和生活护理，未进行居家护理干预&quot;"/>
    <m/>
    <m/>
    <m/>
    <m/>
    <m/>
    <s v="Multicoponent: Pharmaceutical, Non-pharmacol"/>
    <m/>
    <x v="15"/>
    <x v="26"/>
    <x v="1"/>
    <n v="34.21"/>
    <n v="61"/>
    <n v="5.74"/>
    <n v="44.53"/>
    <n v="61"/>
    <n v="7.56"/>
    <m/>
    <m/>
    <x v="1"/>
    <n v="365"/>
    <n v="365"/>
  </r>
  <r>
    <x v="23"/>
    <n v="2014"/>
    <s v="treatment group"/>
    <x v="3"/>
    <s v="Individual-based interventions"/>
    <s v="China"/>
    <s v="retried cadre's sanitarium"/>
    <s v="Alzheimer's Disease"/>
    <s v="Dementia"/>
    <s v="Not specified"/>
    <s v="Yes"/>
    <s v="Some concerns"/>
    <s v="high risk"/>
    <s v="low risk"/>
    <s v="high risk"/>
    <s v="some concerns"/>
    <s v="high risk"/>
    <m/>
    <m/>
    <m/>
    <m/>
    <m/>
    <m/>
    <s v="Memantine + Aricept + Standardised home care intervention, incl. carer training on personl care, psychosocial support, safety, rehabilitation, and regular home visit; for 1 year"/>
    <m/>
    <m/>
    <m/>
    <s v="&quot;所有患者均由神经内科专科医生处方给药，主要为安理申和美金刚，均坚持服药治疗。试验组采用规范的居家护理干预模式进行为期 员 年的规范干预。&quot;"/>
    <m/>
    <m/>
    <m/>
    <m/>
    <m/>
    <s v="Multicoponent: Pharmaceutical, Non-pharmacol, Interv. for carers"/>
    <m/>
    <x v="15"/>
    <x v="26"/>
    <x v="1"/>
    <n v="34.14"/>
    <n v="62"/>
    <n v="5.35"/>
    <n v="32.99"/>
    <n v="62"/>
    <n v="6.35"/>
    <m/>
    <m/>
    <x v="1"/>
    <n v="365"/>
    <n v="365"/>
  </r>
  <r>
    <x v="23"/>
    <n v="2014"/>
    <s v="control group"/>
    <x v="0"/>
    <s v="No intervention"/>
    <s v="China"/>
    <s v="retried cadre's sanitarium"/>
    <s v="Alzheimer's Disease"/>
    <s v="Dementia"/>
    <s v="Not specified"/>
    <s v="Yes"/>
    <s v="Some concerns"/>
    <s v="high risk"/>
    <s v="low risk"/>
    <s v="high risk"/>
    <s v="some concerns"/>
    <s v="high risk"/>
    <m/>
    <m/>
    <m/>
    <m/>
    <m/>
    <m/>
    <s v="Memantine + Aricept + Usual community healthcare service and personal care for 1 year"/>
    <m/>
    <m/>
    <m/>
    <s v="&quot;对照组只给予一般_x000a_的社区卫生服务和生活护理，未进行居家护理干预&quot;"/>
    <m/>
    <m/>
    <m/>
    <m/>
    <m/>
    <s v="Multicoponent: Pharmaceutical, Non-pharmacol"/>
    <m/>
    <x v="2"/>
    <x v="12"/>
    <x v="1"/>
    <n v="14.12"/>
    <n v="61"/>
    <n v="3.12"/>
    <n v="13.23"/>
    <n v="61"/>
    <n v="4.49"/>
    <m/>
    <m/>
    <x v="0"/>
    <n v="180"/>
    <n v="365"/>
  </r>
  <r>
    <x v="23"/>
    <n v="2014"/>
    <s v="treatment group"/>
    <x v="3"/>
    <s v="Individual-based interventions"/>
    <s v="China"/>
    <s v="retried cadre's sanitarium"/>
    <s v="Alzheimer's Disease"/>
    <s v="Dementia"/>
    <s v="Not specified"/>
    <s v="Yes"/>
    <s v="Some concerns"/>
    <s v="high risk"/>
    <s v="low risk"/>
    <s v="high risk"/>
    <s v="some concerns"/>
    <s v="high risk"/>
    <m/>
    <m/>
    <m/>
    <m/>
    <m/>
    <m/>
    <s v="Memantine + Aricept + Standardised home care intervention, incl. carer training on personl care, psychosocial support, safety, rehabilitation, and regular home visit; for 1 year"/>
    <m/>
    <m/>
    <m/>
    <s v="&quot;所有患者均由神经内科专科医生处方给药，主要为安理申和美金刚，均坚持服药治疗。试验组采用规范的居家护理干预模式进行为期 员 年的规范干预。&quot;"/>
    <m/>
    <m/>
    <m/>
    <m/>
    <m/>
    <s v="Multicoponent: Pharmaceutical, Non-pharmacol, Interv. for carers"/>
    <m/>
    <x v="2"/>
    <x v="12"/>
    <x v="1"/>
    <n v="14.19"/>
    <n v="62"/>
    <n v="3.12"/>
    <n v="14.29"/>
    <n v="62"/>
    <n v="4.41"/>
    <m/>
    <m/>
    <x v="0"/>
    <n v="180"/>
    <n v="365"/>
  </r>
  <r>
    <x v="23"/>
    <n v="2014"/>
    <s v="control group"/>
    <x v="0"/>
    <s v="No intervention"/>
    <s v="China"/>
    <s v="retried cadre's sanitarium"/>
    <s v="Alzheimer's Disease"/>
    <s v="Dementia"/>
    <s v="Not specified"/>
    <s v="Yes"/>
    <s v="Some concerns"/>
    <s v="high risk"/>
    <s v="low risk"/>
    <s v="high risk"/>
    <s v="some concerns"/>
    <s v="high risk"/>
    <m/>
    <m/>
    <m/>
    <m/>
    <m/>
    <m/>
    <s v="Memantine + Aricept + Usual community healthcare service and personal care for 1 year"/>
    <m/>
    <m/>
    <m/>
    <s v="&quot;对照组只给予一般_x000a_的社区卫生服务和生活护理，未进行居家护理干预&quot;"/>
    <m/>
    <m/>
    <m/>
    <m/>
    <m/>
    <s v="Multicoponent: Pharmaceutical, Non-pharmacol"/>
    <m/>
    <x v="2"/>
    <x v="12"/>
    <x v="1"/>
    <n v="14.12"/>
    <n v="61"/>
    <n v="3.12"/>
    <n v="11.99"/>
    <n v="61"/>
    <n v="6.39"/>
    <m/>
    <m/>
    <x v="1"/>
    <n v="365"/>
    <n v="365"/>
  </r>
  <r>
    <x v="23"/>
    <n v="2014"/>
    <s v="treatment group"/>
    <x v="3"/>
    <s v="Individual-based interventions"/>
    <s v="China"/>
    <s v="retried cadre's sanitarium"/>
    <s v="Alzheimer's Disease"/>
    <s v="Dementia"/>
    <s v="Not specified"/>
    <s v="Yes"/>
    <s v="Some concerns"/>
    <s v="high risk"/>
    <s v="low risk"/>
    <s v="high risk"/>
    <s v="some concerns"/>
    <s v="high risk"/>
    <m/>
    <m/>
    <m/>
    <m/>
    <m/>
    <m/>
    <s v="Memantine + Aricept + Standardised home care intervention, incl. carer training on personl care, psychosocial support, safety, rehabilitation, and regular home visit; for 1 year"/>
    <m/>
    <m/>
    <m/>
    <s v="&quot;所有患者均由神经内科专科医生处方给药，主要为安理申和美金刚，均坚持服药治疗。试验组采用规范的居家护理干预模式进行为期 员 年的规范干预。&quot;"/>
    <m/>
    <m/>
    <m/>
    <m/>
    <m/>
    <s v="Multicoponent: Pharmaceutical, Non-pharmacol, Interv. for carers"/>
    <m/>
    <x v="2"/>
    <x v="12"/>
    <x v="1"/>
    <n v="14.19"/>
    <n v="62"/>
    <n v="3.12"/>
    <n v="15.98"/>
    <n v="62"/>
    <n v="5.49"/>
    <m/>
    <m/>
    <x v="1"/>
    <n v="365"/>
    <n v="365"/>
  </r>
  <r>
    <x v="24"/>
    <n v="2017"/>
    <s v="对照组"/>
    <x v="0"/>
    <s v="No intervention"/>
    <s v="China"/>
    <s v="Community "/>
    <s v="Dementia (general/unspecified)"/>
    <s v="Dementia"/>
    <s v="Moderate to Severe"/>
    <s v="No info. "/>
    <s v="Some concerns"/>
    <s v="high risk"/>
    <s v="high risk"/>
    <s v="high risk"/>
    <s v="some concerns"/>
    <s v="high risk"/>
    <s v="10.99"/>
    <s v="54.3"/>
    <m/>
    <m/>
    <m/>
    <m/>
    <s v="Regular medicine and Psychological Health Promotion for 12 months"/>
    <m/>
    <m/>
    <m/>
    <s v="&quot;只给予药物治疗 和一般的心理健康知识宣传（即指通过各类媒体、各种方 式开展的心理健康知识宣传，如心理健康知识的宣传板 报、宣传册、进社区的心理卫生知识讲座、心理健康义 诊等） &quot;"/>
    <m/>
    <m/>
    <m/>
    <m/>
    <m/>
    <s v="Medicine + Psychological Health Promotion"/>
    <m/>
    <x v="2"/>
    <x v="12"/>
    <x v="1"/>
    <n v="9.85"/>
    <n v="70"/>
    <n v="1.89"/>
    <n v="13.27"/>
    <n v="70"/>
    <n v="3.02"/>
    <m/>
    <m/>
    <x v="1"/>
    <n v="365"/>
    <n v="365"/>
  </r>
  <r>
    <x v="24"/>
    <n v="2017"/>
    <s v="干预组"/>
    <x v="3"/>
    <s v="Community-based interventions"/>
    <s v="China"/>
    <s v="Community "/>
    <s v="Dementia (general/unspecified)"/>
    <s v="Dementia"/>
    <s v="Moderate to Severe"/>
    <s v="No info. "/>
    <s v="Some concerns"/>
    <s v="high risk"/>
    <s v="high risk"/>
    <s v="high risk"/>
    <s v="some concerns"/>
    <s v="high risk"/>
    <s v="Mean: 11.06 year; SD: 6.30 years"/>
    <s v="56.3"/>
    <m/>
    <m/>
    <m/>
    <m/>
    <s v="Medicine, Psychosocial and non-pharmacy in-home intervention for 12 months "/>
    <m/>
    <m/>
    <m/>
    <s v="&quot;1.2.1 家庭医疗工作模式 精神科医师上门服务同时整 合多学科团队成员（疾控精神卫生分中心工作人员、心理 治疗师、康复治疗师、老年护理师等） ，对照料者、社区 家庭医生、社会工作者等进行痴呆卫生宣教，利用社区的 家庭医生制工作模式，争取各居委会和社区卫生服务中心 的支持，同时对患者和照料者实施心理社会干预。 1.2.2 心理社会干预内容 ①对痴呆照料者培训，内容包 括什么是痴呆及 BPSD，其疾病进程的一般规律，有效的 治疗方法和时机，护理要点、护理技巧和注意事项，患者 生活环境的布置，同患者交流的技巧等，以提高患者的服 药依从性，减少并发症，并接受照料者的倾诉，指导其放 松，加强心理支持和辅导。对患者灵活采用行为干预，如 日常生活能力训练、音乐疗法、怀旧和人生回顾、记忆训 练等 [2-3]，并调整其居住环境的布置。②在患者急性期每周 家访，调整药物，听取照料者及家属的意见，提出合理建 议。③待病情稳定后，采取每周电话随访、每月上门随访 方式，针对存在严重疾病或行动不便者给予更高程度的关 注，适当增加探访频率以降低其风险概率。 1.2.3 干预形式 ①对社区相关人员进行培训，发放相关 宣传材料500 份。②建立老年痴呆家庭的自助互助小组， 互相分享讨论心得体会，举办家庭成员活动。③开展每半 年 1 次的相关人员座谈协调会，讨论干预过程中遇到的问 题及解决方案。&quot;_x000a_"/>
    <m/>
    <m/>
    <m/>
    <m/>
    <m/>
    <s v="Medicine +Psychosocial intervention"/>
    <m/>
    <x v="2"/>
    <x v="12"/>
    <x v="1"/>
    <n v="9.8800000000000008"/>
    <n v="71"/>
    <n v="2.33"/>
    <n v="14.97"/>
    <n v="71"/>
    <n v="3.03"/>
    <m/>
    <m/>
    <x v="1"/>
    <n v="365"/>
    <n v="365"/>
  </r>
  <r>
    <x v="25"/>
    <n v="2020"/>
    <s v="Intervention group"/>
    <x v="2"/>
    <s v="Information, education, and training to support carers"/>
    <s v="Iran"/>
    <s v="Geriatric clinic in Imam Reza and other neurology clinics affiliated to Shiraz University of Medical Sciences, Shiraz, Iran. The target population included family caregivers of the elderly people with dementia living in Shiraz."/>
    <m/>
    <m/>
    <m/>
    <s v="Yes"/>
    <s v="low risk"/>
    <s v="some concerns"/>
    <s v="low risk"/>
    <s v="low risk"/>
    <s v="low risk"/>
    <s v="low risk"/>
    <m/>
    <m/>
    <m/>
    <m/>
    <m/>
    <m/>
    <s v="The intervention group was provided with educational intervention and a scientifically valid educational book approved by faculty members in Shiraz University of Medical Sciences."/>
    <m/>
    <m/>
    <s v="Intervention for caregivers"/>
    <m/>
    <m/>
    <m/>
    <m/>
    <m/>
    <m/>
    <m/>
    <m/>
    <x v="4"/>
    <x v="27"/>
    <x v="1"/>
    <n v="74.11"/>
    <n v="35"/>
    <n v="4.7300000000000004"/>
    <n v="70.510000000000005"/>
    <n v="35"/>
    <n v="3.78"/>
    <m/>
    <m/>
    <x v="24"/>
    <n v="58"/>
    <n v="28"/>
  </r>
  <r>
    <x v="25"/>
    <n v="2020"/>
    <s v="Control group"/>
    <x v="0"/>
    <s v="No intervention"/>
    <s v="Iran"/>
    <s v="Geriatric clinic in Imam Reza and other neurology clinics affiliated to Shiraz University of Medical Sciences, Shiraz, Iran. The target population included family caregivers of the elderly people with dementia living in Shiraz."/>
    <m/>
    <m/>
    <m/>
    <s v="Yes"/>
    <s v="low risk"/>
    <s v="some concerns"/>
    <s v="low risk"/>
    <s v="low risk"/>
    <s v="low risk"/>
    <s v="low risk"/>
    <m/>
    <m/>
    <m/>
    <m/>
    <m/>
    <m/>
    <s v="The control group did not receive any formal education regarding the care of the elderly with dementia, during the study. In order to have ethical considerations in the research, after conducting the study, the educational programs were carried out and also, a book was provided for them."/>
    <m/>
    <m/>
    <s v="Intervention for caregivers"/>
    <m/>
    <m/>
    <m/>
    <m/>
    <m/>
    <m/>
    <m/>
    <m/>
    <x v="4"/>
    <x v="27"/>
    <x v="1"/>
    <n v="75.63"/>
    <n v="35"/>
    <n v="3.08"/>
    <n v="76.45"/>
    <n v="35"/>
    <n v="3.45"/>
    <m/>
    <m/>
    <x v="24"/>
    <n v="58"/>
    <n v="28"/>
  </r>
  <r>
    <x v="25"/>
    <n v="2020"/>
    <s v="Intervention group"/>
    <x v="2"/>
    <s v="Information, education, and training to support carers"/>
    <s v="Iran"/>
    <s v="Geriatric clinic in Imam Reza and other neurology clinics affiliated to Shiraz University of Medical Sciences, Shiraz, Iran. The target population included family caregivers of the elderly people with dementia living in Shiraz."/>
    <m/>
    <m/>
    <m/>
    <s v="Yes"/>
    <s v="low risk"/>
    <s v="some concerns"/>
    <s v="low risk"/>
    <s v="low risk"/>
    <s v="low risk"/>
    <s v="low risk"/>
    <m/>
    <m/>
    <m/>
    <m/>
    <m/>
    <m/>
    <s v="The intervention group was provided with educational intervention and a scientifically valid educational book approved by faculty members in Shiraz University of Medical Sciences."/>
    <m/>
    <m/>
    <s v="Intervention for caregivers"/>
    <m/>
    <m/>
    <m/>
    <m/>
    <m/>
    <m/>
    <m/>
    <m/>
    <x v="4"/>
    <x v="27"/>
    <x v="1"/>
    <n v="74.11"/>
    <n v="35"/>
    <n v="4.7300000000000004"/>
    <n v="70.31"/>
    <n v="35"/>
    <n v="3.78"/>
    <m/>
    <m/>
    <x v="25"/>
    <n v="118"/>
    <n v="28"/>
  </r>
  <r>
    <x v="25"/>
    <n v="2020"/>
    <s v="Control group"/>
    <x v="0"/>
    <s v="No intervention"/>
    <s v="Iran"/>
    <s v="Geriatric clinic in Imam Reza and other neurology clinics affiliated to Shiraz University of Medical Sciences, Shiraz, Iran. The target population included family caregivers of the elderly people with dementia living in Shiraz."/>
    <m/>
    <m/>
    <m/>
    <s v="Yes"/>
    <s v="low risk"/>
    <s v="some concerns"/>
    <s v="low risk"/>
    <s v="low risk"/>
    <s v="low risk"/>
    <s v="low risk"/>
    <m/>
    <m/>
    <m/>
    <m/>
    <m/>
    <m/>
    <s v="The control group did not receive any formal education regarding the care of the elderly with dementia, during the study. In order to have ethical considerations in the research, after conducting the study, the educational programs were carried out and also, a book was provided for them."/>
    <m/>
    <m/>
    <s v="Intervention for caregivers"/>
    <m/>
    <m/>
    <m/>
    <m/>
    <m/>
    <m/>
    <m/>
    <m/>
    <x v="4"/>
    <x v="27"/>
    <x v="1"/>
    <n v="75.63"/>
    <n v="35"/>
    <n v="3.08"/>
    <n v="76.22"/>
    <n v="35"/>
    <n v="5.08"/>
    <m/>
    <m/>
    <x v="25"/>
    <n v="118"/>
    <n v="28"/>
  </r>
  <r>
    <x v="26"/>
    <n v="2010"/>
    <s v="Nursing visit （control）"/>
    <x v="0"/>
    <s v="No intervention"/>
    <s v="China"/>
    <s v="Hospital "/>
    <s v="Alzheimer's Disease"/>
    <s v="Dementia"/>
    <s v="Not specified"/>
    <s v="No info. "/>
    <s v="Some concerns"/>
    <s v="some concerns"/>
    <s v="low risk"/>
    <s v="some concerns"/>
    <s v="some concerns"/>
    <s v="some concerns"/>
    <m/>
    <m/>
    <m/>
    <m/>
    <m/>
    <m/>
    <s v="Routine Nursing Assistant for a year."/>
    <m/>
    <m/>
    <m/>
    <s v="常规出院指导，并解答患者和家属的疑问，出院后不进行任何 护理干预"/>
    <m/>
    <m/>
    <m/>
    <m/>
    <m/>
    <s v="Routine Nursing Assistant"/>
    <m/>
    <x v="7"/>
    <x v="16"/>
    <x v="1"/>
    <n v="415.3"/>
    <n v="25"/>
    <n v="140.80000000000001"/>
    <n v="370.8"/>
    <n v="25"/>
    <n v="132.6"/>
    <m/>
    <m/>
    <x v="1"/>
    <n v="365"/>
    <n v="365"/>
  </r>
  <r>
    <x v="26"/>
    <n v="2010"/>
    <s v="Comprehensive nursing intervention （treatment）"/>
    <x v="3"/>
    <s v="Individual-based interventions"/>
    <s v="China"/>
    <s v="Hospital "/>
    <s v="Alzheimer's Disease"/>
    <s v="Dementia"/>
    <s v="Not specified"/>
    <s v="No info. "/>
    <s v="Some concerns"/>
    <s v="some concerns"/>
    <s v="low risk"/>
    <s v="some concerns"/>
    <s v="some concerns"/>
    <s v="some concerns"/>
    <m/>
    <m/>
    <m/>
    <m/>
    <m/>
    <m/>
    <s v="Comprehensive nursing intervention (home visit and health education)for a year."/>
    <m/>
    <m/>
    <m/>
    <s v="家庭护理是以家庭为单位的整体护理模 式，通过对患者家属实施健康教育，对患者生理、家庭和社会 状况提出潜在的护理问题，进行护理干预. 观察组除进行常规出院指导外，护士每周电话随 访1次，每月家访2次，每季去社区举办健康教育讲座1次，并现场指导。2干预内容1)疾病知识：向患者家属详细讲解AD的 病因、症状、治疗及护理，将自制的AD患者健康教育手册和 AD患者护理技巧手册发放给患者及照顾者，并耐心仔细地 逐一讲解，直到患者和照顾人满意为止。2)心理护理：耐一U倾_x000a_听AD患者及照顾者存在问题，全面评估患者状况，给予鼓 励，恰当地运用沟通技巧，做好心理疏导工作，动员老年人多 与外界接触，与人交流，多参与社会活动，保持良好的社会互 动。同时尊重老年人的意愿，让其独立去做自己力所能及的 事情，以唤起患者对生活的信心，感受到自身存在的价值。另 外鼓励子女多与老人沟通，加强邻居、亲戚、朋友间的相互走 动，排解心中的孤独、寂寞，保持良好的心理健康水平H]。3)家居安全护理：AD患者自我保护能力差以及在情绪激惹、抑 郁或意识模糊状态下可发生各种意外，如自伤、伤人、烫伤、跌 倒，误吸(服)、走失等。因此，一定要严加看护、防范，所居住 的家庭环境，要舒适、安静、整洁、安全，室内严禁放置危险物 品，如剪刀、火柴等。在患者的衣服口袋内放一张联系卡片， 上面写明患者的姓名、住址、联系电话等，以便患者迷路时方 便社会或他人及时关照。4)康复训练：①El常生活能力训练： 鼓励患者做一些力所能及的家务，如扫地、擦桌子。看护者尽 量让患者自己多做事。如洗澡，可帮助患者调好水温，然后提 醒患者做下一步动作，如脱衣裤等，若实在无法自己完成才去 帮助他，以锻炼和维持自理能力，减少对他人的依赖。②记忆 训练：包括回忆往事，实物定位、再激发，选一物品，如图片、旧 照片、花、食品、衣物等让患者认。感觉，鼓励他们谈论与手中 物品有关的经历。让他们回忆以前工作经历、癖好或消遣，通 过唱歌，阅读旧杂志、报纸等激发记忆。③体育锻炼：要指导 和鼓励老年人根据个体状况选择强度适当的体育运动，不但 可以增强体力，而且还能够提高大脑皮质活动的强度、均衡性 和灵活性，提高分析和综合能力，从而改善其认知功能。如有 氧健身运动(慢跑、散步、太极拳等)和有氧健脑运动(深呼吸运动、冥想、手指操等)。_x000a__x000a_"/>
    <m/>
    <m/>
    <m/>
    <m/>
    <m/>
    <s v="Multicomponent"/>
    <m/>
    <x v="7"/>
    <x v="16"/>
    <x v="1"/>
    <n v="431.4"/>
    <n v="25"/>
    <n v="126.5"/>
    <n v="524.70000000000005"/>
    <n v="25"/>
    <n v="128.4"/>
    <m/>
    <m/>
    <x v="1"/>
    <n v="365"/>
    <n v="365"/>
  </r>
  <r>
    <x v="27"/>
    <m/>
    <m/>
    <x v="4"/>
    <m/>
    <m/>
    <m/>
    <m/>
    <m/>
    <m/>
    <m/>
    <m/>
    <m/>
    <m/>
    <m/>
    <m/>
    <m/>
    <m/>
    <m/>
    <m/>
    <m/>
    <m/>
    <m/>
    <m/>
    <m/>
    <m/>
    <m/>
    <m/>
    <m/>
    <m/>
    <m/>
    <m/>
    <m/>
    <m/>
    <m/>
    <x v="16"/>
    <x v="28"/>
    <x v="4"/>
    <m/>
    <m/>
    <m/>
    <m/>
    <m/>
    <m/>
    <m/>
    <m/>
    <x v="26"/>
    <m/>
    <m/>
  </r>
  <r>
    <x v="27"/>
    <m/>
    <m/>
    <x v="4"/>
    <m/>
    <m/>
    <m/>
    <m/>
    <m/>
    <m/>
    <m/>
    <m/>
    <m/>
    <m/>
    <m/>
    <m/>
    <m/>
    <m/>
    <m/>
    <m/>
    <m/>
    <m/>
    <m/>
    <m/>
    <m/>
    <m/>
    <m/>
    <m/>
    <m/>
    <m/>
    <m/>
    <m/>
    <m/>
    <m/>
    <m/>
    <x v="16"/>
    <x v="28"/>
    <x v="4"/>
    <m/>
    <m/>
    <m/>
    <m/>
    <m/>
    <m/>
    <m/>
    <m/>
    <x v="26"/>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AFA918-1E7D-EE47-8BA1-4FAE74DEAA1A}" name="PivotTable13" cacheId="1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34" firstHeaderRow="1" firstDataRow="2" firstDataCol="1"/>
  <pivotFields count="49">
    <pivotField axis="axisRow" showAll="0">
      <items count="31">
        <item sd="0" x="0"/>
        <item sd="0" x="1"/>
        <item sd="0" x="2"/>
        <item sd="0" x="3"/>
        <item sd="0" x="4"/>
        <item sd="0" x="5"/>
        <item sd="0" x="6"/>
        <item m="1" x="28"/>
        <item sd="0" x="7"/>
        <item sd="0" x="8"/>
        <item sd="0" x="9"/>
        <item sd="0" x="10"/>
        <item sd="0" x="11"/>
        <item sd="0" x="12"/>
        <item sd="0" x="13"/>
        <item sd="0" x="14"/>
        <item sd="0" x="15"/>
        <item sd="0" x="16"/>
        <item sd="0" x="17"/>
        <item sd="0" x="18"/>
        <item sd="0" x="19"/>
        <item sd="0" m="1" x="29"/>
        <item sd="0" x="20"/>
        <item sd="0" x="21"/>
        <item sd="0" x="22"/>
        <item sd="0" x="23"/>
        <item sd="0" x="24"/>
        <item sd="0" x="25"/>
        <item sd="0" x="26"/>
        <item x="27"/>
        <item t="default" sd="0"/>
      </items>
    </pivotField>
    <pivotField showAll="0"/>
    <pivotField showAll="0"/>
    <pivotField axis="axisCol" showAll="0">
      <items count="6">
        <item x="3"/>
        <item x="0"/>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9">
        <item sd="0" x="4"/>
        <item x="0"/>
        <item sd="0" x="5"/>
        <item sd="0" x="8"/>
        <item sd="0" x="6"/>
        <item sd="0" x="9"/>
        <item sd="0" x="14"/>
        <item sd="0" x="10"/>
        <item m="1" x="17"/>
        <item sd="0" x="12"/>
        <item sd="0" x="11"/>
        <item sd="0" x="13"/>
        <item sd="0" x="1"/>
        <item sd="0" x="15"/>
        <item sd="0" x="2"/>
        <item sd="0" x="3"/>
        <item sd="0" x="7"/>
        <item sd="0" x="16"/>
        <item t="default" sd="0"/>
      </items>
    </pivotField>
    <pivotField axis="axisRow" showAll="0">
      <items count="30">
        <item sd="0" x="1"/>
        <item x="21"/>
        <item sd="0" x="22"/>
        <item sd="0" x="3"/>
        <item x="13"/>
        <item sd="0" x="19"/>
        <item sd="0" x="10"/>
        <item sd="0" x="20"/>
        <item x="4"/>
        <item sd="0" x="15"/>
        <item sd="0" x="26"/>
        <item sd="0" x="12"/>
        <item sd="0" x="2"/>
        <item sd="0" x="7"/>
        <item sd="0" x="8"/>
        <item sd="0" x="11"/>
        <item sd="0" x="17"/>
        <item sd="0" x="25"/>
        <item x="14"/>
        <item sd="0" x="16"/>
        <item sd="0" x="23"/>
        <item sd="0" x="24"/>
        <item x="27"/>
        <item sd="0" x="9"/>
        <item sd="0" x="18"/>
        <item x="5"/>
        <item sd="0" x="6"/>
        <item sd="0" x="0"/>
        <item x="28"/>
        <item t="default" sd="0"/>
      </items>
    </pivotField>
    <pivotField axis="axisRow" showAll="0">
      <items count="6">
        <item x="3"/>
        <item x="2"/>
        <item x="1"/>
        <item x="0"/>
        <item x="4"/>
        <item t="default"/>
      </items>
    </pivotField>
    <pivotField showAll="0"/>
    <pivotField showAll="0"/>
    <pivotField showAll="0"/>
    <pivotField showAll="0"/>
    <pivotField dataField="1" showAll="0"/>
    <pivotField showAll="0"/>
    <pivotField showAll="0"/>
    <pivotField showAll="0"/>
    <pivotField axis="axisRow" showAll="0">
      <items count="29">
        <item x="3"/>
        <item x="23"/>
        <item x="24"/>
        <item sd="0" x="11"/>
        <item x="1"/>
        <item x="20"/>
        <item x="8"/>
        <item x="22"/>
        <item sd="0" x="13"/>
        <item x="9"/>
        <item sd="0" x="16"/>
        <item x="5"/>
        <item x="25"/>
        <item x="15"/>
        <item x="19"/>
        <item x="0"/>
        <item x="18"/>
        <item x="4"/>
        <item x="6"/>
        <item x="2"/>
        <item x="10"/>
        <item m="1" x="27"/>
        <item sd="0" x="12"/>
        <item sd="0" x="14"/>
        <item x="7"/>
        <item x="17"/>
        <item x="21"/>
        <item x="26"/>
        <item t="default"/>
      </items>
    </pivotField>
    <pivotField showAll="0"/>
    <pivotField showAll="0"/>
  </pivotFields>
  <rowFields count="5">
    <field x="35"/>
    <field x="0"/>
    <field x="46"/>
    <field x="36"/>
    <field x="37"/>
  </rowFields>
  <rowItems count="30">
    <i>
      <x/>
    </i>
    <i>
      <x v="1"/>
    </i>
    <i r="1">
      <x/>
    </i>
    <i r="1">
      <x v="3"/>
    </i>
    <i r="1">
      <x v="4"/>
    </i>
    <i r="1">
      <x v="5"/>
    </i>
    <i r="1">
      <x v="8"/>
    </i>
    <i r="1">
      <x v="9"/>
    </i>
    <i r="1">
      <x v="10"/>
    </i>
    <i r="1">
      <x v="11"/>
    </i>
    <i r="1">
      <x v="13"/>
    </i>
    <i r="1">
      <x v="16"/>
    </i>
    <i r="1">
      <x v="17"/>
    </i>
    <i r="1">
      <x v="22"/>
    </i>
    <i>
      <x v="2"/>
    </i>
    <i>
      <x v="3"/>
    </i>
    <i>
      <x v="4"/>
    </i>
    <i>
      <x v="5"/>
    </i>
    <i>
      <x v="6"/>
    </i>
    <i>
      <x v="7"/>
    </i>
    <i>
      <x v="9"/>
    </i>
    <i>
      <x v="10"/>
    </i>
    <i>
      <x v="11"/>
    </i>
    <i>
      <x v="12"/>
    </i>
    <i>
      <x v="13"/>
    </i>
    <i>
      <x v="14"/>
    </i>
    <i>
      <x v="15"/>
    </i>
    <i>
      <x v="16"/>
    </i>
    <i>
      <x v="17"/>
    </i>
    <i t="grand">
      <x/>
    </i>
  </rowItems>
  <colFields count="1">
    <field x="3"/>
  </colFields>
  <colItems count="6">
    <i>
      <x/>
    </i>
    <i>
      <x v="1"/>
    </i>
    <i>
      <x v="2"/>
    </i>
    <i>
      <x v="3"/>
    </i>
    <i>
      <x v="4"/>
    </i>
    <i t="grand">
      <x/>
    </i>
  </colItems>
  <dataFields count="1">
    <dataField name="Sum of Post_N" fld="4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hyperlink" Target="applewebdata://0B7A3ABE-B793-4695-9843-B546E49B4176/" TargetMode="External"/><Relationship Id="rId2" Type="http://schemas.openxmlformats.org/officeDocument/2006/relationships/hyperlink" Target="applewebdata://0B7A3ABE-B793-4695-9843-B546E49B4176/" TargetMode="External"/><Relationship Id="rId1" Type="http://schemas.openxmlformats.org/officeDocument/2006/relationships/hyperlink" Target="applewebdata://0B7A3ABE-B793-4695-9843-B546E49B4176/" TargetMode="External"/><Relationship Id="rId4" Type="http://schemas.openxmlformats.org/officeDocument/2006/relationships/hyperlink" Target="applewebdata://0B7A3ABE-B793-4695-9843-B546E49B417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W99"/>
  <sheetViews>
    <sheetView workbookViewId="0">
      <pane xSplit="5" ySplit="1" topLeftCell="Z92" activePane="bottomRight" state="frozen"/>
      <selection pane="topRight" activeCell="F1" sqref="F1"/>
      <selection pane="bottomLeft" activeCell="A2" sqref="A2"/>
      <selection pane="bottomRight" activeCell="A95" sqref="A95"/>
    </sheetView>
  </sheetViews>
  <sheetFormatPr baseColWidth="10" defaultRowHeight="15" x14ac:dyDescent="0.2"/>
  <cols>
    <col min="5" max="5" width="24.1640625" customWidth="1"/>
    <col min="36" max="38" width="10.83203125" style="3"/>
    <col min="39" max="41" width="10.83203125" style="4"/>
    <col min="42" max="44" width="10.83203125" style="5"/>
    <col min="47" max="47" width="10.83203125" style="3"/>
  </cols>
  <sheetData>
    <row r="1" spans="1:4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s="3" t="s">
        <v>35</v>
      </c>
      <c r="AK1" s="3" t="s">
        <v>36</v>
      </c>
      <c r="AL1" s="3" t="s">
        <v>37</v>
      </c>
      <c r="AM1" s="4" t="s">
        <v>38</v>
      </c>
      <c r="AN1" s="4" t="s">
        <v>39</v>
      </c>
      <c r="AO1" s="4" t="s">
        <v>40</v>
      </c>
      <c r="AP1" s="5" t="s">
        <v>41</v>
      </c>
      <c r="AQ1" s="5" t="s">
        <v>42</v>
      </c>
      <c r="AR1" s="5" t="s">
        <v>43</v>
      </c>
      <c r="AS1" t="s">
        <v>44</v>
      </c>
      <c r="AT1" t="s">
        <v>45</v>
      </c>
      <c r="AU1" s="3" t="s">
        <v>46</v>
      </c>
      <c r="AV1" t="s">
        <v>686</v>
      </c>
      <c r="AW1" t="s">
        <v>689</v>
      </c>
    </row>
    <row r="2" spans="1:49" hidden="1" x14ac:dyDescent="0.2">
      <c r="A2" t="s">
        <v>47</v>
      </c>
      <c r="B2">
        <v>2014</v>
      </c>
      <c r="C2" t="s">
        <v>48</v>
      </c>
      <c r="D2" t="s">
        <v>49</v>
      </c>
      <c r="E2" t="s">
        <v>50</v>
      </c>
      <c r="F2" t="s">
        <v>51</v>
      </c>
      <c r="G2" t="s">
        <v>52</v>
      </c>
      <c r="H2" t="s">
        <v>53</v>
      </c>
      <c r="I2" t="s">
        <v>54</v>
      </c>
      <c r="J2" t="s">
        <v>55</v>
      </c>
      <c r="K2" t="s">
        <v>56</v>
      </c>
      <c r="L2" t="s">
        <v>57</v>
      </c>
      <c r="M2" t="s">
        <v>58</v>
      </c>
      <c r="N2" t="s">
        <v>57</v>
      </c>
      <c r="O2" t="s">
        <v>57</v>
      </c>
      <c r="P2" t="s">
        <v>58</v>
      </c>
      <c r="Q2" t="s">
        <v>57</v>
      </c>
      <c r="T2" t="s">
        <v>59</v>
      </c>
      <c r="U2" t="s">
        <v>60</v>
      </c>
      <c r="V2" t="s">
        <v>61</v>
      </c>
      <c r="X2" t="s">
        <v>62</v>
      </c>
      <c r="AD2" t="s">
        <v>63</v>
      </c>
      <c r="AH2" t="s">
        <v>64</v>
      </c>
      <c r="AJ2" s="3" t="s">
        <v>65</v>
      </c>
      <c r="AK2" s="3" t="s">
        <v>66</v>
      </c>
      <c r="AL2" s="3" t="s">
        <v>67</v>
      </c>
      <c r="AM2" s="4" t="s">
        <v>68</v>
      </c>
      <c r="AN2" s="4" t="s">
        <v>69</v>
      </c>
      <c r="AO2" s="4" t="s">
        <v>70</v>
      </c>
      <c r="AP2" s="5" t="s">
        <v>71</v>
      </c>
      <c r="AQ2" s="5" t="s">
        <v>69</v>
      </c>
      <c r="AR2" s="5" t="s">
        <v>72</v>
      </c>
      <c r="AU2" s="3" t="s">
        <v>679</v>
      </c>
      <c r="AV2">
        <v>56</v>
      </c>
      <c r="AW2">
        <v>56</v>
      </c>
    </row>
    <row r="3" spans="1:49" hidden="1" x14ac:dyDescent="0.2">
      <c r="A3" t="s">
        <v>47</v>
      </c>
      <c r="B3">
        <v>2014</v>
      </c>
      <c r="C3" t="s">
        <v>74</v>
      </c>
      <c r="D3" t="s">
        <v>49</v>
      </c>
      <c r="E3" t="s">
        <v>75</v>
      </c>
      <c r="F3" t="s">
        <v>51</v>
      </c>
      <c r="G3" t="s">
        <v>52</v>
      </c>
      <c r="H3" t="s">
        <v>53</v>
      </c>
      <c r="I3" t="s">
        <v>54</v>
      </c>
      <c r="J3" t="s">
        <v>55</v>
      </c>
      <c r="K3" t="s">
        <v>56</v>
      </c>
      <c r="L3" t="s">
        <v>57</v>
      </c>
      <c r="M3" t="s">
        <v>58</v>
      </c>
      <c r="N3" t="s">
        <v>57</v>
      </c>
      <c r="O3" t="s">
        <v>57</v>
      </c>
      <c r="P3" t="s">
        <v>58</v>
      </c>
      <c r="Q3" t="s">
        <v>57</v>
      </c>
      <c r="T3" t="s">
        <v>76</v>
      </c>
      <c r="U3" t="s">
        <v>77</v>
      </c>
      <c r="V3" t="s">
        <v>78</v>
      </c>
      <c r="X3" t="s">
        <v>79</v>
      </c>
      <c r="AD3" t="s">
        <v>80</v>
      </c>
      <c r="AH3" t="s">
        <v>64</v>
      </c>
      <c r="AJ3" s="3" t="s">
        <v>65</v>
      </c>
      <c r="AK3" s="3" t="s">
        <v>66</v>
      </c>
      <c r="AL3" s="3" t="s">
        <v>67</v>
      </c>
      <c r="AM3" s="4" t="s">
        <v>81</v>
      </c>
      <c r="AN3" s="4" t="s">
        <v>82</v>
      </c>
      <c r="AO3" s="4" t="s">
        <v>83</v>
      </c>
      <c r="AP3" s="5" t="s">
        <v>84</v>
      </c>
      <c r="AQ3" s="5" t="s">
        <v>82</v>
      </c>
      <c r="AR3" s="5" t="s">
        <v>85</v>
      </c>
      <c r="AU3" s="3" t="s">
        <v>679</v>
      </c>
      <c r="AV3">
        <v>56</v>
      </c>
      <c r="AW3">
        <v>56</v>
      </c>
    </row>
    <row r="4" spans="1:49" hidden="1" x14ac:dyDescent="0.2">
      <c r="A4" t="s">
        <v>86</v>
      </c>
      <c r="B4">
        <v>2008</v>
      </c>
      <c r="C4" t="s">
        <v>87</v>
      </c>
      <c r="D4" t="s">
        <v>88</v>
      </c>
      <c r="E4" t="s">
        <v>88</v>
      </c>
      <c r="F4" t="s">
        <v>89</v>
      </c>
      <c r="G4" t="s">
        <v>90</v>
      </c>
      <c r="H4" t="s">
        <v>91</v>
      </c>
      <c r="I4" t="s">
        <v>54</v>
      </c>
      <c r="J4" t="s">
        <v>92</v>
      </c>
      <c r="K4" t="s">
        <v>56</v>
      </c>
      <c r="L4" t="s">
        <v>93</v>
      </c>
      <c r="M4" t="s">
        <v>58</v>
      </c>
      <c r="N4" t="s">
        <v>93</v>
      </c>
      <c r="O4" t="s">
        <v>57</v>
      </c>
      <c r="P4" t="s">
        <v>58</v>
      </c>
      <c r="Q4" t="s">
        <v>57</v>
      </c>
      <c r="R4" t="s">
        <v>94</v>
      </c>
      <c r="S4" t="s">
        <v>95</v>
      </c>
      <c r="T4" t="s">
        <v>96</v>
      </c>
      <c r="U4" t="s">
        <v>97</v>
      </c>
      <c r="X4" t="s">
        <v>98</v>
      </c>
      <c r="AB4" t="s">
        <v>99</v>
      </c>
      <c r="AH4" t="s">
        <v>100</v>
      </c>
      <c r="AJ4" s="3" t="s">
        <v>65</v>
      </c>
      <c r="AK4" s="3" t="s">
        <v>66</v>
      </c>
      <c r="AL4" s="3" t="s">
        <v>101</v>
      </c>
      <c r="AQ4" s="5" t="s">
        <v>102</v>
      </c>
      <c r="AU4" s="3" t="s">
        <v>103</v>
      </c>
      <c r="AV4">
        <v>180</v>
      </c>
      <c r="AW4">
        <v>180</v>
      </c>
    </row>
    <row r="5" spans="1:49" hidden="1" x14ac:dyDescent="0.2">
      <c r="A5" t="s">
        <v>86</v>
      </c>
      <c r="B5">
        <v>2008</v>
      </c>
      <c r="C5" t="s">
        <v>104</v>
      </c>
      <c r="D5" t="s">
        <v>105</v>
      </c>
      <c r="E5" t="s">
        <v>106</v>
      </c>
      <c r="F5" t="s">
        <v>89</v>
      </c>
      <c r="G5" t="s">
        <v>90</v>
      </c>
      <c r="H5" t="s">
        <v>91</v>
      </c>
      <c r="I5" t="s">
        <v>54</v>
      </c>
      <c r="J5" t="s">
        <v>92</v>
      </c>
      <c r="K5" t="s">
        <v>56</v>
      </c>
      <c r="L5" t="s">
        <v>93</v>
      </c>
      <c r="M5" t="s">
        <v>58</v>
      </c>
      <c r="N5" t="s">
        <v>93</v>
      </c>
      <c r="O5" t="s">
        <v>57</v>
      </c>
      <c r="P5" t="s">
        <v>58</v>
      </c>
      <c r="Q5" t="s">
        <v>57</v>
      </c>
      <c r="R5" t="s">
        <v>107</v>
      </c>
      <c r="S5" t="s">
        <v>108</v>
      </c>
      <c r="T5" t="s">
        <v>109</v>
      </c>
      <c r="U5" t="s">
        <v>110</v>
      </c>
      <c r="X5" t="s">
        <v>111</v>
      </c>
      <c r="AB5" t="s">
        <v>112</v>
      </c>
      <c r="AH5" t="s">
        <v>64</v>
      </c>
      <c r="AJ5" s="3" t="s">
        <v>65</v>
      </c>
      <c r="AK5" s="3" t="s">
        <v>66</v>
      </c>
      <c r="AL5" s="3" t="s">
        <v>101</v>
      </c>
      <c r="AP5" s="5" t="s">
        <v>113</v>
      </c>
      <c r="AQ5" s="5" t="s">
        <v>114</v>
      </c>
      <c r="AR5" s="5">
        <f>SQRT(AQ5+AQ4)*(AT5-AS5)/(2*TINV(1-0.95,AQ5+AQ4-1))</f>
        <v>13.39209897120349</v>
      </c>
      <c r="AS5" t="s">
        <v>115</v>
      </c>
      <c r="AT5" t="s">
        <v>116</v>
      </c>
      <c r="AU5" s="3" t="s">
        <v>103</v>
      </c>
      <c r="AV5">
        <v>180</v>
      </c>
      <c r="AW5">
        <v>180</v>
      </c>
    </row>
    <row r="6" spans="1:49" hidden="1" x14ac:dyDescent="0.2">
      <c r="A6" t="s">
        <v>117</v>
      </c>
      <c r="B6">
        <v>2011</v>
      </c>
      <c r="C6" t="s">
        <v>118</v>
      </c>
      <c r="D6" t="s">
        <v>105</v>
      </c>
      <c r="E6" t="s">
        <v>106</v>
      </c>
      <c r="F6" t="s">
        <v>119</v>
      </c>
      <c r="G6" t="s">
        <v>120</v>
      </c>
      <c r="H6" t="s">
        <v>91</v>
      </c>
      <c r="I6" t="s">
        <v>54</v>
      </c>
      <c r="J6" t="s">
        <v>121</v>
      </c>
      <c r="K6" t="s">
        <v>56</v>
      </c>
      <c r="L6" t="s">
        <v>93</v>
      </c>
      <c r="M6" t="s">
        <v>58</v>
      </c>
      <c r="N6" t="s">
        <v>93</v>
      </c>
      <c r="O6" t="s">
        <v>57</v>
      </c>
      <c r="P6" t="s">
        <v>58</v>
      </c>
      <c r="Q6" t="s">
        <v>57</v>
      </c>
      <c r="R6" t="s">
        <v>122</v>
      </c>
      <c r="S6" t="s">
        <v>123</v>
      </c>
      <c r="T6" t="s">
        <v>124</v>
      </c>
      <c r="U6" t="s">
        <v>125</v>
      </c>
      <c r="X6" t="s">
        <v>126</v>
      </c>
      <c r="AB6" t="s">
        <v>127</v>
      </c>
      <c r="AH6" t="s">
        <v>64</v>
      </c>
      <c r="AJ6" s="3" t="s">
        <v>65</v>
      </c>
      <c r="AK6" s="3" t="s">
        <v>66</v>
      </c>
      <c r="AL6" s="3" t="s">
        <v>101</v>
      </c>
      <c r="AP6" s="5" t="s">
        <v>158</v>
      </c>
      <c r="AQ6" s="5" t="s">
        <v>131</v>
      </c>
      <c r="AR6" s="5">
        <f>SQRT(AQ6+AQ7)*(AT6-AS6)*0.5/TINV(1-0.95,AQ6+AQ7-1)</f>
        <v>1.9043938370706426</v>
      </c>
      <c r="AS6" t="s">
        <v>159</v>
      </c>
      <c r="AT6" t="s">
        <v>160</v>
      </c>
      <c r="AU6" s="3" t="s">
        <v>690</v>
      </c>
      <c r="AV6">
        <v>180</v>
      </c>
      <c r="AW6">
        <v>35</v>
      </c>
    </row>
    <row r="7" spans="1:49" hidden="1" x14ac:dyDescent="0.2">
      <c r="A7" t="s">
        <v>117</v>
      </c>
      <c r="B7">
        <v>2011</v>
      </c>
      <c r="C7" t="s">
        <v>134</v>
      </c>
      <c r="D7" t="s">
        <v>88</v>
      </c>
      <c r="E7" t="s">
        <v>88</v>
      </c>
      <c r="F7" t="s">
        <v>119</v>
      </c>
      <c r="G7" t="s">
        <v>120</v>
      </c>
      <c r="H7" t="s">
        <v>91</v>
      </c>
      <c r="I7" t="s">
        <v>54</v>
      </c>
      <c r="J7" t="s">
        <v>121</v>
      </c>
      <c r="K7" t="s">
        <v>56</v>
      </c>
      <c r="L7" t="s">
        <v>93</v>
      </c>
      <c r="M7" t="s">
        <v>58</v>
      </c>
      <c r="N7" t="s">
        <v>93</v>
      </c>
      <c r="O7" t="s">
        <v>57</v>
      </c>
      <c r="P7" t="s">
        <v>58</v>
      </c>
      <c r="Q7" t="s">
        <v>57</v>
      </c>
      <c r="R7" t="s">
        <v>135</v>
      </c>
      <c r="S7" t="s">
        <v>136</v>
      </c>
      <c r="T7" t="s">
        <v>137</v>
      </c>
      <c r="U7" t="s">
        <v>138</v>
      </c>
      <c r="X7" t="s">
        <v>139</v>
      </c>
      <c r="AB7" t="s">
        <v>140</v>
      </c>
      <c r="AH7" t="s">
        <v>100</v>
      </c>
      <c r="AJ7" s="3" t="s">
        <v>65</v>
      </c>
      <c r="AK7" s="3" t="s">
        <v>66</v>
      </c>
      <c r="AL7" s="3" t="s">
        <v>101</v>
      </c>
      <c r="AQ7" s="5" t="s">
        <v>141</v>
      </c>
      <c r="AU7" s="3" t="s">
        <v>690</v>
      </c>
      <c r="AV7">
        <v>180</v>
      </c>
      <c r="AW7">
        <v>35</v>
      </c>
    </row>
    <row r="8" spans="1:49" hidden="1" x14ac:dyDescent="0.2">
      <c r="A8" t="s">
        <v>117</v>
      </c>
      <c r="B8">
        <v>2011</v>
      </c>
      <c r="C8" t="s">
        <v>118</v>
      </c>
      <c r="D8" t="s">
        <v>105</v>
      </c>
      <c r="E8" t="s">
        <v>106</v>
      </c>
      <c r="F8" t="s">
        <v>119</v>
      </c>
      <c r="G8" t="s">
        <v>120</v>
      </c>
      <c r="H8" t="s">
        <v>91</v>
      </c>
      <c r="I8" t="s">
        <v>54</v>
      </c>
      <c r="J8" t="s">
        <v>121</v>
      </c>
      <c r="K8" t="s">
        <v>56</v>
      </c>
      <c r="L8" t="s">
        <v>93</v>
      </c>
      <c r="M8" t="s">
        <v>58</v>
      </c>
      <c r="N8" t="s">
        <v>93</v>
      </c>
      <c r="O8" t="s">
        <v>57</v>
      </c>
      <c r="P8" t="s">
        <v>58</v>
      </c>
      <c r="Q8" t="s">
        <v>57</v>
      </c>
      <c r="R8" t="s">
        <v>122</v>
      </c>
      <c r="S8" t="s">
        <v>123</v>
      </c>
      <c r="T8" t="s">
        <v>124</v>
      </c>
      <c r="U8" t="s">
        <v>125</v>
      </c>
      <c r="X8" t="s">
        <v>126</v>
      </c>
      <c r="AB8" t="s">
        <v>127</v>
      </c>
      <c r="AH8" t="s">
        <v>64</v>
      </c>
      <c r="AJ8" s="3" t="s">
        <v>128</v>
      </c>
      <c r="AK8" s="3" t="s">
        <v>129</v>
      </c>
      <c r="AL8" s="3" t="s">
        <v>101</v>
      </c>
      <c r="AP8" s="5" t="s">
        <v>130</v>
      </c>
      <c r="AQ8" s="5" t="s">
        <v>131</v>
      </c>
      <c r="AR8" s="5">
        <f t="shared" ref="AR8" si="0">SQRT(AQ8+AQ9)*(AT8-AS8)*0.5/TINV(1-0.95,AQ8+AQ9-1)</f>
        <v>2.0910991152148237</v>
      </c>
      <c r="AS8" t="s">
        <v>132</v>
      </c>
      <c r="AT8" t="s">
        <v>133</v>
      </c>
      <c r="AU8" s="3" t="s">
        <v>690</v>
      </c>
      <c r="AV8">
        <v>180</v>
      </c>
      <c r="AW8">
        <v>35</v>
      </c>
    </row>
    <row r="9" spans="1:49" hidden="1" x14ac:dyDescent="0.2">
      <c r="A9" t="s">
        <v>117</v>
      </c>
      <c r="B9">
        <v>2011</v>
      </c>
      <c r="C9" t="s">
        <v>134</v>
      </c>
      <c r="D9" t="s">
        <v>88</v>
      </c>
      <c r="E9" t="s">
        <v>88</v>
      </c>
      <c r="F9" t="s">
        <v>119</v>
      </c>
      <c r="G9" t="s">
        <v>120</v>
      </c>
      <c r="H9" t="s">
        <v>91</v>
      </c>
      <c r="I9" t="s">
        <v>54</v>
      </c>
      <c r="J9" t="s">
        <v>121</v>
      </c>
      <c r="K9" t="s">
        <v>56</v>
      </c>
      <c r="L9" t="s">
        <v>93</v>
      </c>
      <c r="M9" t="s">
        <v>58</v>
      </c>
      <c r="N9" t="s">
        <v>93</v>
      </c>
      <c r="O9" t="s">
        <v>57</v>
      </c>
      <c r="P9" t="s">
        <v>58</v>
      </c>
      <c r="Q9" t="s">
        <v>57</v>
      </c>
      <c r="R9" t="s">
        <v>135</v>
      </c>
      <c r="S9" t="s">
        <v>136</v>
      </c>
      <c r="T9" t="s">
        <v>137</v>
      </c>
      <c r="U9" t="s">
        <v>138</v>
      </c>
      <c r="X9" t="s">
        <v>139</v>
      </c>
      <c r="AB9" t="s">
        <v>140</v>
      </c>
      <c r="AH9" t="s">
        <v>100</v>
      </c>
      <c r="AJ9" s="3" t="s">
        <v>128</v>
      </c>
      <c r="AK9" s="3" t="s">
        <v>129</v>
      </c>
      <c r="AL9" s="3" t="s">
        <v>101</v>
      </c>
      <c r="AQ9" s="5" t="s">
        <v>141</v>
      </c>
      <c r="AU9" s="3" t="s">
        <v>690</v>
      </c>
      <c r="AV9">
        <v>180</v>
      </c>
      <c r="AW9">
        <v>35</v>
      </c>
    </row>
    <row r="10" spans="1:49" hidden="1" x14ac:dyDescent="0.2">
      <c r="A10" t="s">
        <v>117</v>
      </c>
      <c r="B10">
        <v>2011</v>
      </c>
      <c r="C10" t="s">
        <v>118</v>
      </c>
      <c r="D10" t="s">
        <v>105</v>
      </c>
      <c r="E10" t="s">
        <v>106</v>
      </c>
      <c r="F10" t="s">
        <v>119</v>
      </c>
      <c r="G10" t="s">
        <v>120</v>
      </c>
      <c r="H10" t="s">
        <v>91</v>
      </c>
      <c r="I10" t="s">
        <v>54</v>
      </c>
      <c r="J10" t="s">
        <v>121</v>
      </c>
      <c r="K10" t="s">
        <v>56</v>
      </c>
      <c r="L10" t="s">
        <v>93</v>
      </c>
      <c r="M10" t="s">
        <v>58</v>
      </c>
      <c r="N10" t="s">
        <v>93</v>
      </c>
      <c r="O10" t="s">
        <v>57</v>
      </c>
      <c r="P10" t="s">
        <v>58</v>
      </c>
      <c r="Q10" t="s">
        <v>57</v>
      </c>
      <c r="R10" t="s">
        <v>122</v>
      </c>
      <c r="S10" t="s">
        <v>123</v>
      </c>
      <c r="T10" t="s">
        <v>124</v>
      </c>
      <c r="U10" t="s">
        <v>125</v>
      </c>
      <c r="X10" t="s">
        <v>126</v>
      </c>
      <c r="AB10" t="s">
        <v>127</v>
      </c>
      <c r="AH10" t="s">
        <v>64</v>
      </c>
      <c r="AJ10" s="3" t="s">
        <v>142</v>
      </c>
      <c r="AK10" s="3" t="s">
        <v>143</v>
      </c>
      <c r="AL10" s="3" t="s">
        <v>101</v>
      </c>
      <c r="AP10" s="5" t="s">
        <v>144</v>
      </c>
      <c r="AQ10" s="5" t="s">
        <v>131</v>
      </c>
      <c r="AR10" s="5">
        <f t="shared" ref="AR10" si="1">SQRT(AQ10+AQ11)*(AT10-AS10)*0.5/TINV(1-0.95,AQ10+AQ11-1)</f>
        <v>1.9604054205138968</v>
      </c>
      <c r="AS10" t="s">
        <v>145</v>
      </c>
      <c r="AT10" t="s">
        <v>146</v>
      </c>
      <c r="AU10" s="3" t="s">
        <v>690</v>
      </c>
      <c r="AV10">
        <v>180</v>
      </c>
      <c r="AW10">
        <v>35</v>
      </c>
    </row>
    <row r="11" spans="1:49" hidden="1" x14ac:dyDescent="0.2">
      <c r="A11" t="s">
        <v>117</v>
      </c>
      <c r="B11">
        <v>2011</v>
      </c>
      <c r="C11" t="s">
        <v>134</v>
      </c>
      <c r="D11" t="s">
        <v>88</v>
      </c>
      <c r="E11" t="s">
        <v>88</v>
      </c>
      <c r="F11" t="s">
        <v>119</v>
      </c>
      <c r="G11" t="s">
        <v>120</v>
      </c>
      <c r="H11" t="s">
        <v>91</v>
      </c>
      <c r="I11" t="s">
        <v>54</v>
      </c>
      <c r="J11" t="s">
        <v>121</v>
      </c>
      <c r="K11" t="s">
        <v>56</v>
      </c>
      <c r="L11" t="s">
        <v>93</v>
      </c>
      <c r="M11" t="s">
        <v>58</v>
      </c>
      <c r="N11" t="s">
        <v>93</v>
      </c>
      <c r="O11" t="s">
        <v>57</v>
      </c>
      <c r="P11" t="s">
        <v>58</v>
      </c>
      <c r="Q11" t="s">
        <v>57</v>
      </c>
      <c r="R11" t="s">
        <v>135</v>
      </c>
      <c r="S11" t="s">
        <v>136</v>
      </c>
      <c r="T11" t="s">
        <v>137</v>
      </c>
      <c r="U11" t="s">
        <v>138</v>
      </c>
      <c r="X11" t="s">
        <v>139</v>
      </c>
      <c r="AB11" t="s">
        <v>140</v>
      </c>
      <c r="AH11" t="s">
        <v>100</v>
      </c>
      <c r="AJ11" s="3" t="s">
        <v>142</v>
      </c>
      <c r="AK11" s="3" t="s">
        <v>143</v>
      </c>
      <c r="AL11" s="3" t="s">
        <v>101</v>
      </c>
      <c r="AQ11" s="5" t="s">
        <v>141</v>
      </c>
      <c r="AU11" s="3" t="s">
        <v>690</v>
      </c>
      <c r="AV11">
        <v>180</v>
      </c>
      <c r="AW11">
        <v>35</v>
      </c>
    </row>
    <row r="12" spans="1:49" hidden="1" x14ac:dyDescent="0.2">
      <c r="A12" t="s">
        <v>117</v>
      </c>
      <c r="B12">
        <v>2011</v>
      </c>
      <c r="C12" t="s">
        <v>118</v>
      </c>
      <c r="D12" t="s">
        <v>105</v>
      </c>
      <c r="E12" t="s">
        <v>106</v>
      </c>
      <c r="F12" t="s">
        <v>119</v>
      </c>
      <c r="G12" t="s">
        <v>120</v>
      </c>
      <c r="H12" t="s">
        <v>91</v>
      </c>
      <c r="I12" t="s">
        <v>54</v>
      </c>
      <c r="J12" t="s">
        <v>121</v>
      </c>
      <c r="K12" t="s">
        <v>56</v>
      </c>
      <c r="L12" t="s">
        <v>93</v>
      </c>
      <c r="M12" t="s">
        <v>58</v>
      </c>
      <c r="N12" t="s">
        <v>93</v>
      </c>
      <c r="O12" t="s">
        <v>57</v>
      </c>
      <c r="P12" t="s">
        <v>58</v>
      </c>
      <c r="Q12" t="s">
        <v>57</v>
      </c>
      <c r="R12" t="s">
        <v>122</v>
      </c>
      <c r="S12" t="s">
        <v>123</v>
      </c>
      <c r="T12" t="s">
        <v>124</v>
      </c>
      <c r="U12" t="s">
        <v>125</v>
      </c>
      <c r="X12" t="s">
        <v>126</v>
      </c>
      <c r="AB12" t="s">
        <v>127</v>
      </c>
      <c r="AH12" t="s">
        <v>64</v>
      </c>
      <c r="AJ12" s="3" t="s">
        <v>165</v>
      </c>
      <c r="AK12" s="3" t="s">
        <v>166</v>
      </c>
      <c r="AL12" s="3" t="s">
        <v>101</v>
      </c>
      <c r="AP12" s="5" t="s">
        <v>167</v>
      </c>
      <c r="AQ12" s="5" t="s">
        <v>131</v>
      </c>
      <c r="AR12" s="5">
        <f t="shared" ref="AR12" si="2">SQRT(AQ12+AQ13)*(AT12-AS12)*0.5/TINV(1-0.95,AQ12+AQ13-1)</f>
        <v>2.12844017084366</v>
      </c>
      <c r="AS12" t="s">
        <v>153</v>
      </c>
      <c r="AT12" t="s">
        <v>133</v>
      </c>
      <c r="AU12" s="3" t="s">
        <v>690</v>
      </c>
      <c r="AV12">
        <v>180</v>
      </c>
      <c r="AW12">
        <v>35</v>
      </c>
    </row>
    <row r="13" spans="1:49" hidden="1" x14ac:dyDescent="0.2">
      <c r="A13" t="s">
        <v>117</v>
      </c>
      <c r="B13">
        <v>2011</v>
      </c>
      <c r="C13" t="s">
        <v>134</v>
      </c>
      <c r="D13" t="s">
        <v>88</v>
      </c>
      <c r="E13" t="s">
        <v>88</v>
      </c>
      <c r="F13" t="s">
        <v>119</v>
      </c>
      <c r="G13" t="s">
        <v>120</v>
      </c>
      <c r="H13" t="s">
        <v>91</v>
      </c>
      <c r="I13" t="s">
        <v>54</v>
      </c>
      <c r="J13" t="s">
        <v>121</v>
      </c>
      <c r="K13" t="s">
        <v>56</v>
      </c>
      <c r="L13" t="s">
        <v>93</v>
      </c>
      <c r="M13" t="s">
        <v>58</v>
      </c>
      <c r="N13" t="s">
        <v>93</v>
      </c>
      <c r="O13" t="s">
        <v>57</v>
      </c>
      <c r="P13" t="s">
        <v>58</v>
      </c>
      <c r="Q13" t="s">
        <v>57</v>
      </c>
      <c r="R13" t="s">
        <v>135</v>
      </c>
      <c r="S13" t="s">
        <v>136</v>
      </c>
      <c r="T13" t="s">
        <v>137</v>
      </c>
      <c r="U13" t="s">
        <v>138</v>
      </c>
      <c r="X13" t="s">
        <v>139</v>
      </c>
      <c r="AB13" t="s">
        <v>140</v>
      </c>
      <c r="AH13" t="s">
        <v>100</v>
      </c>
      <c r="AJ13" s="3" t="s">
        <v>165</v>
      </c>
      <c r="AK13" s="3" t="s">
        <v>166</v>
      </c>
      <c r="AL13" s="3" t="s">
        <v>101</v>
      </c>
      <c r="AQ13" s="5" t="s">
        <v>141</v>
      </c>
      <c r="AU13" s="3" t="s">
        <v>690</v>
      </c>
      <c r="AV13">
        <v>180</v>
      </c>
      <c r="AW13">
        <v>35</v>
      </c>
    </row>
    <row r="14" spans="1:49" hidden="1" x14ac:dyDescent="0.2">
      <c r="A14" t="s">
        <v>117</v>
      </c>
      <c r="B14">
        <v>2011</v>
      </c>
      <c r="C14" t="s">
        <v>118</v>
      </c>
      <c r="D14" t="s">
        <v>105</v>
      </c>
      <c r="E14" t="s">
        <v>106</v>
      </c>
      <c r="F14" t="s">
        <v>119</v>
      </c>
      <c r="G14" t="s">
        <v>120</v>
      </c>
      <c r="H14" t="s">
        <v>91</v>
      </c>
      <c r="I14" t="s">
        <v>54</v>
      </c>
      <c r="J14" t="s">
        <v>121</v>
      </c>
      <c r="K14" t="s">
        <v>56</v>
      </c>
      <c r="L14" t="s">
        <v>93</v>
      </c>
      <c r="M14" t="s">
        <v>58</v>
      </c>
      <c r="N14" t="s">
        <v>93</v>
      </c>
      <c r="O14" t="s">
        <v>57</v>
      </c>
      <c r="P14" t="s">
        <v>58</v>
      </c>
      <c r="Q14" t="s">
        <v>57</v>
      </c>
      <c r="R14" t="s">
        <v>122</v>
      </c>
      <c r="S14" t="s">
        <v>123</v>
      </c>
      <c r="T14" t="s">
        <v>124</v>
      </c>
      <c r="U14" t="s">
        <v>125</v>
      </c>
      <c r="X14" t="s">
        <v>126</v>
      </c>
      <c r="AB14" t="s">
        <v>127</v>
      </c>
      <c r="AH14" t="s">
        <v>64</v>
      </c>
      <c r="AJ14" s="3" t="s">
        <v>147</v>
      </c>
      <c r="AK14" s="3" t="s">
        <v>143</v>
      </c>
      <c r="AL14" s="3" t="s">
        <v>101</v>
      </c>
      <c r="AP14" s="5" t="s">
        <v>148</v>
      </c>
      <c r="AQ14" s="5" t="s">
        <v>131</v>
      </c>
      <c r="AR14" s="5">
        <f t="shared" ref="AR14" si="3">SQRT(AQ14+AQ15)*(AT14-AS14)*0.5/TINV(1-0.95,AQ14+AQ15-1)</f>
        <v>1.8483822536273884</v>
      </c>
      <c r="AS14" t="s">
        <v>149</v>
      </c>
      <c r="AT14" t="s">
        <v>150</v>
      </c>
      <c r="AU14" s="3" t="s">
        <v>690</v>
      </c>
      <c r="AV14">
        <v>180</v>
      </c>
      <c r="AW14">
        <v>35</v>
      </c>
    </row>
    <row r="15" spans="1:49" hidden="1" x14ac:dyDescent="0.2">
      <c r="A15" t="s">
        <v>117</v>
      </c>
      <c r="B15">
        <v>2011</v>
      </c>
      <c r="C15" t="s">
        <v>134</v>
      </c>
      <c r="D15" t="s">
        <v>88</v>
      </c>
      <c r="E15" t="s">
        <v>88</v>
      </c>
      <c r="F15" t="s">
        <v>119</v>
      </c>
      <c r="G15" t="s">
        <v>120</v>
      </c>
      <c r="H15" t="s">
        <v>91</v>
      </c>
      <c r="I15" t="s">
        <v>54</v>
      </c>
      <c r="J15" t="s">
        <v>121</v>
      </c>
      <c r="K15" t="s">
        <v>56</v>
      </c>
      <c r="L15" t="s">
        <v>93</v>
      </c>
      <c r="M15" t="s">
        <v>58</v>
      </c>
      <c r="N15" t="s">
        <v>93</v>
      </c>
      <c r="O15" t="s">
        <v>57</v>
      </c>
      <c r="P15" t="s">
        <v>58</v>
      </c>
      <c r="Q15" t="s">
        <v>57</v>
      </c>
      <c r="R15" t="s">
        <v>135</v>
      </c>
      <c r="S15" t="s">
        <v>136</v>
      </c>
      <c r="T15" t="s">
        <v>137</v>
      </c>
      <c r="U15" t="s">
        <v>138</v>
      </c>
      <c r="X15" t="s">
        <v>139</v>
      </c>
      <c r="AB15" t="s">
        <v>140</v>
      </c>
      <c r="AH15" t="s">
        <v>100</v>
      </c>
      <c r="AJ15" s="3" t="s">
        <v>147</v>
      </c>
      <c r="AK15" s="3" t="s">
        <v>143</v>
      </c>
      <c r="AL15" s="3" t="s">
        <v>101</v>
      </c>
      <c r="AQ15" s="5" t="s">
        <v>141</v>
      </c>
      <c r="AU15" s="3" t="s">
        <v>690</v>
      </c>
      <c r="AV15">
        <v>180</v>
      </c>
      <c r="AW15">
        <v>35</v>
      </c>
    </row>
    <row r="16" spans="1:49" hidden="1" x14ac:dyDescent="0.2">
      <c r="A16" t="s">
        <v>117</v>
      </c>
      <c r="B16">
        <v>2011</v>
      </c>
      <c r="C16" t="s">
        <v>118</v>
      </c>
      <c r="D16" t="s">
        <v>105</v>
      </c>
      <c r="E16" t="s">
        <v>106</v>
      </c>
      <c r="F16" t="s">
        <v>119</v>
      </c>
      <c r="G16" t="s">
        <v>120</v>
      </c>
      <c r="H16" t="s">
        <v>91</v>
      </c>
      <c r="I16" t="s">
        <v>54</v>
      </c>
      <c r="J16" t="s">
        <v>121</v>
      </c>
      <c r="K16" t="s">
        <v>56</v>
      </c>
      <c r="L16" t="s">
        <v>93</v>
      </c>
      <c r="M16" t="s">
        <v>58</v>
      </c>
      <c r="N16" t="s">
        <v>93</v>
      </c>
      <c r="O16" t="s">
        <v>57</v>
      </c>
      <c r="P16" t="s">
        <v>58</v>
      </c>
      <c r="Q16" t="s">
        <v>57</v>
      </c>
      <c r="R16" t="s">
        <v>122</v>
      </c>
      <c r="S16" t="s">
        <v>123</v>
      </c>
      <c r="T16" t="s">
        <v>124</v>
      </c>
      <c r="U16" t="s">
        <v>125</v>
      </c>
      <c r="X16" t="s">
        <v>126</v>
      </c>
      <c r="AB16" t="s">
        <v>127</v>
      </c>
      <c r="AH16" t="s">
        <v>64</v>
      </c>
      <c r="AJ16" s="3" t="s">
        <v>151</v>
      </c>
      <c r="AK16" s="3" t="s">
        <v>152</v>
      </c>
      <c r="AL16" s="3" t="s">
        <v>101</v>
      </c>
      <c r="AP16" s="5">
        <v>-0.14000000000000001</v>
      </c>
      <c r="AQ16" s="5" t="s">
        <v>131</v>
      </c>
      <c r="AR16" s="5">
        <f t="shared" ref="AR16" si="4">SQRT(AQ16+AQ17)*(AT16-AS16)*0.5/TINV(1-0.95,AQ16+AQ17-1)</f>
        <v>1.9790759483283149</v>
      </c>
      <c r="AS16" t="s">
        <v>153</v>
      </c>
      <c r="AT16" t="s">
        <v>154</v>
      </c>
      <c r="AU16" s="3" t="s">
        <v>690</v>
      </c>
      <c r="AV16">
        <v>180</v>
      </c>
      <c r="AW16">
        <v>35</v>
      </c>
    </row>
    <row r="17" spans="1:49" hidden="1" x14ac:dyDescent="0.2">
      <c r="A17" t="s">
        <v>117</v>
      </c>
      <c r="B17">
        <v>2011</v>
      </c>
      <c r="C17" t="s">
        <v>134</v>
      </c>
      <c r="D17" t="s">
        <v>88</v>
      </c>
      <c r="E17" t="s">
        <v>88</v>
      </c>
      <c r="F17" t="s">
        <v>119</v>
      </c>
      <c r="G17" t="s">
        <v>120</v>
      </c>
      <c r="H17" t="s">
        <v>91</v>
      </c>
      <c r="I17" t="s">
        <v>54</v>
      </c>
      <c r="J17" t="s">
        <v>121</v>
      </c>
      <c r="K17" t="s">
        <v>56</v>
      </c>
      <c r="L17" t="s">
        <v>93</v>
      </c>
      <c r="M17" t="s">
        <v>58</v>
      </c>
      <c r="N17" t="s">
        <v>93</v>
      </c>
      <c r="O17" t="s">
        <v>57</v>
      </c>
      <c r="P17" t="s">
        <v>58</v>
      </c>
      <c r="Q17" t="s">
        <v>57</v>
      </c>
      <c r="R17" t="s">
        <v>135</v>
      </c>
      <c r="S17" t="s">
        <v>136</v>
      </c>
      <c r="T17" t="s">
        <v>137</v>
      </c>
      <c r="U17" t="s">
        <v>138</v>
      </c>
      <c r="X17" t="s">
        <v>139</v>
      </c>
      <c r="AB17" t="s">
        <v>140</v>
      </c>
      <c r="AH17" t="s">
        <v>100</v>
      </c>
      <c r="AJ17" s="3" t="s">
        <v>151</v>
      </c>
      <c r="AK17" s="3" t="s">
        <v>152</v>
      </c>
      <c r="AL17" s="3" t="s">
        <v>101</v>
      </c>
      <c r="AQ17" s="5" t="s">
        <v>141</v>
      </c>
      <c r="AU17" s="3" t="s">
        <v>690</v>
      </c>
      <c r="AV17">
        <v>180</v>
      </c>
      <c r="AW17">
        <v>35</v>
      </c>
    </row>
    <row r="18" spans="1:49" hidden="1" x14ac:dyDescent="0.2">
      <c r="A18" t="s">
        <v>117</v>
      </c>
      <c r="B18">
        <v>2011</v>
      </c>
      <c r="C18" t="s">
        <v>118</v>
      </c>
      <c r="D18" t="s">
        <v>105</v>
      </c>
      <c r="E18" t="s">
        <v>106</v>
      </c>
      <c r="F18" t="s">
        <v>119</v>
      </c>
      <c r="G18" t="s">
        <v>120</v>
      </c>
      <c r="H18" t="s">
        <v>91</v>
      </c>
      <c r="I18" t="s">
        <v>54</v>
      </c>
      <c r="J18" t="s">
        <v>121</v>
      </c>
      <c r="K18" t="s">
        <v>56</v>
      </c>
      <c r="L18" t="s">
        <v>93</v>
      </c>
      <c r="M18" t="s">
        <v>58</v>
      </c>
      <c r="N18" t="s">
        <v>93</v>
      </c>
      <c r="O18" t="s">
        <v>57</v>
      </c>
      <c r="P18" t="s">
        <v>58</v>
      </c>
      <c r="Q18" t="s">
        <v>57</v>
      </c>
      <c r="R18" t="s">
        <v>122</v>
      </c>
      <c r="S18" t="s">
        <v>123</v>
      </c>
      <c r="T18" t="s">
        <v>124</v>
      </c>
      <c r="U18" t="s">
        <v>125</v>
      </c>
      <c r="X18" t="s">
        <v>126</v>
      </c>
      <c r="AB18" t="s">
        <v>127</v>
      </c>
      <c r="AH18" t="s">
        <v>64</v>
      </c>
      <c r="AJ18" s="3" t="s">
        <v>151</v>
      </c>
      <c r="AK18" s="3" t="s">
        <v>152</v>
      </c>
      <c r="AL18" s="3" t="s">
        <v>101</v>
      </c>
      <c r="AP18" s="5" t="s">
        <v>155</v>
      </c>
      <c r="AQ18" s="5" t="s">
        <v>131</v>
      </c>
      <c r="AR18" s="5">
        <f t="shared" ref="AR18" si="5">SQRT(AQ18+AQ19)*(AT18-AS18)*0.5/TINV(1-0.95,AQ18+AQ19-1)</f>
        <v>2.1471106986580772</v>
      </c>
      <c r="AS18" t="s">
        <v>156</v>
      </c>
      <c r="AT18" t="s">
        <v>157</v>
      </c>
      <c r="AU18" s="3" t="s">
        <v>690</v>
      </c>
      <c r="AV18">
        <v>180</v>
      </c>
      <c r="AW18">
        <v>35</v>
      </c>
    </row>
    <row r="19" spans="1:49" hidden="1" x14ac:dyDescent="0.2">
      <c r="A19" t="s">
        <v>117</v>
      </c>
      <c r="B19">
        <v>2011</v>
      </c>
      <c r="C19" t="s">
        <v>134</v>
      </c>
      <c r="D19" t="s">
        <v>88</v>
      </c>
      <c r="E19" t="s">
        <v>88</v>
      </c>
      <c r="F19" t="s">
        <v>119</v>
      </c>
      <c r="G19" t="s">
        <v>120</v>
      </c>
      <c r="H19" t="s">
        <v>91</v>
      </c>
      <c r="I19" t="s">
        <v>54</v>
      </c>
      <c r="J19" t="s">
        <v>121</v>
      </c>
      <c r="K19" t="s">
        <v>56</v>
      </c>
      <c r="L19" t="s">
        <v>93</v>
      </c>
      <c r="M19" t="s">
        <v>58</v>
      </c>
      <c r="N19" t="s">
        <v>93</v>
      </c>
      <c r="O19" t="s">
        <v>57</v>
      </c>
      <c r="P19" t="s">
        <v>58</v>
      </c>
      <c r="Q19" t="s">
        <v>57</v>
      </c>
      <c r="R19" t="s">
        <v>135</v>
      </c>
      <c r="S19" t="s">
        <v>136</v>
      </c>
      <c r="T19" t="s">
        <v>137</v>
      </c>
      <c r="U19" t="s">
        <v>138</v>
      </c>
      <c r="X19" t="s">
        <v>139</v>
      </c>
      <c r="AB19" t="s">
        <v>140</v>
      </c>
      <c r="AH19" t="s">
        <v>100</v>
      </c>
      <c r="AJ19" s="3" t="s">
        <v>151</v>
      </c>
      <c r="AK19" s="3" t="s">
        <v>152</v>
      </c>
      <c r="AL19" s="3" t="s">
        <v>101</v>
      </c>
      <c r="AQ19" s="5" t="s">
        <v>141</v>
      </c>
      <c r="AU19" s="3" t="s">
        <v>690</v>
      </c>
      <c r="AV19">
        <v>180</v>
      </c>
      <c r="AW19">
        <v>35</v>
      </c>
    </row>
    <row r="20" spans="1:49" hidden="1" x14ac:dyDescent="0.2">
      <c r="A20" t="s">
        <v>117</v>
      </c>
      <c r="B20">
        <v>2011</v>
      </c>
      <c r="C20" t="s">
        <v>118</v>
      </c>
      <c r="D20" t="s">
        <v>105</v>
      </c>
      <c r="E20" t="s">
        <v>106</v>
      </c>
      <c r="F20" t="s">
        <v>119</v>
      </c>
      <c r="G20" t="s">
        <v>120</v>
      </c>
      <c r="H20" t="s">
        <v>91</v>
      </c>
      <c r="I20" t="s">
        <v>54</v>
      </c>
      <c r="J20" t="s">
        <v>121</v>
      </c>
      <c r="K20" t="s">
        <v>56</v>
      </c>
      <c r="L20" t="s">
        <v>93</v>
      </c>
      <c r="M20" t="s">
        <v>58</v>
      </c>
      <c r="N20" t="s">
        <v>93</v>
      </c>
      <c r="O20" t="s">
        <v>57</v>
      </c>
      <c r="P20" t="s">
        <v>58</v>
      </c>
      <c r="Q20" t="s">
        <v>57</v>
      </c>
      <c r="R20" t="s">
        <v>122</v>
      </c>
      <c r="S20" t="s">
        <v>123</v>
      </c>
      <c r="T20" t="s">
        <v>124</v>
      </c>
      <c r="U20" t="s">
        <v>125</v>
      </c>
      <c r="X20" t="s">
        <v>126</v>
      </c>
      <c r="AB20" t="s">
        <v>127</v>
      </c>
      <c r="AH20" t="s">
        <v>64</v>
      </c>
      <c r="AJ20" s="3" t="s">
        <v>161</v>
      </c>
      <c r="AK20" s="3" t="s">
        <v>143</v>
      </c>
      <c r="AL20" s="3" t="s">
        <v>101</v>
      </c>
      <c r="AP20" s="5" t="s">
        <v>162</v>
      </c>
      <c r="AQ20" s="5" t="s">
        <v>131</v>
      </c>
      <c r="AR20" s="5">
        <f t="shared" ref="AR20" si="6">SQRT(AQ20+AQ21)*(AT20-AS20)*0.5/TINV(1-0.95,AQ20+AQ21-1)</f>
        <v>2.0164170039571512</v>
      </c>
      <c r="AS20" t="s">
        <v>163</v>
      </c>
      <c r="AT20" t="s">
        <v>164</v>
      </c>
      <c r="AU20" s="3" t="s">
        <v>690</v>
      </c>
      <c r="AV20">
        <v>180</v>
      </c>
      <c r="AW20">
        <v>35</v>
      </c>
    </row>
    <row r="21" spans="1:49" hidden="1" x14ac:dyDescent="0.2">
      <c r="A21" t="s">
        <v>117</v>
      </c>
      <c r="B21">
        <v>2011</v>
      </c>
      <c r="C21" t="s">
        <v>134</v>
      </c>
      <c r="D21" t="s">
        <v>88</v>
      </c>
      <c r="E21" t="s">
        <v>88</v>
      </c>
      <c r="F21" t="s">
        <v>119</v>
      </c>
      <c r="G21" t="s">
        <v>120</v>
      </c>
      <c r="H21" t="s">
        <v>91</v>
      </c>
      <c r="I21" t="s">
        <v>54</v>
      </c>
      <c r="J21" t="s">
        <v>121</v>
      </c>
      <c r="K21" t="s">
        <v>56</v>
      </c>
      <c r="L21" t="s">
        <v>93</v>
      </c>
      <c r="M21" t="s">
        <v>58</v>
      </c>
      <c r="N21" t="s">
        <v>93</v>
      </c>
      <c r="O21" t="s">
        <v>57</v>
      </c>
      <c r="P21" t="s">
        <v>58</v>
      </c>
      <c r="Q21" t="s">
        <v>57</v>
      </c>
      <c r="R21" t="s">
        <v>135</v>
      </c>
      <c r="S21" t="s">
        <v>136</v>
      </c>
      <c r="T21" t="s">
        <v>137</v>
      </c>
      <c r="U21" t="s">
        <v>138</v>
      </c>
      <c r="X21" t="s">
        <v>139</v>
      </c>
      <c r="AB21" t="s">
        <v>140</v>
      </c>
      <c r="AH21" t="s">
        <v>100</v>
      </c>
      <c r="AJ21" s="3" t="s">
        <v>161</v>
      </c>
      <c r="AK21" s="3" t="s">
        <v>143</v>
      </c>
      <c r="AL21" s="3" t="s">
        <v>101</v>
      </c>
      <c r="AQ21" s="5" t="s">
        <v>141</v>
      </c>
      <c r="AU21" s="3" t="s">
        <v>690</v>
      </c>
      <c r="AV21">
        <v>180</v>
      </c>
      <c r="AW21">
        <v>35</v>
      </c>
    </row>
    <row r="22" spans="1:49" hidden="1" x14ac:dyDescent="0.2">
      <c r="A22" t="s">
        <v>117</v>
      </c>
      <c r="B22">
        <v>2011</v>
      </c>
      <c r="C22" t="s">
        <v>118</v>
      </c>
      <c r="D22" t="s">
        <v>105</v>
      </c>
      <c r="E22" t="s">
        <v>106</v>
      </c>
      <c r="F22" t="s">
        <v>119</v>
      </c>
      <c r="G22" t="s">
        <v>120</v>
      </c>
      <c r="H22" t="s">
        <v>91</v>
      </c>
      <c r="I22" t="s">
        <v>54</v>
      </c>
      <c r="J22" t="s">
        <v>121</v>
      </c>
      <c r="K22" t="s">
        <v>56</v>
      </c>
      <c r="L22" t="s">
        <v>93</v>
      </c>
      <c r="M22" t="s">
        <v>58</v>
      </c>
      <c r="N22" t="s">
        <v>93</v>
      </c>
      <c r="O22" t="s">
        <v>57</v>
      </c>
      <c r="P22" t="s">
        <v>58</v>
      </c>
      <c r="Q22" t="s">
        <v>57</v>
      </c>
      <c r="R22" t="s">
        <v>122</v>
      </c>
      <c r="S22" t="s">
        <v>123</v>
      </c>
      <c r="T22" t="s">
        <v>124</v>
      </c>
      <c r="U22" t="s">
        <v>125</v>
      </c>
      <c r="X22" t="s">
        <v>126</v>
      </c>
      <c r="AB22" t="s">
        <v>127</v>
      </c>
      <c r="AH22" t="s">
        <v>64</v>
      </c>
      <c r="AJ22" s="3" t="s">
        <v>168</v>
      </c>
      <c r="AK22" s="3" t="s">
        <v>169</v>
      </c>
      <c r="AL22" s="3" t="s">
        <v>101</v>
      </c>
      <c r="AP22" s="5" t="s">
        <v>170</v>
      </c>
      <c r="AQ22" s="5" t="s">
        <v>131</v>
      </c>
      <c r="AR22" s="5">
        <f>SQRT(AQ22+AQ23)*(AT22-AS22)*0.5/TINV(1-0.95,AQ22+AQ23-1)</f>
        <v>4.3315624529449908</v>
      </c>
      <c r="AS22" t="s">
        <v>171</v>
      </c>
      <c r="AT22" t="s">
        <v>172</v>
      </c>
      <c r="AU22" s="3" t="s">
        <v>690</v>
      </c>
      <c r="AV22">
        <v>180</v>
      </c>
      <c r="AW22">
        <v>35</v>
      </c>
    </row>
    <row r="23" spans="1:49" hidden="1" x14ac:dyDescent="0.2">
      <c r="A23" t="s">
        <v>117</v>
      </c>
      <c r="B23">
        <v>2011</v>
      </c>
      <c r="C23" t="s">
        <v>134</v>
      </c>
      <c r="D23" t="s">
        <v>88</v>
      </c>
      <c r="E23" t="s">
        <v>88</v>
      </c>
      <c r="F23" t="s">
        <v>119</v>
      </c>
      <c r="G23" t="s">
        <v>120</v>
      </c>
      <c r="H23" t="s">
        <v>91</v>
      </c>
      <c r="I23" t="s">
        <v>54</v>
      </c>
      <c r="J23" t="s">
        <v>121</v>
      </c>
      <c r="K23" t="s">
        <v>56</v>
      </c>
      <c r="L23" t="s">
        <v>93</v>
      </c>
      <c r="M23" t="s">
        <v>58</v>
      </c>
      <c r="N23" t="s">
        <v>93</v>
      </c>
      <c r="O23" t="s">
        <v>57</v>
      </c>
      <c r="P23" t="s">
        <v>58</v>
      </c>
      <c r="Q23" t="s">
        <v>57</v>
      </c>
      <c r="R23" t="s">
        <v>135</v>
      </c>
      <c r="S23" t="s">
        <v>136</v>
      </c>
      <c r="T23" t="s">
        <v>137</v>
      </c>
      <c r="U23" t="s">
        <v>138</v>
      </c>
      <c r="X23" t="s">
        <v>139</v>
      </c>
      <c r="AB23" t="s">
        <v>140</v>
      </c>
      <c r="AH23" t="s">
        <v>100</v>
      </c>
      <c r="AJ23" s="3" t="s">
        <v>168</v>
      </c>
      <c r="AK23" s="3" t="s">
        <v>169</v>
      </c>
      <c r="AL23" s="3" t="s">
        <v>101</v>
      </c>
      <c r="AQ23" s="5" t="s">
        <v>141</v>
      </c>
      <c r="AU23" s="3" t="s">
        <v>690</v>
      </c>
      <c r="AV23">
        <v>180</v>
      </c>
      <c r="AW23">
        <v>35</v>
      </c>
    </row>
    <row r="24" spans="1:49" hidden="1" x14ac:dyDescent="0.2">
      <c r="A24" t="s">
        <v>173</v>
      </c>
      <c r="B24">
        <v>2012</v>
      </c>
      <c r="C24" t="s">
        <v>174</v>
      </c>
      <c r="D24" t="s">
        <v>88</v>
      </c>
      <c r="E24" t="s">
        <v>88</v>
      </c>
      <c r="F24" t="s">
        <v>175</v>
      </c>
      <c r="G24" t="s">
        <v>176</v>
      </c>
      <c r="H24" t="s">
        <v>53</v>
      </c>
      <c r="I24" t="s">
        <v>54</v>
      </c>
      <c r="J24" t="s">
        <v>92</v>
      </c>
      <c r="K24" t="s">
        <v>177</v>
      </c>
      <c r="L24" t="s">
        <v>58</v>
      </c>
      <c r="M24" t="s">
        <v>58</v>
      </c>
      <c r="N24" t="s">
        <v>93</v>
      </c>
      <c r="O24" t="s">
        <v>58</v>
      </c>
      <c r="P24" t="s">
        <v>58</v>
      </c>
      <c r="Q24" t="s">
        <v>58</v>
      </c>
      <c r="S24" t="s">
        <v>184</v>
      </c>
      <c r="X24" t="s">
        <v>185</v>
      </c>
      <c r="AB24" t="s">
        <v>186</v>
      </c>
      <c r="AH24" t="s">
        <v>187</v>
      </c>
      <c r="AJ24" s="3" t="s">
        <v>188</v>
      </c>
      <c r="AK24" s="3" t="s">
        <v>178</v>
      </c>
      <c r="AL24" s="3" t="s">
        <v>67</v>
      </c>
      <c r="AM24" s="4" t="s">
        <v>179</v>
      </c>
      <c r="AN24" s="4" t="s">
        <v>180</v>
      </c>
      <c r="AO24" s="4" t="s">
        <v>181</v>
      </c>
      <c r="AP24" s="5" t="s">
        <v>182</v>
      </c>
      <c r="AQ24" s="5" t="s">
        <v>180</v>
      </c>
      <c r="AR24" s="5" t="s">
        <v>183</v>
      </c>
      <c r="AU24" s="3" t="s">
        <v>189</v>
      </c>
      <c r="AV24">
        <v>365</v>
      </c>
      <c r="AW24">
        <v>365</v>
      </c>
    </row>
    <row r="25" spans="1:49" hidden="1" x14ac:dyDescent="0.2">
      <c r="A25" t="s">
        <v>173</v>
      </c>
      <c r="B25">
        <v>2012</v>
      </c>
      <c r="C25" t="s">
        <v>190</v>
      </c>
      <c r="D25" t="s">
        <v>191</v>
      </c>
      <c r="E25" t="s">
        <v>192</v>
      </c>
      <c r="F25" t="s">
        <v>175</v>
      </c>
      <c r="G25" t="s">
        <v>176</v>
      </c>
      <c r="H25" t="s">
        <v>53</v>
      </c>
      <c r="I25" t="s">
        <v>54</v>
      </c>
      <c r="J25" t="s">
        <v>92</v>
      </c>
      <c r="K25" t="s">
        <v>177</v>
      </c>
      <c r="L25" t="s">
        <v>58</v>
      </c>
      <c r="M25" t="s">
        <v>58</v>
      </c>
      <c r="N25" t="s">
        <v>93</v>
      </c>
      <c r="O25" t="s">
        <v>58</v>
      </c>
      <c r="P25" t="s">
        <v>58</v>
      </c>
      <c r="Q25" t="s">
        <v>58</v>
      </c>
      <c r="S25" t="s">
        <v>197</v>
      </c>
      <c r="X25" t="s">
        <v>198</v>
      </c>
      <c r="AB25" t="s">
        <v>199</v>
      </c>
      <c r="AH25" t="s">
        <v>200</v>
      </c>
      <c r="AJ25" s="3" t="s">
        <v>188</v>
      </c>
      <c r="AK25" s="3" t="s">
        <v>178</v>
      </c>
      <c r="AL25" s="3" t="s">
        <v>67</v>
      </c>
      <c r="AM25" s="4" t="s">
        <v>193</v>
      </c>
      <c r="AN25" s="4" t="s">
        <v>180</v>
      </c>
      <c r="AO25" s="4" t="s">
        <v>194</v>
      </c>
      <c r="AP25" s="5" t="s">
        <v>195</v>
      </c>
      <c r="AQ25" s="5" t="s">
        <v>180</v>
      </c>
      <c r="AR25" s="5" t="s">
        <v>196</v>
      </c>
      <c r="AU25" s="3" t="s">
        <v>189</v>
      </c>
      <c r="AV25">
        <v>365</v>
      </c>
      <c r="AW25">
        <v>365</v>
      </c>
    </row>
    <row r="26" spans="1:49" hidden="1" x14ac:dyDescent="0.2">
      <c r="A26" t="s">
        <v>201</v>
      </c>
      <c r="B26">
        <v>2015</v>
      </c>
      <c r="C26" t="s">
        <v>202</v>
      </c>
      <c r="D26" t="s">
        <v>49</v>
      </c>
      <c r="E26" t="s">
        <v>75</v>
      </c>
      <c r="F26" t="s">
        <v>51</v>
      </c>
      <c r="G26" t="s">
        <v>203</v>
      </c>
      <c r="H26" t="s">
        <v>53</v>
      </c>
      <c r="I26" t="s">
        <v>54</v>
      </c>
      <c r="J26" t="s">
        <v>92</v>
      </c>
      <c r="K26" t="s">
        <v>56</v>
      </c>
      <c r="L26" t="s">
        <v>58</v>
      </c>
      <c r="M26" t="s">
        <v>57</v>
      </c>
      <c r="N26" t="s">
        <v>57</v>
      </c>
      <c r="O26" t="s">
        <v>57</v>
      </c>
      <c r="P26" t="s">
        <v>58</v>
      </c>
      <c r="Q26" t="s">
        <v>57</v>
      </c>
      <c r="R26" t="s">
        <v>204</v>
      </c>
      <c r="T26" t="s">
        <v>205</v>
      </c>
      <c r="U26" t="s">
        <v>206</v>
      </c>
      <c r="X26" t="s">
        <v>207</v>
      </c>
      <c r="AB26" t="s">
        <v>208</v>
      </c>
      <c r="AH26" t="s">
        <v>209</v>
      </c>
      <c r="AJ26" s="3" t="s">
        <v>65</v>
      </c>
      <c r="AK26" s="3" t="s">
        <v>66</v>
      </c>
      <c r="AL26" s="3" t="s">
        <v>67</v>
      </c>
      <c r="AM26" s="4" t="s">
        <v>210</v>
      </c>
      <c r="AN26" s="4" t="s">
        <v>211</v>
      </c>
      <c r="AO26" s="4" t="s">
        <v>212</v>
      </c>
      <c r="AP26" s="5" t="s">
        <v>213</v>
      </c>
      <c r="AQ26" s="5" t="s">
        <v>211</v>
      </c>
      <c r="AR26" s="5" t="s">
        <v>214</v>
      </c>
      <c r="AU26" s="3" t="s">
        <v>680</v>
      </c>
      <c r="AV26">
        <v>98</v>
      </c>
      <c r="AW26">
        <v>98</v>
      </c>
    </row>
    <row r="27" spans="1:49" hidden="1" x14ac:dyDescent="0.2">
      <c r="A27" t="s">
        <v>201</v>
      </c>
      <c r="B27">
        <v>2015</v>
      </c>
      <c r="C27" t="s">
        <v>215</v>
      </c>
      <c r="D27" t="s">
        <v>49</v>
      </c>
      <c r="E27" t="s">
        <v>50</v>
      </c>
      <c r="F27" t="s">
        <v>51</v>
      </c>
      <c r="G27" t="s">
        <v>203</v>
      </c>
      <c r="H27" t="s">
        <v>53</v>
      </c>
      <c r="I27" t="s">
        <v>54</v>
      </c>
      <c r="J27" t="s">
        <v>92</v>
      </c>
      <c r="K27" t="s">
        <v>56</v>
      </c>
      <c r="L27" t="s">
        <v>58</v>
      </c>
      <c r="M27" t="s">
        <v>57</v>
      </c>
      <c r="N27" t="s">
        <v>57</v>
      </c>
      <c r="O27" t="s">
        <v>57</v>
      </c>
      <c r="P27" t="s">
        <v>58</v>
      </c>
      <c r="Q27" t="s">
        <v>57</v>
      </c>
      <c r="R27" t="s">
        <v>216</v>
      </c>
      <c r="T27" t="s">
        <v>217</v>
      </c>
      <c r="U27" t="s">
        <v>218</v>
      </c>
      <c r="X27" t="s">
        <v>219</v>
      </c>
      <c r="AB27" t="s">
        <v>220</v>
      </c>
      <c r="AH27" t="s">
        <v>209</v>
      </c>
      <c r="AJ27" s="3" t="s">
        <v>65</v>
      </c>
      <c r="AK27" s="3" t="s">
        <v>66</v>
      </c>
      <c r="AL27" s="3" t="s">
        <v>67</v>
      </c>
      <c r="AM27" s="4" t="s">
        <v>221</v>
      </c>
      <c r="AN27" s="4" t="s">
        <v>222</v>
      </c>
      <c r="AO27" s="4" t="s">
        <v>223</v>
      </c>
      <c r="AP27" s="5" t="s">
        <v>224</v>
      </c>
      <c r="AQ27" s="5" t="s">
        <v>222</v>
      </c>
      <c r="AR27" s="5" t="s">
        <v>225</v>
      </c>
      <c r="AU27" s="3" t="s">
        <v>680</v>
      </c>
      <c r="AV27">
        <v>98</v>
      </c>
      <c r="AW27">
        <v>98</v>
      </c>
    </row>
    <row r="28" spans="1:49" hidden="1" x14ac:dyDescent="0.2">
      <c r="A28" t="s">
        <v>226</v>
      </c>
      <c r="B28">
        <v>2017</v>
      </c>
      <c r="C28" t="s">
        <v>227</v>
      </c>
      <c r="D28" t="s">
        <v>105</v>
      </c>
      <c r="E28" t="s">
        <v>106</v>
      </c>
      <c r="F28" t="s">
        <v>175</v>
      </c>
      <c r="G28" t="s">
        <v>228</v>
      </c>
      <c r="H28" t="s">
        <v>91</v>
      </c>
      <c r="I28" t="s">
        <v>54</v>
      </c>
      <c r="J28" t="s">
        <v>121</v>
      </c>
      <c r="K28" t="s">
        <v>56</v>
      </c>
      <c r="L28" t="s">
        <v>58</v>
      </c>
      <c r="M28" t="s">
        <v>58</v>
      </c>
      <c r="N28" t="s">
        <v>93</v>
      </c>
      <c r="O28" t="s">
        <v>58</v>
      </c>
      <c r="P28" t="s">
        <v>58</v>
      </c>
      <c r="Q28" t="s">
        <v>58</v>
      </c>
      <c r="T28" t="s">
        <v>229</v>
      </c>
      <c r="U28" t="s">
        <v>230</v>
      </c>
      <c r="V28" t="s">
        <v>231</v>
      </c>
      <c r="X28" t="s">
        <v>232</v>
      </c>
      <c r="AB28" t="s">
        <v>233</v>
      </c>
      <c r="AH28" t="s">
        <v>64</v>
      </c>
      <c r="AJ28" s="3" t="s">
        <v>65</v>
      </c>
      <c r="AK28" s="3" t="s">
        <v>459</v>
      </c>
      <c r="AL28" s="3" t="s">
        <v>67</v>
      </c>
      <c r="AO28" s="4" t="s">
        <v>235</v>
      </c>
      <c r="AP28" s="5" t="s">
        <v>236</v>
      </c>
      <c r="AR28" s="5" t="s">
        <v>237</v>
      </c>
      <c r="AU28" s="3" t="s">
        <v>238</v>
      </c>
      <c r="AV28">
        <v>90</v>
      </c>
      <c r="AW28">
        <v>90</v>
      </c>
    </row>
    <row r="29" spans="1:49" hidden="1" x14ac:dyDescent="0.2">
      <c r="A29" t="s">
        <v>226</v>
      </c>
      <c r="B29">
        <v>2017</v>
      </c>
      <c r="C29" t="s">
        <v>239</v>
      </c>
      <c r="D29" t="s">
        <v>88</v>
      </c>
      <c r="E29" t="s">
        <v>88</v>
      </c>
      <c r="F29" t="s">
        <v>175</v>
      </c>
      <c r="G29" t="s">
        <v>228</v>
      </c>
      <c r="H29" t="s">
        <v>91</v>
      </c>
      <c r="I29" t="s">
        <v>54</v>
      </c>
      <c r="J29" t="s">
        <v>121</v>
      </c>
      <c r="K29" t="s">
        <v>56</v>
      </c>
      <c r="L29" t="s">
        <v>58</v>
      </c>
      <c r="M29" t="s">
        <v>58</v>
      </c>
      <c r="N29" t="s">
        <v>93</v>
      </c>
      <c r="O29" t="s">
        <v>58</v>
      </c>
      <c r="P29" t="s">
        <v>58</v>
      </c>
      <c r="Q29" t="s">
        <v>58</v>
      </c>
      <c r="T29" t="s">
        <v>240</v>
      </c>
      <c r="U29" t="s">
        <v>241</v>
      </c>
      <c r="V29" t="s">
        <v>242</v>
      </c>
      <c r="X29" t="s">
        <v>243</v>
      </c>
      <c r="AB29" t="s">
        <v>244</v>
      </c>
      <c r="AH29" t="s">
        <v>245</v>
      </c>
      <c r="AJ29" s="3" t="s">
        <v>65</v>
      </c>
      <c r="AK29" s="3" t="s">
        <v>459</v>
      </c>
      <c r="AL29" s="3" t="s">
        <v>67</v>
      </c>
      <c r="AO29" s="4" t="s">
        <v>246</v>
      </c>
      <c r="AP29" s="5" t="s">
        <v>247</v>
      </c>
      <c r="AR29" s="5" t="s">
        <v>248</v>
      </c>
      <c r="AU29" s="3" t="s">
        <v>238</v>
      </c>
      <c r="AV29">
        <v>90</v>
      </c>
      <c r="AW29">
        <v>90</v>
      </c>
    </row>
    <row r="30" spans="1:49" hidden="1" x14ac:dyDescent="0.2">
      <c r="A30" t="s">
        <v>226</v>
      </c>
      <c r="B30">
        <v>2017</v>
      </c>
      <c r="C30" t="s">
        <v>227</v>
      </c>
      <c r="D30" t="s">
        <v>105</v>
      </c>
      <c r="E30" t="s">
        <v>106</v>
      </c>
      <c r="F30" t="s">
        <v>175</v>
      </c>
      <c r="G30" t="s">
        <v>228</v>
      </c>
      <c r="H30" t="s">
        <v>91</v>
      </c>
      <c r="I30" t="s">
        <v>54</v>
      </c>
      <c r="J30" t="s">
        <v>121</v>
      </c>
      <c r="K30" t="s">
        <v>56</v>
      </c>
      <c r="L30" t="s">
        <v>58</v>
      </c>
      <c r="M30" t="s">
        <v>58</v>
      </c>
      <c r="N30" t="s">
        <v>93</v>
      </c>
      <c r="O30" t="s">
        <v>58</v>
      </c>
      <c r="P30" t="s">
        <v>58</v>
      </c>
      <c r="Q30" t="s">
        <v>58</v>
      </c>
      <c r="T30" t="s">
        <v>229</v>
      </c>
      <c r="U30" t="s">
        <v>230</v>
      </c>
      <c r="V30" t="s">
        <v>231</v>
      </c>
      <c r="X30" t="s">
        <v>232</v>
      </c>
      <c r="AB30" t="s">
        <v>233</v>
      </c>
      <c r="AH30" t="s">
        <v>64</v>
      </c>
      <c r="AJ30" s="3" t="s">
        <v>249</v>
      </c>
      <c r="AK30" s="3" t="s">
        <v>143</v>
      </c>
      <c r="AL30" s="3" t="s">
        <v>67</v>
      </c>
      <c r="AO30" s="4" t="s">
        <v>250</v>
      </c>
      <c r="AP30" s="5" t="s">
        <v>251</v>
      </c>
      <c r="AR30" s="5" t="s">
        <v>252</v>
      </c>
      <c r="AU30" s="3" t="s">
        <v>238</v>
      </c>
      <c r="AV30">
        <v>90</v>
      </c>
      <c r="AW30">
        <v>90</v>
      </c>
    </row>
    <row r="31" spans="1:49" hidden="1" x14ac:dyDescent="0.2">
      <c r="A31" t="s">
        <v>226</v>
      </c>
      <c r="B31">
        <v>2017</v>
      </c>
      <c r="C31" t="s">
        <v>239</v>
      </c>
      <c r="D31" t="s">
        <v>88</v>
      </c>
      <c r="E31" t="s">
        <v>88</v>
      </c>
      <c r="F31" t="s">
        <v>175</v>
      </c>
      <c r="G31" t="s">
        <v>228</v>
      </c>
      <c r="H31" t="s">
        <v>91</v>
      </c>
      <c r="I31" t="s">
        <v>54</v>
      </c>
      <c r="J31" t="s">
        <v>121</v>
      </c>
      <c r="K31" t="s">
        <v>56</v>
      </c>
      <c r="L31" t="s">
        <v>58</v>
      </c>
      <c r="M31" t="s">
        <v>58</v>
      </c>
      <c r="N31" t="s">
        <v>93</v>
      </c>
      <c r="O31" t="s">
        <v>58</v>
      </c>
      <c r="P31" t="s">
        <v>58</v>
      </c>
      <c r="Q31" t="s">
        <v>58</v>
      </c>
      <c r="T31" t="s">
        <v>240</v>
      </c>
      <c r="U31" t="s">
        <v>241</v>
      </c>
      <c r="V31" t="s">
        <v>242</v>
      </c>
      <c r="X31" t="s">
        <v>243</v>
      </c>
      <c r="AB31" t="s">
        <v>244</v>
      </c>
      <c r="AH31" t="s">
        <v>245</v>
      </c>
      <c r="AJ31" s="3" t="s">
        <v>249</v>
      </c>
      <c r="AK31" s="3" t="s">
        <v>143</v>
      </c>
      <c r="AL31" s="3" t="s">
        <v>67</v>
      </c>
      <c r="AO31" s="4" t="s">
        <v>253</v>
      </c>
      <c r="AP31" s="5" t="s">
        <v>254</v>
      </c>
      <c r="AR31" s="5" t="s">
        <v>255</v>
      </c>
      <c r="AU31" s="3" t="s">
        <v>238</v>
      </c>
      <c r="AV31">
        <v>90</v>
      </c>
      <c r="AW31">
        <v>90</v>
      </c>
    </row>
    <row r="32" spans="1:49" hidden="1" x14ac:dyDescent="0.2">
      <c r="A32" t="s">
        <v>256</v>
      </c>
      <c r="B32">
        <v>2017</v>
      </c>
      <c r="C32" t="s">
        <v>257</v>
      </c>
      <c r="D32" t="s">
        <v>49</v>
      </c>
      <c r="E32" t="s">
        <v>75</v>
      </c>
      <c r="F32" t="s">
        <v>258</v>
      </c>
      <c r="G32" t="s">
        <v>259</v>
      </c>
      <c r="H32" t="s">
        <v>91</v>
      </c>
      <c r="I32" t="s">
        <v>54</v>
      </c>
      <c r="J32" t="s">
        <v>260</v>
      </c>
      <c r="K32" t="s">
        <v>56</v>
      </c>
      <c r="L32" t="s">
        <v>58</v>
      </c>
      <c r="M32" t="s">
        <v>57</v>
      </c>
      <c r="N32" t="s">
        <v>57</v>
      </c>
      <c r="O32" t="s">
        <v>57</v>
      </c>
      <c r="P32" t="s">
        <v>58</v>
      </c>
      <c r="Q32" t="s">
        <v>57</v>
      </c>
      <c r="S32" t="s">
        <v>261</v>
      </c>
      <c r="T32" t="s">
        <v>262</v>
      </c>
      <c r="U32" t="s">
        <v>263</v>
      </c>
      <c r="X32" t="s">
        <v>264</v>
      </c>
      <c r="AB32" t="s">
        <v>265</v>
      </c>
      <c r="AH32" t="s">
        <v>64</v>
      </c>
      <c r="AJ32" s="3" t="s">
        <v>65</v>
      </c>
      <c r="AK32" s="3" t="s">
        <v>66</v>
      </c>
      <c r="AL32" s="3" t="s">
        <v>67</v>
      </c>
      <c r="AM32" s="4" t="s">
        <v>266</v>
      </c>
      <c r="AN32" s="4" t="s">
        <v>222</v>
      </c>
      <c r="AO32" s="4" t="s">
        <v>267</v>
      </c>
      <c r="AP32" s="5" t="s">
        <v>268</v>
      </c>
      <c r="AQ32" s="5" t="s">
        <v>222</v>
      </c>
      <c r="AR32" s="5" t="s">
        <v>269</v>
      </c>
      <c r="AU32" s="3" t="s">
        <v>270</v>
      </c>
      <c r="AV32">
        <v>49</v>
      </c>
      <c r="AW32">
        <v>49</v>
      </c>
    </row>
    <row r="33" spans="1:49" hidden="1" x14ac:dyDescent="0.2">
      <c r="A33" t="s">
        <v>256</v>
      </c>
      <c r="B33">
        <v>2017</v>
      </c>
      <c r="C33" t="s">
        <v>87</v>
      </c>
      <c r="D33" t="s">
        <v>88</v>
      </c>
      <c r="E33" t="s">
        <v>88</v>
      </c>
      <c r="F33" t="s">
        <v>258</v>
      </c>
      <c r="G33" t="s">
        <v>259</v>
      </c>
      <c r="H33" t="s">
        <v>91</v>
      </c>
      <c r="I33" t="s">
        <v>54</v>
      </c>
      <c r="J33" t="s">
        <v>260</v>
      </c>
      <c r="K33" t="s">
        <v>56</v>
      </c>
      <c r="L33" t="s">
        <v>58</v>
      </c>
      <c r="M33" t="s">
        <v>57</v>
      </c>
      <c r="N33" t="s">
        <v>57</v>
      </c>
      <c r="O33" t="s">
        <v>57</v>
      </c>
      <c r="P33" t="s">
        <v>58</v>
      </c>
      <c r="Q33" t="s">
        <v>57</v>
      </c>
      <c r="S33" t="s">
        <v>68</v>
      </c>
      <c r="T33" t="s">
        <v>271</v>
      </c>
      <c r="U33" t="s">
        <v>272</v>
      </c>
      <c r="X33" t="s">
        <v>87</v>
      </c>
      <c r="AB33" t="s">
        <v>273</v>
      </c>
      <c r="AH33" t="s">
        <v>273</v>
      </c>
      <c r="AJ33" s="3" t="s">
        <v>65</v>
      </c>
      <c r="AK33" s="3" t="s">
        <v>66</v>
      </c>
      <c r="AL33" s="3" t="s">
        <v>67</v>
      </c>
      <c r="AM33" s="4" t="s">
        <v>274</v>
      </c>
      <c r="AN33" s="4" t="s">
        <v>222</v>
      </c>
      <c r="AO33" s="4" t="s">
        <v>275</v>
      </c>
      <c r="AP33" s="5" t="s">
        <v>123</v>
      </c>
      <c r="AQ33" s="5" t="s">
        <v>222</v>
      </c>
      <c r="AR33" s="5" t="s">
        <v>276</v>
      </c>
      <c r="AU33" s="3" t="s">
        <v>270</v>
      </c>
      <c r="AV33">
        <v>49</v>
      </c>
      <c r="AW33">
        <v>49</v>
      </c>
    </row>
    <row r="34" spans="1:49" hidden="1" x14ac:dyDescent="0.2">
      <c r="A34" t="s">
        <v>277</v>
      </c>
      <c r="B34">
        <v>2017</v>
      </c>
      <c r="C34" t="s">
        <v>278</v>
      </c>
      <c r="D34" t="s">
        <v>49</v>
      </c>
      <c r="E34" t="s">
        <v>50</v>
      </c>
      <c r="F34" t="s">
        <v>279</v>
      </c>
      <c r="G34" t="s">
        <v>280</v>
      </c>
      <c r="H34" t="s">
        <v>53</v>
      </c>
      <c r="I34" t="s">
        <v>54</v>
      </c>
      <c r="J34" t="s">
        <v>260</v>
      </c>
      <c r="K34" t="s">
        <v>56</v>
      </c>
      <c r="L34" t="s">
        <v>58</v>
      </c>
      <c r="M34" t="s">
        <v>57</v>
      </c>
      <c r="N34" t="s">
        <v>57</v>
      </c>
      <c r="O34" t="s">
        <v>57</v>
      </c>
      <c r="P34" t="s">
        <v>57</v>
      </c>
      <c r="Q34" t="s">
        <v>57</v>
      </c>
      <c r="X34" t="s">
        <v>281</v>
      </c>
      <c r="AB34" t="s">
        <v>282</v>
      </c>
      <c r="AH34" t="s">
        <v>283</v>
      </c>
      <c r="AJ34" s="3" t="s">
        <v>65</v>
      </c>
      <c r="AK34" s="3" t="s">
        <v>677</v>
      </c>
      <c r="AL34" s="3" t="s">
        <v>284</v>
      </c>
      <c r="AM34" s="4" t="s">
        <v>285</v>
      </c>
      <c r="AO34" s="4" t="s">
        <v>286</v>
      </c>
      <c r="AP34" s="5" t="s">
        <v>287</v>
      </c>
      <c r="AR34" s="5" t="s">
        <v>288</v>
      </c>
      <c r="AU34" s="3" t="s">
        <v>681</v>
      </c>
      <c r="AV34">
        <v>35</v>
      </c>
      <c r="AW34">
        <v>35</v>
      </c>
    </row>
    <row r="35" spans="1:49" hidden="1" x14ac:dyDescent="0.2">
      <c r="A35" t="s">
        <v>277</v>
      </c>
      <c r="B35">
        <v>2017</v>
      </c>
      <c r="C35" t="s">
        <v>289</v>
      </c>
      <c r="D35" t="s">
        <v>88</v>
      </c>
      <c r="E35" t="s">
        <v>88</v>
      </c>
      <c r="F35" t="s">
        <v>279</v>
      </c>
      <c r="G35" t="s">
        <v>280</v>
      </c>
      <c r="H35" t="s">
        <v>53</v>
      </c>
      <c r="I35" t="s">
        <v>54</v>
      </c>
      <c r="J35" t="s">
        <v>260</v>
      </c>
      <c r="K35" t="s">
        <v>56</v>
      </c>
      <c r="L35" t="s">
        <v>58</v>
      </c>
      <c r="M35" t="s">
        <v>57</v>
      </c>
      <c r="N35" t="s">
        <v>57</v>
      </c>
      <c r="O35" t="s">
        <v>57</v>
      </c>
      <c r="P35" t="s">
        <v>57</v>
      </c>
      <c r="Q35" t="s">
        <v>57</v>
      </c>
      <c r="X35" t="s">
        <v>87</v>
      </c>
      <c r="AB35" t="s">
        <v>290</v>
      </c>
      <c r="AH35" t="s">
        <v>100</v>
      </c>
      <c r="AJ35" s="3" t="s">
        <v>65</v>
      </c>
      <c r="AK35" s="3" t="s">
        <v>677</v>
      </c>
      <c r="AL35" s="3" t="s">
        <v>284</v>
      </c>
      <c r="AM35" s="4" t="s">
        <v>291</v>
      </c>
      <c r="AO35" s="4" t="s">
        <v>292</v>
      </c>
      <c r="AP35" s="5" t="s">
        <v>293</v>
      </c>
      <c r="AR35" s="5" t="s">
        <v>294</v>
      </c>
      <c r="AU35" s="3" t="s">
        <v>681</v>
      </c>
      <c r="AV35">
        <v>35</v>
      </c>
      <c r="AW35">
        <v>35</v>
      </c>
    </row>
    <row r="36" spans="1:49" hidden="1" x14ac:dyDescent="0.2">
      <c r="A36" t="s">
        <v>277</v>
      </c>
      <c r="B36">
        <v>2017</v>
      </c>
      <c r="C36" t="s">
        <v>295</v>
      </c>
      <c r="D36" t="s">
        <v>49</v>
      </c>
      <c r="E36" t="s">
        <v>50</v>
      </c>
      <c r="F36" t="s">
        <v>279</v>
      </c>
      <c r="G36" t="s">
        <v>280</v>
      </c>
      <c r="H36" t="s">
        <v>53</v>
      </c>
      <c r="I36" t="s">
        <v>54</v>
      </c>
      <c r="J36" t="s">
        <v>260</v>
      </c>
      <c r="K36" t="s">
        <v>56</v>
      </c>
      <c r="L36" t="s">
        <v>58</v>
      </c>
      <c r="M36" t="s">
        <v>57</v>
      </c>
      <c r="N36" t="s">
        <v>57</v>
      </c>
      <c r="O36" t="s">
        <v>57</v>
      </c>
      <c r="P36" t="s">
        <v>57</v>
      </c>
      <c r="Q36" t="s">
        <v>57</v>
      </c>
      <c r="X36" t="s">
        <v>296</v>
      </c>
      <c r="AB36" t="s">
        <v>297</v>
      </c>
      <c r="AH36" t="s">
        <v>283</v>
      </c>
      <c r="AJ36" s="3" t="s">
        <v>65</v>
      </c>
      <c r="AK36" s="3" t="s">
        <v>677</v>
      </c>
      <c r="AL36" s="3" t="s">
        <v>284</v>
      </c>
      <c r="AM36" s="4" t="s">
        <v>298</v>
      </c>
      <c r="AO36" s="4" t="s">
        <v>299</v>
      </c>
      <c r="AP36" s="5" t="s">
        <v>300</v>
      </c>
      <c r="AR36" s="5" t="s">
        <v>301</v>
      </c>
      <c r="AU36" s="3" t="s">
        <v>681</v>
      </c>
      <c r="AV36">
        <v>35</v>
      </c>
      <c r="AW36">
        <v>35</v>
      </c>
    </row>
    <row r="37" spans="1:49" hidden="1" x14ac:dyDescent="0.2">
      <c r="A37" t="s">
        <v>277</v>
      </c>
      <c r="B37">
        <v>2017</v>
      </c>
      <c r="C37" t="s">
        <v>278</v>
      </c>
      <c r="D37" t="s">
        <v>49</v>
      </c>
      <c r="E37" t="s">
        <v>50</v>
      </c>
      <c r="F37" t="s">
        <v>279</v>
      </c>
      <c r="G37" t="s">
        <v>280</v>
      </c>
      <c r="H37" t="s">
        <v>53</v>
      </c>
      <c r="I37" t="s">
        <v>54</v>
      </c>
      <c r="J37" t="s">
        <v>260</v>
      </c>
      <c r="K37" t="s">
        <v>56</v>
      </c>
      <c r="L37" t="s">
        <v>58</v>
      </c>
      <c r="M37" t="s">
        <v>57</v>
      </c>
      <c r="N37" t="s">
        <v>57</v>
      </c>
      <c r="O37" t="s">
        <v>57</v>
      </c>
      <c r="P37" t="s">
        <v>57</v>
      </c>
      <c r="Q37" t="s">
        <v>57</v>
      </c>
      <c r="X37" t="s">
        <v>281</v>
      </c>
      <c r="AB37" t="s">
        <v>282</v>
      </c>
      <c r="AH37" t="s">
        <v>283</v>
      </c>
      <c r="AJ37" s="3" t="s">
        <v>65</v>
      </c>
      <c r="AK37" s="3" t="s">
        <v>677</v>
      </c>
      <c r="AL37" s="3" t="s">
        <v>302</v>
      </c>
      <c r="AM37" s="4" t="s">
        <v>285</v>
      </c>
      <c r="AO37" s="4" t="s">
        <v>286</v>
      </c>
      <c r="AP37" s="5" t="s">
        <v>287</v>
      </c>
      <c r="AR37" s="5" t="s">
        <v>288</v>
      </c>
      <c r="AU37" s="3" t="s">
        <v>681</v>
      </c>
      <c r="AV37">
        <v>35</v>
      </c>
      <c r="AW37">
        <v>35</v>
      </c>
    </row>
    <row r="38" spans="1:49" hidden="1" x14ac:dyDescent="0.2">
      <c r="A38" t="s">
        <v>277</v>
      </c>
      <c r="B38">
        <v>2017</v>
      </c>
      <c r="C38" t="s">
        <v>289</v>
      </c>
      <c r="D38" t="s">
        <v>88</v>
      </c>
      <c r="E38" t="s">
        <v>88</v>
      </c>
      <c r="F38" t="s">
        <v>279</v>
      </c>
      <c r="G38" t="s">
        <v>280</v>
      </c>
      <c r="H38" t="s">
        <v>53</v>
      </c>
      <c r="I38" t="s">
        <v>54</v>
      </c>
      <c r="J38" t="s">
        <v>260</v>
      </c>
      <c r="K38" t="s">
        <v>56</v>
      </c>
      <c r="L38" t="s">
        <v>58</v>
      </c>
      <c r="M38" t="s">
        <v>57</v>
      </c>
      <c r="N38" t="s">
        <v>57</v>
      </c>
      <c r="O38" t="s">
        <v>57</v>
      </c>
      <c r="P38" t="s">
        <v>57</v>
      </c>
      <c r="Q38" t="s">
        <v>57</v>
      </c>
      <c r="X38" t="s">
        <v>87</v>
      </c>
      <c r="AB38" t="s">
        <v>290</v>
      </c>
      <c r="AH38" t="s">
        <v>100</v>
      </c>
      <c r="AJ38" s="3" t="s">
        <v>65</v>
      </c>
      <c r="AK38" s="3" t="s">
        <v>677</v>
      </c>
      <c r="AL38" s="3" t="s">
        <v>302</v>
      </c>
      <c r="AM38" s="4" t="s">
        <v>291</v>
      </c>
      <c r="AO38" s="4" t="s">
        <v>292</v>
      </c>
      <c r="AP38" s="5" t="s">
        <v>293</v>
      </c>
      <c r="AR38" s="5" t="s">
        <v>294</v>
      </c>
      <c r="AU38" s="3" t="s">
        <v>681</v>
      </c>
      <c r="AV38">
        <v>35</v>
      </c>
      <c r="AW38">
        <v>35</v>
      </c>
    </row>
    <row r="39" spans="1:49" hidden="1" x14ac:dyDescent="0.2">
      <c r="A39" t="s">
        <v>277</v>
      </c>
      <c r="B39">
        <v>2017</v>
      </c>
      <c r="C39" t="s">
        <v>295</v>
      </c>
      <c r="D39" t="s">
        <v>49</v>
      </c>
      <c r="E39" t="s">
        <v>50</v>
      </c>
      <c r="F39" t="s">
        <v>279</v>
      </c>
      <c r="G39" t="s">
        <v>280</v>
      </c>
      <c r="H39" t="s">
        <v>53</v>
      </c>
      <c r="I39" t="s">
        <v>54</v>
      </c>
      <c r="J39" t="s">
        <v>260</v>
      </c>
      <c r="K39" t="s">
        <v>56</v>
      </c>
      <c r="L39" t="s">
        <v>58</v>
      </c>
      <c r="M39" t="s">
        <v>57</v>
      </c>
      <c r="N39" t="s">
        <v>57</v>
      </c>
      <c r="O39" t="s">
        <v>57</v>
      </c>
      <c r="P39" t="s">
        <v>57</v>
      </c>
      <c r="Q39" t="s">
        <v>57</v>
      </c>
      <c r="X39" t="s">
        <v>296</v>
      </c>
      <c r="AB39" t="s">
        <v>297</v>
      </c>
      <c r="AH39" t="s">
        <v>283</v>
      </c>
      <c r="AJ39" s="3" t="s">
        <v>65</v>
      </c>
      <c r="AK39" s="3" t="s">
        <v>677</v>
      </c>
      <c r="AL39" s="3" t="s">
        <v>302</v>
      </c>
      <c r="AM39" s="4" t="s">
        <v>298</v>
      </c>
      <c r="AO39" s="4" t="s">
        <v>299</v>
      </c>
      <c r="AP39" s="5" t="s">
        <v>300</v>
      </c>
      <c r="AR39" s="5" t="s">
        <v>301</v>
      </c>
      <c r="AU39" s="3" t="s">
        <v>681</v>
      </c>
      <c r="AV39">
        <v>35</v>
      </c>
      <c r="AW39">
        <v>35</v>
      </c>
    </row>
    <row r="40" spans="1:49" hidden="1" x14ac:dyDescent="0.2">
      <c r="A40" t="s">
        <v>303</v>
      </c>
      <c r="B40">
        <v>2014</v>
      </c>
      <c r="C40" t="s">
        <v>304</v>
      </c>
      <c r="D40" t="s">
        <v>88</v>
      </c>
      <c r="E40" t="s">
        <v>88</v>
      </c>
      <c r="F40" t="s">
        <v>279</v>
      </c>
      <c r="G40" t="s">
        <v>305</v>
      </c>
      <c r="H40" t="s">
        <v>53</v>
      </c>
      <c r="I40" t="s">
        <v>54</v>
      </c>
      <c r="J40" t="s">
        <v>260</v>
      </c>
      <c r="L40" t="s">
        <v>57</v>
      </c>
      <c r="M40" t="s">
        <v>57</v>
      </c>
      <c r="N40" t="s">
        <v>57</v>
      </c>
      <c r="O40" t="s">
        <v>57</v>
      </c>
      <c r="P40" t="s">
        <v>58</v>
      </c>
      <c r="Q40" t="s">
        <v>57</v>
      </c>
      <c r="U40" t="s">
        <v>306</v>
      </c>
      <c r="AJ40" s="3" t="s">
        <v>65</v>
      </c>
      <c r="AK40" s="3" t="s">
        <v>459</v>
      </c>
      <c r="AL40" s="3" t="s">
        <v>67</v>
      </c>
      <c r="AM40" s="4" t="s">
        <v>307</v>
      </c>
      <c r="AN40" s="4" t="s">
        <v>308</v>
      </c>
      <c r="AO40" s="4" t="s">
        <v>309</v>
      </c>
      <c r="AP40" s="5" t="s">
        <v>310</v>
      </c>
      <c r="AQ40" s="5" t="s">
        <v>308</v>
      </c>
      <c r="AR40" s="5" t="s">
        <v>311</v>
      </c>
      <c r="AU40" s="3" t="s">
        <v>681</v>
      </c>
      <c r="AV40">
        <v>35</v>
      </c>
      <c r="AW40">
        <v>35</v>
      </c>
    </row>
    <row r="41" spans="1:49" hidden="1" x14ac:dyDescent="0.2">
      <c r="A41" t="s">
        <v>303</v>
      </c>
      <c r="B41">
        <v>2014</v>
      </c>
      <c r="C41" t="s">
        <v>312</v>
      </c>
      <c r="D41" t="s">
        <v>49</v>
      </c>
      <c r="E41" t="s">
        <v>50</v>
      </c>
      <c r="F41" t="s">
        <v>279</v>
      </c>
      <c r="G41" t="s">
        <v>305</v>
      </c>
      <c r="H41" t="s">
        <v>53</v>
      </c>
      <c r="I41" t="s">
        <v>54</v>
      </c>
      <c r="J41" t="s">
        <v>260</v>
      </c>
      <c r="L41" t="s">
        <v>57</v>
      </c>
      <c r="M41" t="s">
        <v>57</v>
      </c>
      <c r="N41" t="s">
        <v>57</v>
      </c>
      <c r="O41" t="s">
        <v>57</v>
      </c>
      <c r="P41" t="s">
        <v>58</v>
      </c>
      <c r="Q41" t="s">
        <v>57</v>
      </c>
      <c r="U41" t="s">
        <v>306</v>
      </c>
      <c r="AJ41" s="3" t="s">
        <v>65</v>
      </c>
      <c r="AK41" s="3" t="s">
        <v>459</v>
      </c>
      <c r="AL41" s="3" t="s">
        <v>67</v>
      </c>
      <c r="AM41" s="4" t="s">
        <v>313</v>
      </c>
      <c r="AN41" s="4" t="s">
        <v>308</v>
      </c>
      <c r="AO41" s="4" t="s">
        <v>314</v>
      </c>
      <c r="AP41" s="5" t="s">
        <v>315</v>
      </c>
      <c r="AQ41" s="5" t="s">
        <v>308</v>
      </c>
      <c r="AR41" s="5" t="s">
        <v>316</v>
      </c>
      <c r="AU41" s="3" t="s">
        <v>681</v>
      </c>
      <c r="AV41">
        <v>35</v>
      </c>
      <c r="AW41">
        <v>35</v>
      </c>
    </row>
    <row r="42" spans="1:49" hidden="1" x14ac:dyDescent="0.2">
      <c r="A42" t="s">
        <v>303</v>
      </c>
      <c r="B42">
        <v>2014</v>
      </c>
      <c r="C42" t="s">
        <v>304</v>
      </c>
      <c r="D42" t="s">
        <v>88</v>
      </c>
      <c r="E42" t="s">
        <v>88</v>
      </c>
      <c r="F42" t="s">
        <v>279</v>
      </c>
      <c r="G42" t="s">
        <v>305</v>
      </c>
      <c r="H42" t="s">
        <v>53</v>
      </c>
      <c r="I42" t="s">
        <v>54</v>
      </c>
      <c r="J42" t="s">
        <v>260</v>
      </c>
      <c r="L42" t="s">
        <v>57</v>
      </c>
      <c r="M42" t="s">
        <v>57</v>
      </c>
      <c r="N42" t="s">
        <v>57</v>
      </c>
      <c r="O42" t="s">
        <v>57</v>
      </c>
      <c r="P42" t="s">
        <v>58</v>
      </c>
      <c r="Q42" t="s">
        <v>57</v>
      </c>
      <c r="U42" t="s">
        <v>306</v>
      </c>
      <c r="AJ42" s="3" t="s">
        <v>317</v>
      </c>
      <c r="AK42" s="3" t="s">
        <v>678</v>
      </c>
      <c r="AL42" s="3" t="s">
        <v>67</v>
      </c>
      <c r="AM42" s="4" t="s">
        <v>318</v>
      </c>
      <c r="AN42" s="4" t="s">
        <v>308</v>
      </c>
      <c r="AO42" s="4" t="s">
        <v>319</v>
      </c>
      <c r="AP42" s="5" t="s">
        <v>320</v>
      </c>
      <c r="AQ42" s="5" t="s">
        <v>308</v>
      </c>
      <c r="AR42" s="5" t="s">
        <v>321</v>
      </c>
      <c r="AU42" s="3" t="s">
        <v>681</v>
      </c>
      <c r="AV42">
        <v>35</v>
      </c>
      <c r="AW42">
        <v>35</v>
      </c>
    </row>
    <row r="43" spans="1:49" hidden="1" x14ac:dyDescent="0.2">
      <c r="A43" t="s">
        <v>303</v>
      </c>
      <c r="B43">
        <v>2014</v>
      </c>
      <c r="C43" t="s">
        <v>312</v>
      </c>
      <c r="D43" t="s">
        <v>49</v>
      </c>
      <c r="E43" t="s">
        <v>50</v>
      </c>
      <c r="F43" t="s">
        <v>279</v>
      </c>
      <c r="G43" t="s">
        <v>305</v>
      </c>
      <c r="H43" t="s">
        <v>53</v>
      </c>
      <c r="I43" t="s">
        <v>54</v>
      </c>
      <c r="J43" t="s">
        <v>260</v>
      </c>
      <c r="L43" t="s">
        <v>57</v>
      </c>
      <c r="M43" t="s">
        <v>57</v>
      </c>
      <c r="N43" t="s">
        <v>57</v>
      </c>
      <c r="O43" t="s">
        <v>57</v>
      </c>
      <c r="P43" t="s">
        <v>58</v>
      </c>
      <c r="Q43" t="s">
        <v>57</v>
      </c>
      <c r="U43" t="s">
        <v>306</v>
      </c>
      <c r="AJ43" s="3" t="s">
        <v>317</v>
      </c>
      <c r="AK43" s="3" t="s">
        <v>678</v>
      </c>
      <c r="AL43" s="3" t="s">
        <v>67</v>
      </c>
      <c r="AM43" s="4" t="s">
        <v>222</v>
      </c>
      <c r="AN43" s="4" t="s">
        <v>308</v>
      </c>
      <c r="AO43" s="4" t="s">
        <v>322</v>
      </c>
      <c r="AP43" s="5" t="s">
        <v>323</v>
      </c>
      <c r="AQ43" s="5" t="s">
        <v>308</v>
      </c>
      <c r="AR43" s="5" t="s">
        <v>324</v>
      </c>
      <c r="AU43" s="3" t="s">
        <v>681</v>
      </c>
      <c r="AV43">
        <v>35</v>
      </c>
      <c r="AW43">
        <v>35</v>
      </c>
    </row>
    <row r="44" spans="1:49" hidden="1" x14ac:dyDescent="0.2">
      <c r="A44" t="s">
        <v>303</v>
      </c>
      <c r="B44">
        <v>2014</v>
      </c>
      <c r="C44" t="s">
        <v>304</v>
      </c>
      <c r="D44" t="s">
        <v>88</v>
      </c>
      <c r="E44" t="s">
        <v>88</v>
      </c>
      <c r="F44" t="s">
        <v>279</v>
      </c>
      <c r="G44" t="s">
        <v>305</v>
      </c>
      <c r="H44" t="s">
        <v>53</v>
      </c>
      <c r="I44" t="s">
        <v>54</v>
      </c>
      <c r="J44" t="s">
        <v>260</v>
      </c>
      <c r="L44" t="s">
        <v>57</v>
      </c>
      <c r="M44" t="s">
        <v>57</v>
      </c>
      <c r="N44" t="s">
        <v>57</v>
      </c>
      <c r="O44" t="s">
        <v>57</v>
      </c>
      <c r="P44" t="s">
        <v>58</v>
      </c>
      <c r="Q44" t="s">
        <v>57</v>
      </c>
      <c r="U44" t="s">
        <v>306</v>
      </c>
      <c r="AJ44" s="3" t="s">
        <v>249</v>
      </c>
      <c r="AK44" s="3" t="s">
        <v>513</v>
      </c>
      <c r="AL44" s="3" t="s">
        <v>67</v>
      </c>
      <c r="AM44" s="4" t="s">
        <v>325</v>
      </c>
      <c r="AN44" s="4" t="s">
        <v>308</v>
      </c>
      <c r="AO44" s="4" t="s">
        <v>326</v>
      </c>
      <c r="AP44" s="5" t="s">
        <v>327</v>
      </c>
      <c r="AQ44" s="5" t="s">
        <v>308</v>
      </c>
      <c r="AR44" s="5" t="s">
        <v>223</v>
      </c>
      <c r="AU44" s="3" t="s">
        <v>681</v>
      </c>
      <c r="AV44">
        <v>35</v>
      </c>
      <c r="AW44">
        <v>35</v>
      </c>
    </row>
    <row r="45" spans="1:49" hidden="1" x14ac:dyDescent="0.2">
      <c r="A45" t="s">
        <v>303</v>
      </c>
      <c r="B45">
        <v>2014</v>
      </c>
      <c r="C45" t="s">
        <v>312</v>
      </c>
      <c r="D45" t="s">
        <v>49</v>
      </c>
      <c r="E45" t="s">
        <v>50</v>
      </c>
      <c r="F45" t="s">
        <v>279</v>
      </c>
      <c r="G45" t="s">
        <v>305</v>
      </c>
      <c r="H45" t="s">
        <v>53</v>
      </c>
      <c r="I45" t="s">
        <v>54</v>
      </c>
      <c r="J45" t="s">
        <v>260</v>
      </c>
      <c r="L45" t="s">
        <v>57</v>
      </c>
      <c r="M45" t="s">
        <v>57</v>
      </c>
      <c r="N45" t="s">
        <v>57</v>
      </c>
      <c r="O45" t="s">
        <v>57</v>
      </c>
      <c r="P45" t="s">
        <v>58</v>
      </c>
      <c r="Q45" t="s">
        <v>57</v>
      </c>
      <c r="U45" t="s">
        <v>306</v>
      </c>
      <c r="AJ45" s="3" t="s">
        <v>249</v>
      </c>
      <c r="AK45" s="3" t="s">
        <v>513</v>
      </c>
      <c r="AL45" s="3" t="s">
        <v>67</v>
      </c>
      <c r="AM45" s="4" t="s">
        <v>328</v>
      </c>
      <c r="AN45" s="4" t="s">
        <v>308</v>
      </c>
      <c r="AO45" s="4" t="s">
        <v>329</v>
      </c>
      <c r="AP45" s="5" t="s">
        <v>330</v>
      </c>
      <c r="AQ45" s="5" t="s">
        <v>308</v>
      </c>
      <c r="AR45" s="5" t="s">
        <v>331</v>
      </c>
      <c r="AU45" s="3" t="s">
        <v>681</v>
      </c>
      <c r="AV45">
        <v>35</v>
      </c>
      <c r="AW45">
        <v>35</v>
      </c>
    </row>
    <row r="46" spans="1:49" hidden="1" x14ac:dyDescent="0.2">
      <c r="A46" t="s">
        <v>332</v>
      </c>
      <c r="B46">
        <v>2018</v>
      </c>
      <c r="C46" t="s">
        <v>333</v>
      </c>
      <c r="D46" t="s">
        <v>49</v>
      </c>
      <c r="E46" t="s">
        <v>75</v>
      </c>
      <c r="F46" t="s">
        <v>334</v>
      </c>
      <c r="G46" t="s">
        <v>335</v>
      </c>
      <c r="H46" t="s">
        <v>91</v>
      </c>
      <c r="I46" t="s">
        <v>54</v>
      </c>
      <c r="J46" t="s">
        <v>92</v>
      </c>
      <c r="K46" t="s">
        <v>56</v>
      </c>
      <c r="L46" t="s">
        <v>58</v>
      </c>
      <c r="M46" t="s">
        <v>58</v>
      </c>
      <c r="N46" t="s">
        <v>93</v>
      </c>
      <c r="O46" t="s">
        <v>57</v>
      </c>
      <c r="P46" t="s">
        <v>58</v>
      </c>
      <c r="Q46" t="s">
        <v>57</v>
      </c>
      <c r="T46" t="s">
        <v>336</v>
      </c>
      <c r="U46" t="s">
        <v>337</v>
      </c>
      <c r="X46" t="s">
        <v>338</v>
      </c>
      <c r="AB46" t="s">
        <v>339</v>
      </c>
      <c r="AH46" t="s">
        <v>64</v>
      </c>
      <c r="AJ46" s="3" t="s">
        <v>676</v>
      </c>
      <c r="AK46" s="3" t="s">
        <v>675</v>
      </c>
      <c r="AL46" s="3" t="s">
        <v>67</v>
      </c>
      <c r="AM46" s="4" t="s">
        <v>340</v>
      </c>
      <c r="AN46" s="4" t="s">
        <v>341</v>
      </c>
      <c r="AO46" s="4" t="s">
        <v>342</v>
      </c>
      <c r="AP46" s="5" t="s">
        <v>343</v>
      </c>
      <c r="AQ46" s="5" t="s">
        <v>341</v>
      </c>
      <c r="AR46" s="5" t="s">
        <v>344</v>
      </c>
      <c r="AU46" s="3" t="s">
        <v>345</v>
      </c>
      <c r="AV46">
        <f>12*7</f>
        <v>84</v>
      </c>
      <c r="AW46">
        <v>35</v>
      </c>
    </row>
    <row r="47" spans="1:49" hidden="1" x14ac:dyDescent="0.2">
      <c r="A47" t="s">
        <v>332</v>
      </c>
      <c r="B47">
        <v>2018</v>
      </c>
      <c r="C47" t="s">
        <v>346</v>
      </c>
      <c r="D47" t="s">
        <v>88</v>
      </c>
      <c r="E47" t="s">
        <v>88</v>
      </c>
      <c r="F47" t="s">
        <v>334</v>
      </c>
      <c r="G47" t="s">
        <v>335</v>
      </c>
      <c r="H47" t="s">
        <v>91</v>
      </c>
      <c r="I47" t="s">
        <v>54</v>
      </c>
      <c r="J47" t="s">
        <v>92</v>
      </c>
      <c r="K47" t="s">
        <v>56</v>
      </c>
      <c r="L47" t="s">
        <v>58</v>
      </c>
      <c r="M47" t="s">
        <v>58</v>
      </c>
      <c r="N47" t="s">
        <v>93</v>
      </c>
      <c r="O47" t="s">
        <v>57</v>
      </c>
      <c r="P47" t="s">
        <v>58</v>
      </c>
      <c r="Q47" t="s">
        <v>57</v>
      </c>
      <c r="T47" t="s">
        <v>347</v>
      </c>
      <c r="U47" t="s">
        <v>348</v>
      </c>
      <c r="X47" t="s">
        <v>349</v>
      </c>
      <c r="AB47" t="s">
        <v>350</v>
      </c>
      <c r="AH47" t="s">
        <v>100</v>
      </c>
      <c r="AJ47" s="3" t="s">
        <v>676</v>
      </c>
      <c r="AK47" s="3" t="s">
        <v>675</v>
      </c>
      <c r="AL47" s="3" t="s">
        <v>67</v>
      </c>
      <c r="AM47" s="4" t="s">
        <v>351</v>
      </c>
      <c r="AN47" s="4" t="s">
        <v>341</v>
      </c>
      <c r="AO47" s="4" t="s">
        <v>352</v>
      </c>
      <c r="AP47" s="5" t="s">
        <v>353</v>
      </c>
      <c r="AQ47" s="5" t="s">
        <v>341</v>
      </c>
      <c r="AR47" s="5" t="s">
        <v>354</v>
      </c>
      <c r="AU47" s="3" t="s">
        <v>345</v>
      </c>
      <c r="AV47">
        <f>12*7</f>
        <v>84</v>
      </c>
      <c r="AW47">
        <v>35</v>
      </c>
    </row>
    <row r="48" spans="1:49" hidden="1" x14ac:dyDescent="0.2">
      <c r="A48" t="s">
        <v>332</v>
      </c>
      <c r="B48">
        <v>2018</v>
      </c>
      <c r="C48" t="s">
        <v>333</v>
      </c>
      <c r="D48" t="s">
        <v>49</v>
      </c>
      <c r="E48" t="s">
        <v>75</v>
      </c>
      <c r="F48" t="s">
        <v>334</v>
      </c>
      <c r="G48" t="s">
        <v>335</v>
      </c>
      <c r="H48" t="s">
        <v>91</v>
      </c>
      <c r="I48" t="s">
        <v>54</v>
      </c>
      <c r="J48" t="s">
        <v>92</v>
      </c>
      <c r="K48" t="s">
        <v>56</v>
      </c>
      <c r="L48" t="s">
        <v>58</v>
      </c>
      <c r="M48" t="s">
        <v>58</v>
      </c>
      <c r="N48" t="s">
        <v>93</v>
      </c>
      <c r="O48" t="s">
        <v>57</v>
      </c>
      <c r="P48" t="s">
        <v>58</v>
      </c>
      <c r="Q48" t="s">
        <v>57</v>
      </c>
      <c r="T48" t="s">
        <v>336</v>
      </c>
      <c r="U48" t="s">
        <v>337</v>
      </c>
      <c r="X48" t="s">
        <v>338</v>
      </c>
      <c r="AB48" t="s">
        <v>339</v>
      </c>
      <c r="AH48" t="s">
        <v>64</v>
      </c>
      <c r="AJ48" s="3" t="s">
        <v>360</v>
      </c>
      <c r="AL48" s="3" t="s">
        <v>67</v>
      </c>
      <c r="AM48" s="4" t="s">
        <v>361</v>
      </c>
      <c r="AN48" s="4" t="s">
        <v>341</v>
      </c>
      <c r="AO48" s="4" t="s">
        <v>362</v>
      </c>
      <c r="AP48" s="5" t="s">
        <v>369</v>
      </c>
      <c r="AQ48" s="5" t="s">
        <v>341</v>
      </c>
      <c r="AR48" s="5" t="s">
        <v>370</v>
      </c>
      <c r="AU48" s="3" t="s">
        <v>345</v>
      </c>
      <c r="AV48">
        <f>12*7</f>
        <v>84</v>
      </c>
      <c r="AW48">
        <v>35</v>
      </c>
    </row>
    <row r="49" spans="1:49" hidden="1" x14ac:dyDescent="0.2">
      <c r="A49" t="s">
        <v>332</v>
      </c>
      <c r="B49">
        <v>2018</v>
      </c>
      <c r="C49" t="s">
        <v>333</v>
      </c>
      <c r="D49" t="s">
        <v>49</v>
      </c>
      <c r="E49" t="s">
        <v>75</v>
      </c>
      <c r="F49" t="s">
        <v>334</v>
      </c>
      <c r="G49" t="s">
        <v>335</v>
      </c>
      <c r="H49" t="s">
        <v>91</v>
      </c>
      <c r="I49" t="s">
        <v>54</v>
      </c>
      <c r="J49" t="s">
        <v>92</v>
      </c>
      <c r="K49" t="s">
        <v>56</v>
      </c>
      <c r="L49" t="s">
        <v>58</v>
      </c>
      <c r="M49" t="s">
        <v>58</v>
      </c>
      <c r="N49" t="s">
        <v>93</v>
      </c>
      <c r="O49" t="s">
        <v>57</v>
      </c>
      <c r="P49" t="s">
        <v>58</v>
      </c>
      <c r="Q49" t="s">
        <v>57</v>
      </c>
      <c r="T49" t="s">
        <v>336</v>
      </c>
      <c r="U49" t="s">
        <v>337</v>
      </c>
      <c r="X49" t="s">
        <v>338</v>
      </c>
      <c r="AB49" t="s">
        <v>339</v>
      </c>
      <c r="AH49" t="s">
        <v>64</v>
      </c>
      <c r="AJ49" s="3" t="s">
        <v>360</v>
      </c>
      <c r="AL49" s="3" t="s">
        <v>67</v>
      </c>
      <c r="AM49" s="4" t="s">
        <v>365</v>
      </c>
      <c r="AN49" s="4" t="s">
        <v>341</v>
      </c>
      <c r="AO49" s="4" t="s">
        <v>366</v>
      </c>
      <c r="AP49" s="5" t="s">
        <v>371</v>
      </c>
      <c r="AQ49" s="5" t="s">
        <v>341</v>
      </c>
      <c r="AR49" s="5" t="s">
        <v>372</v>
      </c>
      <c r="AU49" s="3" t="s">
        <v>345</v>
      </c>
      <c r="AV49">
        <f>12*7</f>
        <v>84</v>
      </c>
      <c r="AW49">
        <v>35</v>
      </c>
    </row>
    <row r="50" spans="1:49" hidden="1" x14ac:dyDescent="0.2">
      <c r="A50" t="s">
        <v>332</v>
      </c>
      <c r="B50">
        <v>2018</v>
      </c>
      <c r="C50" t="s">
        <v>333</v>
      </c>
      <c r="D50" t="s">
        <v>49</v>
      </c>
      <c r="E50" t="s">
        <v>75</v>
      </c>
      <c r="F50" t="s">
        <v>334</v>
      </c>
      <c r="G50" t="s">
        <v>335</v>
      </c>
      <c r="H50" t="s">
        <v>91</v>
      </c>
      <c r="I50" t="s">
        <v>54</v>
      </c>
      <c r="J50" t="s">
        <v>92</v>
      </c>
      <c r="K50" t="s">
        <v>56</v>
      </c>
      <c r="L50" t="s">
        <v>58</v>
      </c>
      <c r="M50" t="s">
        <v>58</v>
      </c>
      <c r="N50" t="s">
        <v>93</v>
      </c>
      <c r="O50" t="s">
        <v>57</v>
      </c>
      <c r="P50" t="s">
        <v>58</v>
      </c>
      <c r="Q50" t="s">
        <v>57</v>
      </c>
      <c r="T50" t="s">
        <v>336</v>
      </c>
      <c r="U50" t="s">
        <v>337</v>
      </c>
      <c r="X50" t="s">
        <v>338</v>
      </c>
      <c r="AB50" t="s">
        <v>339</v>
      </c>
      <c r="AH50" t="s">
        <v>64</v>
      </c>
      <c r="AJ50" s="3" t="s">
        <v>676</v>
      </c>
      <c r="AK50" s="3" t="s">
        <v>675</v>
      </c>
      <c r="AL50" s="3" t="s">
        <v>67</v>
      </c>
      <c r="AM50" s="4" t="s">
        <v>340</v>
      </c>
      <c r="AN50" s="4" t="s">
        <v>341</v>
      </c>
      <c r="AO50" s="4" t="s">
        <v>342</v>
      </c>
      <c r="AP50" s="5" t="s">
        <v>340</v>
      </c>
      <c r="AQ50" s="5" t="s">
        <v>341</v>
      </c>
      <c r="AR50" s="5" t="s">
        <v>342</v>
      </c>
      <c r="AU50" s="3" t="s">
        <v>359</v>
      </c>
      <c r="AV50">
        <v>140</v>
      </c>
      <c r="AW50">
        <v>35</v>
      </c>
    </row>
    <row r="51" spans="1:49" hidden="1" x14ac:dyDescent="0.2">
      <c r="A51" t="s">
        <v>332</v>
      </c>
      <c r="B51">
        <v>2018</v>
      </c>
      <c r="C51" t="s">
        <v>346</v>
      </c>
      <c r="D51" t="s">
        <v>88</v>
      </c>
      <c r="E51" t="s">
        <v>88</v>
      </c>
      <c r="F51" t="s">
        <v>334</v>
      </c>
      <c r="G51" t="s">
        <v>335</v>
      </c>
      <c r="H51" t="s">
        <v>91</v>
      </c>
      <c r="I51" t="s">
        <v>54</v>
      </c>
      <c r="J51" t="s">
        <v>92</v>
      </c>
      <c r="K51" t="s">
        <v>56</v>
      </c>
      <c r="L51" t="s">
        <v>58</v>
      </c>
      <c r="M51" t="s">
        <v>58</v>
      </c>
      <c r="N51" t="s">
        <v>93</v>
      </c>
      <c r="O51" t="s">
        <v>57</v>
      </c>
      <c r="P51" t="s">
        <v>58</v>
      </c>
      <c r="Q51" t="s">
        <v>57</v>
      </c>
      <c r="T51" t="s">
        <v>347</v>
      </c>
      <c r="U51" t="s">
        <v>348</v>
      </c>
      <c r="X51" t="s">
        <v>349</v>
      </c>
      <c r="AB51" t="s">
        <v>350</v>
      </c>
      <c r="AH51" t="s">
        <v>100</v>
      </c>
      <c r="AJ51" s="3" t="s">
        <v>676</v>
      </c>
      <c r="AK51" s="3" t="s">
        <v>675</v>
      </c>
      <c r="AL51" s="3" t="s">
        <v>67</v>
      </c>
      <c r="AM51" s="4" t="s">
        <v>351</v>
      </c>
      <c r="AN51" s="4" t="s">
        <v>341</v>
      </c>
      <c r="AO51" s="4" t="s">
        <v>352</v>
      </c>
      <c r="AP51" s="5" t="s">
        <v>351</v>
      </c>
      <c r="AQ51" s="5" t="s">
        <v>341</v>
      </c>
      <c r="AR51" s="5" t="s">
        <v>352</v>
      </c>
      <c r="AU51" s="3" t="s">
        <v>359</v>
      </c>
      <c r="AV51">
        <v>140</v>
      </c>
      <c r="AW51">
        <v>35</v>
      </c>
    </row>
    <row r="52" spans="1:49" hidden="1" x14ac:dyDescent="0.2">
      <c r="A52" t="s">
        <v>332</v>
      </c>
      <c r="B52">
        <v>2018</v>
      </c>
      <c r="C52" t="s">
        <v>333</v>
      </c>
      <c r="D52" t="s">
        <v>49</v>
      </c>
      <c r="E52" t="s">
        <v>75</v>
      </c>
      <c r="F52" t="s">
        <v>334</v>
      </c>
      <c r="G52" t="s">
        <v>335</v>
      </c>
      <c r="H52" t="s">
        <v>91</v>
      </c>
      <c r="I52" t="s">
        <v>54</v>
      </c>
      <c r="J52" t="s">
        <v>92</v>
      </c>
      <c r="K52" t="s">
        <v>56</v>
      </c>
      <c r="L52" t="s">
        <v>58</v>
      </c>
      <c r="M52" t="s">
        <v>58</v>
      </c>
      <c r="N52" t="s">
        <v>93</v>
      </c>
      <c r="O52" t="s">
        <v>57</v>
      </c>
      <c r="P52" t="s">
        <v>58</v>
      </c>
      <c r="Q52" t="s">
        <v>57</v>
      </c>
      <c r="T52" t="s">
        <v>336</v>
      </c>
      <c r="U52" t="s">
        <v>337</v>
      </c>
      <c r="X52" t="s">
        <v>338</v>
      </c>
      <c r="AB52" t="s">
        <v>339</v>
      </c>
      <c r="AH52" t="s">
        <v>64</v>
      </c>
      <c r="AJ52" s="3" t="s">
        <v>360</v>
      </c>
      <c r="AL52" s="3" t="s">
        <v>67</v>
      </c>
      <c r="AM52" s="4" t="s">
        <v>361</v>
      </c>
      <c r="AN52" s="4" t="s">
        <v>341</v>
      </c>
      <c r="AO52" s="4" t="s">
        <v>362</v>
      </c>
      <c r="AP52" s="5" t="s">
        <v>373</v>
      </c>
      <c r="AQ52" s="5" t="s">
        <v>341</v>
      </c>
      <c r="AR52" s="5" t="s">
        <v>374</v>
      </c>
      <c r="AU52" s="3" t="s">
        <v>359</v>
      </c>
      <c r="AV52">
        <v>140</v>
      </c>
      <c r="AW52">
        <v>35</v>
      </c>
    </row>
    <row r="53" spans="1:49" hidden="1" x14ac:dyDescent="0.2">
      <c r="A53" t="s">
        <v>332</v>
      </c>
      <c r="B53">
        <v>2018</v>
      </c>
      <c r="C53" t="s">
        <v>333</v>
      </c>
      <c r="D53" t="s">
        <v>49</v>
      </c>
      <c r="E53" t="s">
        <v>75</v>
      </c>
      <c r="F53" t="s">
        <v>334</v>
      </c>
      <c r="G53" t="s">
        <v>335</v>
      </c>
      <c r="H53" t="s">
        <v>91</v>
      </c>
      <c r="I53" t="s">
        <v>54</v>
      </c>
      <c r="J53" t="s">
        <v>92</v>
      </c>
      <c r="K53" t="s">
        <v>56</v>
      </c>
      <c r="L53" t="s">
        <v>58</v>
      </c>
      <c r="M53" t="s">
        <v>58</v>
      </c>
      <c r="N53" t="s">
        <v>93</v>
      </c>
      <c r="O53" t="s">
        <v>57</v>
      </c>
      <c r="P53" t="s">
        <v>58</v>
      </c>
      <c r="Q53" t="s">
        <v>57</v>
      </c>
      <c r="T53" t="s">
        <v>336</v>
      </c>
      <c r="U53" t="s">
        <v>337</v>
      </c>
      <c r="X53" t="s">
        <v>338</v>
      </c>
      <c r="AB53" t="s">
        <v>339</v>
      </c>
      <c r="AH53" t="s">
        <v>64</v>
      </c>
      <c r="AJ53" s="3" t="s">
        <v>360</v>
      </c>
      <c r="AL53" s="3" t="s">
        <v>67</v>
      </c>
      <c r="AM53" s="4" t="s">
        <v>365</v>
      </c>
      <c r="AN53" s="4" t="s">
        <v>341</v>
      </c>
      <c r="AO53" s="4" t="s">
        <v>366</v>
      </c>
      <c r="AP53" s="5" t="s">
        <v>369</v>
      </c>
      <c r="AQ53" s="5" t="s">
        <v>341</v>
      </c>
      <c r="AR53" s="5" t="s">
        <v>375</v>
      </c>
      <c r="AU53" s="3" t="s">
        <v>359</v>
      </c>
      <c r="AV53">
        <v>140</v>
      </c>
      <c r="AW53">
        <v>35</v>
      </c>
    </row>
    <row r="54" spans="1:49" hidden="1" x14ac:dyDescent="0.2">
      <c r="A54" t="s">
        <v>332</v>
      </c>
      <c r="B54">
        <v>2018</v>
      </c>
      <c r="C54" t="s">
        <v>333</v>
      </c>
      <c r="D54" t="s">
        <v>49</v>
      </c>
      <c r="E54" t="s">
        <v>75</v>
      </c>
      <c r="F54" t="s">
        <v>334</v>
      </c>
      <c r="G54" t="s">
        <v>335</v>
      </c>
      <c r="H54" t="s">
        <v>91</v>
      </c>
      <c r="I54" t="s">
        <v>54</v>
      </c>
      <c r="J54" t="s">
        <v>92</v>
      </c>
      <c r="K54" t="s">
        <v>56</v>
      </c>
      <c r="L54" t="s">
        <v>58</v>
      </c>
      <c r="M54" t="s">
        <v>58</v>
      </c>
      <c r="N54" t="s">
        <v>93</v>
      </c>
      <c r="O54" t="s">
        <v>57</v>
      </c>
      <c r="P54" t="s">
        <v>58</v>
      </c>
      <c r="Q54" t="s">
        <v>57</v>
      </c>
      <c r="T54" t="s">
        <v>336</v>
      </c>
      <c r="U54" t="s">
        <v>337</v>
      </c>
      <c r="X54" t="s">
        <v>338</v>
      </c>
      <c r="AB54" t="s">
        <v>339</v>
      </c>
      <c r="AH54" t="s">
        <v>64</v>
      </c>
      <c r="AJ54" s="3" t="s">
        <v>676</v>
      </c>
      <c r="AK54" s="3" t="s">
        <v>675</v>
      </c>
      <c r="AL54" s="3" t="s">
        <v>67</v>
      </c>
      <c r="AM54" s="4" t="s">
        <v>340</v>
      </c>
      <c r="AN54" s="4" t="s">
        <v>341</v>
      </c>
      <c r="AO54" s="4" t="s">
        <v>342</v>
      </c>
      <c r="AP54" s="5" t="s">
        <v>355</v>
      </c>
      <c r="AQ54" s="5" t="s">
        <v>341</v>
      </c>
      <c r="AR54" s="5" t="s">
        <v>356</v>
      </c>
      <c r="AU54" s="3" t="s">
        <v>73</v>
      </c>
      <c r="AV54">
        <v>56</v>
      </c>
      <c r="AW54">
        <v>35</v>
      </c>
    </row>
    <row r="55" spans="1:49" hidden="1" x14ac:dyDescent="0.2">
      <c r="A55" t="s">
        <v>332</v>
      </c>
      <c r="B55">
        <v>2018</v>
      </c>
      <c r="C55" t="s">
        <v>346</v>
      </c>
      <c r="D55" t="s">
        <v>88</v>
      </c>
      <c r="E55" t="s">
        <v>88</v>
      </c>
      <c r="F55" t="s">
        <v>334</v>
      </c>
      <c r="G55" t="s">
        <v>335</v>
      </c>
      <c r="H55" t="s">
        <v>91</v>
      </c>
      <c r="I55" t="s">
        <v>54</v>
      </c>
      <c r="J55" t="s">
        <v>92</v>
      </c>
      <c r="K55" t="s">
        <v>56</v>
      </c>
      <c r="L55" t="s">
        <v>58</v>
      </c>
      <c r="M55" t="s">
        <v>58</v>
      </c>
      <c r="N55" t="s">
        <v>93</v>
      </c>
      <c r="O55" t="s">
        <v>57</v>
      </c>
      <c r="P55" t="s">
        <v>58</v>
      </c>
      <c r="Q55" t="s">
        <v>57</v>
      </c>
      <c r="T55" t="s">
        <v>347</v>
      </c>
      <c r="U55" t="s">
        <v>348</v>
      </c>
      <c r="X55" t="s">
        <v>349</v>
      </c>
      <c r="AB55" t="s">
        <v>350</v>
      </c>
      <c r="AH55" t="s">
        <v>100</v>
      </c>
      <c r="AJ55" s="3" t="s">
        <v>676</v>
      </c>
      <c r="AK55" s="3" t="s">
        <v>675</v>
      </c>
      <c r="AL55" s="3" t="s">
        <v>67</v>
      </c>
      <c r="AM55" s="4" t="s">
        <v>351</v>
      </c>
      <c r="AN55" s="4" t="s">
        <v>341</v>
      </c>
      <c r="AO55" s="4" t="s">
        <v>352</v>
      </c>
      <c r="AP55" s="5" t="s">
        <v>357</v>
      </c>
      <c r="AQ55" s="5" t="s">
        <v>341</v>
      </c>
      <c r="AR55" s="5" t="s">
        <v>358</v>
      </c>
      <c r="AU55" s="3" t="s">
        <v>73</v>
      </c>
      <c r="AV55">
        <v>56</v>
      </c>
      <c r="AW55">
        <v>35</v>
      </c>
    </row>
    <row r="56" spans="1:49" hidden="1" x14ac:dyDescent="0.2">
      <c r="A56" t="s">
        <v>332</v>
      </c>
      <c r="B56">
        <v>2018</v>
      </c>
      <c r="C56" t="s">
        <v>333</v>
      </c>
      <c r="D56" t="s">
        <v>49</v>
      </c>
      <c r="E56" t="s">
        <v>75</v>
      </c>
      <c r="F56" t="s">
        <v>334</v>
      </c>
      <c r="G56" t="s">
        <v>335</v>
      </c>
      <c r="H56" t="s">
        <v>91</v>
      </c>
      <c r="I56" t="s">
        <v>54</v>
      </c>
      <c r="J56" t="s">
        <v>92</v>
      </c>
      <c r="K56" t="s">
        <v>56</v>
      </c>
      <c r="L56" t="s">
        <v>58</v>
      </c>
      <c r="M56" t="s">
        <v>58</v>
      </c>
      <c r="N56" t="s">
        <v>93</v>
      </c>
      <c r="O56" t="s">
        <v>57</v>
      </c>
      <c r="P56" t="s">
        <v>58</v>
      </c>
      <c r="Q56" t="s">
        <v>57</v>
      </c>
      <c r="T56" t="s">
        <v>336</v>
      </c>
      <c r="U56" t="s">
        <v>337</v>
      </c>
      <c r="X56" t="s">
        <v>338</v>
      </c>
      <c r="AB56" t="s">
        <v>339</v>
      </c>
      <c r="AH56" t="s">
        <v>64</v>
      </c>
      <c r="AJ56" s="3" t="s">
        <v>360</v>
      </c>
      <c r="AL56" s="3" t="s">
        <v>67</v>
      </c>
      <c r="AM56" s="4" t="s">
        <v>361</v>
      </c>
      <c r="AN56" s="4" t="s">
        <v>341</v>
      </c>
      <c r="AO56" s="4" t="s">
        <v>362</v>
      </c>
      <c r="AP56" s="5" t="s">
        <v>363</v>
      </c>
      <c r="AQ56" s="5" t="s">
        <v>341</v>
      </c>
      <c r="AR56" s="5" t="s">
        <v>364</v>
      </c>
      <c r="AU56" s="3" t="s">
        <v>73</v>
      </c>
      <c r="AV56">
        <v>56</v>
      </c>
      <c r="AW56">
        <v>35</v>
      </c>
    </row>
    <row r="57" spans="1:49" hidden="1" x14ac:dyDescent="0.2">
      <c r="A57" t="s">
        <v>332</v>
      </c>
      <c r="B57">
        <v>2018</v>
      </c>
      <c r="C57" t="s">
        <v>333</v>
      </c>
      <c r="D57" t="s">
        <v>49</v>
      </c>
      <c r="E57" t="s">
        <v>75</v>
      </c>
      <c r="F57" t="s">
        <v>334</v>
      </c>
      <c r="G57" t="s">
        <v>335</v>
      </c>
      <c r="H57" t="s">
        <v>91</v>
      </c>
      <c r="I57" t="s">
        <v>54</v>
      </c>
      <c r="J57" t="s">
        <v>92</v>
      </c>
      <c r="K57" t="s">
        <v>56</v>
      </c>
      <c r="L57" t="s">
        <v>58</v>
      </c>
      <c r="M57" t="s">
        <v>58</v>
      </c>
      <c r="N57" t="s">
        <v>93</v>
      </c>
      <c r="O57" t="s">
        <v>57</v>
      </c>
      <c r="P57" t="s">
        <v>58</v>
      </c>
      <c r="Q57" t="s">
        <v>57</v>
      </c>
      <c r="T57" t="s">
        <v>336</v>
      </c>
      <c r="U57" t="s">
        <v>337</v>
      </c>
      <c r="X57" t="s">
        <v>338</v>
      </c>
      <c r="AB57" t="s">
        <v>339</v>
      </c>
      <c r="AH57" t="s">
        <v>64</v>
      </c>
      <c r="AJ57" s="3" t="s">
        <v>360</v>
      </c>
      <c r="AL57" s="3" t="s">
        <v>67</v>
      </c>
      <c r="AM57" s="4" t="s">
        <v>365</v>
      </c>
      <c r="AN57" s="4" t="s">
        <v>341</v>
      </c>
      <c r="AO57" s="4" t="s">
        <v>366</v>
      </c>
      <c r="AP57" s="5" t="s">
        <v>367</v>
      </c>
      <c r="AQ57" s="5" t="s">
        <v>341</v>
      </c>
      <c r="AR57" s="5" t="s">
        <v>368</v>
      </c>
      <c r="AU57" s="3" t="s">
        <v>73</v>
      </c>
      <c r="AV57">
        <v>56</v>
      </c>
      <c r="AW57">
        <v>35</v>
      </c>
    </row>
    <row r="58" spans="1:49" hidden="1" x14ac:dyDescent="0.2">
      <c r="A58" t="s">
        <v>376</v>
      </c>
      <c r="B58">
        <v>2010</v>
      </c>
      <c r="C58" t="s">
        <v>87</v>
      </c>
      <c r="D58" t="s">
        <v>88</v>
      </c>
      <c r="E58" t="s">
        <v>88</v>
      </c>
      <c r="F58" t="s">
        <v>279</v>
      </c>
      <c r="G58" t="s">
        <v>377</v>
      </c>
      <c r="H58" t="s">
        <v>91</v>
      </c>
      <c r="I58" t="s">
        <v>54</v>
      </c>
      <c r="J58" t="s">
        <v>260</v>
      </c>
      <c r="K58" t="s">
        <v>56</v>
      </c>
      <c r="L58" t="s">
        <v>58</v>
      </c>
      <c r="M58" t="s">
        <v>57</v>
      </c>
      <c r="N58" t="s">
        <v>57</v>
      </c>
      <c r="O58" t="s">
        <v>57</v>
      </c>
      <c r="P58" t="s">
        <v>58</v>
      </c>
      <c r="Q58" t="s">
        <v>57</v>
      </c>
      <c r="R58" t="s">
        <v>378</v>
      </c>
      <c r="S58" t="s">
        <v>379</v>
      </c>
      <c r="T58" t="s">
        <v>380</v>
      </c>
      <c r="U58" t="s">
        <v>381</v>
      </c>
      <c r="X58" t="s">
        <v>87</v>
      </c>
      <c r="AB58" t="s">
        <v>382</v>
      </c>
      <c r="AH58" t="s">
        <v>100</v>
      </c>
      <c r="AJ58" s="3" t="s">
        <v>65</v>
      </c>
      <c r="AK58" s="3" t="s">
        <v>66</v>
      </c>
      <c r="AL58" s="3" t="s">
        <v>67</v>
      </c>
      <c r="AM58" s="4" t="s">
        <v>383</v>
      </c>
      <c r="AN58" s="4" t="s">
        <v>384</v>
      </c>
      <c r="AO58" s="4" t="s">
        <v>385</v>
      </c>
      <c r="AP58" s="5" t="s">
        <v>400</v>
      </c>
      <c r="AQ58" s="5" t="s">
        <v>384</v>
      </c>
      <c r="AR58" s="5" t="s">
        <v>401</v>
      </c>
      <c r="AU58" s="3" t="s">
        <v>402</v>
      </c>
      <c r="AV58">
        <v>65</v>
      </c>
      <c r="AW58">
        <v>35</v>
      </c>
    </row>
    <row r="59" spans="1:49" hidden="1" x14ac:dyDescent="0.2">
      <c r="A59" t="s">
        <v>376</v>
      </c>
      <c r="B59">
        <v>2010</v>
      </c>
      <c r="C59" t="s">
        <v>388</v>
      </c>
      <c r="D59" t="s">
        <v>49</v>
      </c>
      <c r="E59" t="s">
        <v>75</v>
      </c>
      <c r="F59" t="s">
        <v>279</v>
      </c>
      <c r="G59" t="s">
        <v>377</v>
      </c>
      <c r="H59" t="s">
        <v>91</v>
      </c>
      <c r="I59" t="s">
        <v>54</v>
      </c>
      <c r="J59" t="s">
        <v>260</v>
      </c>
      <c r="K59" t="s">
        <v>56</v>
      </c>
      <c r="L59" t="s">
        <v>58</v>
      </c>
      <c r="M59" t="s">
        <v>57</v>
      </c>
      <c r="N59" t="s">
        <v>57</v>
      </c>
      <c r="O59" t="s">
        <v>57</v>
      </c>
      <c r="P59" t="s">
        <v>58</v>
      </c>
      <c r="Q59" t="s">
        <v>57</v>
      </c>
      <c r="R59" t="s">
        <v>389</v>
      </c>
      <c r="S59" t="s">
        <v>390</v>
      </c>
      <c r="T59" t="s">
        <v>391</v>
      </c>
      <c r="U59" t="s">
        <v>392</v>
      </c>
      <c r="X59" t="s">
        <v>393</v>
      </c>
      <c r="AB59" t="s">
        <v>394</v>
      </c>
      <c r="AH59" t="s">
        <v>395</v>
      </c>
      <c r="AJ59" s="3" t="s">
        <v>65</v>
      </c>
      <c r="AK59" s="3" t="s">
        <v>66</v>
      </c>
      <c r="AL59" s="3" t="s">
        <v>67</v>
      </c>
      <c r="AM59" s="4" t="s">
        <v>396</v>
      </c>
      <c r="AN59" s="4" t="s">
        <v>384</v>
      </c>
      <c r="AO59" s="4" t="s">
        <v>397</v>
      </c>
      <c r="AP59" s="5" t="s">
        <v>403</v>
      </c>
      <c r="AQ59" s="5" t="s">
        <v>384</v>
      </c>
      <c r="AR59" s="5" t="s">
        <v>404</v>
      </c>
      <c r="AU59" s="3" t="s">
        <v>402</v>
      </c>
      <c r="AV59">
        <v>65</v>
      </c>
      <c r="AW59">
        <v>35</v>
      </c>
    </row>
    <row r="60" spans="1:49" hidden="1" x14ac:dyDescent="0.2">
      <c r="A60" t="s">
        <v>376</v>
      </c>
      <c r="B60">
        <v>2010</v>
      </c>
      <c r="C60" t="s">
        <v>87</v>
      </c>
      <c r="D60" t="s">
        <v>88</v>
      </c>
      <c r="E60" t="s">
        <v>88</v>
      </c>
      <c r="F60" t="s">
        <v>279</v>
      </c>
      <c r="G60" t="s">
        <v>377</v>
      </c>
      <c r="H60" t="s">
        <v>91</v>
      </c>
      <c r="I60" t="s">
        <v>54</v>
      </c>
      <c r="J60" t="s">
        <v>260</v>
      </c>
      <c r="K60" t="s">
        <v>56</v>
      </c>
      <c r="L60" t="s">
        <v>58</v>
      </c>
      <c r="M60" t="s">
        <v>57</v>
      </c>
      <c r="N60" t="s">
        <v>57</v>
      </c>
      <c r="O60" t="s">
        <v>57</v>
      </c>
      <c r="P60" t="s">
        <v>58</v>
      </c>
      <c r="Q60" t="s">
        <v>57</v>
      </c>
      <c r="R60" t="s">
        <v>378</v>
      </c>
      <c r="S60" t="s">
        <v>379</v>
      </c>
      <c r="T60" t="s">
        <v>380</v>
      </c>
      <c r="U60" t="s">
        <v>381</v>
      </c>
      <c r="X60" t="s">
        <v>87</v>
      </c>
      <c r="AB60" t="s">
        <v>382</v>
      </c>
      <c r="AH60" t="s">
        <v>100</v>
      </c>
      <c r="AJ60" s="3" t="s">
        <v>65</v>
      </c>
      <c r="AK60" s="3" t="s">
        <v>66</v>
      </c>
      <c r="AL60" s="3" t="s">
        <v>67</v>
      </c>
      <c r="AM60" s="4" t="s">
        <v>383</v>
      </c>
      <c r="AN60" s="4" t="s">
        <v>384</v>
      </c>
      <c r="AO60" s="4" t="s">
        <v>385</v>
      </c>
      <c r="AP60" s="5" t="s">
        <v>386</v>
      </c>
      <c r="AQ60" s="5" t="s">
        <v>384</v>
      </c>
      <c r="AR60" s="5" t="s">
        <v>387</v>
      </c>
      <c r="AU60" s="3" t="s">
        <v>683</v>
      </c>
      <c r="AV60">
        <v>35</v>
      </c>
      <c r="AW60">
        <v>35</v>
      </c>
    </row>
    <row r="61" spans="1:49" hidden="1" x14ac:dyDescent="0.2">
      <c r="A61" t="s">
        <v>376</v>
      </c>
      <c r="B61">
        <v>2010</v>
      </c>
      <c r="C61" t="s">
        <v>388</v>
      </c>
      <c r="D61" t="s">
        <v>49</v>
      </c>
      <c r="E61" t="s">
        <v>75</v>
      </c>
      <c r="F61" t="s">
        <v>279</v>
      </c>
      <c r="G61" t="s">
        <v>377</v>
      </c>
      <c r="H61" t="s">
        <v>91</v>
      </c>
      <c r="I61" t="s">
        <v>54</v>
      </c>
      <c r="J61" t="s">
        <v>260</v>
      </c>
      <c r="K61" t="s">
        <v>56</v>
      </c>
      <c r="L61" t="s">
        <v>58</v>
      </c>
      <c r="M61" t="s">
        <v>57</v>
      </c>
      <c r="N61" t="s">
        <v>57</v>
      </c>
      <c r="O61" t="s">
        <v>57</v>
      </c>
      <c r="P61" t="s">
        <v>58</v>
      </c>
      <c r="Q61" t="s">
        <v>57</v>
      </c>
      <c r="R61" t="s">
        <v>389</v>
      </c>
      <c r="S61" t="s">
        <v>390</v>
      </c>
      <c r="T61" t="s">
        <v>391</v>
      </c>
      <c r="U61" t="s">
        <v>392</v>
      </c>
      <c r="X61" t="s">
        <v>393</v>
      </c>
      <c r="AB61" t="s">
        <v>394</v>
      </c>
      <c r="AH61" t="s">
        <v>395</v>
      </c>
      <c r="AJ61" s="3" t="s">
        <v>65</v>
      </c>
      <c r="AK61" s="3" t="s">
        <v>66</v>
      </c>
      <c r="AL61" s="3" t="s">
        <v>67</v>
      </c>
      <c r="AM61" s="4" t="s">
        <v>396</v>
      </c>
      <c r="AN61" s="4" t="s">
        <v>384</v>
      </c>
      <c r="AO61" s="4" t="s">
        <v>397</v>
      </c>
      <c r="AP61" s="5" t="s">
        <v>398</v>
      </c>
      <c r="AQ61" s="5" t="s">
        <v>384</v>
      </c>
      <c r="AR61" s="5" t="s">
        <v>399</v>
      </c>
      <c r="AU61" s="3" t="s">
        <v>683</v>
      </c>
      <c r="AV61">
        <v>35</v>
      </c>
      <c r="AW61">
        <v>35</v>
      </c>
    </row>
    <row r="62" spans="1:49" hidden="1" x14ac:dyDescent="0.2">
      <c r="A62" t="s">
        <v>405</v>
      </c>
      <c r="B62">
        <v>2017</v>
      </c>
      <c r="C62" t="s">
        <v>87</v>
      </c>
      <c r="D62" t="s">
        <v>88</v>
      </c>
      <c r="E62" t="s">
        <v>88</v>
      </c>
      <c r="F62" t="s">
        <v>279</v>
      </c>
      <c r="G62" t="s">
        <v>406</v>
      </c>
      <c r="H62" t="s">
        <v>53</v>
      </c>
      <c r="I62" t="s">
        <v>54</v>
      </c>
      <c r="J62" t="s">
        <v>260</v>
      </c>
      <c r="K62" t="s">
        <v>56</v>
      </c>
      <c r="L62" t="s">
        <v>58</v>
      </c>
      <c r="M62" t="s">
        <v>57</v>
      </c>
      <c r="N62" t="s">
        <v>57</v>
      </c>
      <c r="O62" t="s">
        <v>57</v>
      </c>
      <c r="P62" t="s">
        <v>58</v>
      </c>
      <c r="Q62" t="s">
        <v>57</v>
      </c>
      <c r="T62" t="s">
        <v>407</v>
      </c>
      <c r="U62" t="s">
        <v>408</v>
      </c>
      <c r="V62" t="s">
        <v>409</v>
      </c>
      <c r="X62" t="s">
        <v>87</v>
      </c>
      <c r="AB62" t="s">
        <v>410</v>
      </c>
      <c r="AH62" t="s">
        <v>100</v>
      </c>
      <c r="AJ62" s="3" t="s">
        <v>411</v>
      </c>
      <c r="AL62" s="3" t="s">
        <v>67</v>
      </c>
      <c r="AM62" s="4" t="s">
        <v>412</v>
      </c>
      <c r="AN62" s="4" t="s">
        <v>413</v>
      </c>
      <c r="AO62" s="4" t="s">
        <v>414</v>
      </c>
      <c r="AP62" s="5" t="s">
        <v>415</v>
      </c>
      <c r="AQ62" s="5" t="s">
        <v>413</v>
      </c>
      <c r="AR62" s="5" t="s">
        <v>416</v>
      </c>
      <c r="AU62" s="3" t="s">
        <v>684</v>
      </c>
      <c r="AV62">
        <v>56</v>
      </c>
      <c r="AW62">
        <v>35</v>
      </c>
    </row>
    <row r="63" spans="1:49" hidden="1" x14ac:dyDescent="0.2">
      <c r="A63" t="s">
        <v>405</v>
      </c>
      <c r="B63">
        <v>2017</v>
      </c>
      <c r="C63" t="s">
        <v>417</v>
      </c>
      <c r="D63" t="s">
        <v>49</v>
      </c>
      <c r="E63" t="s">
        <v>75</v>
      </c>
      <c r="F63" t="s">
        <v>279</v>
      </c>
      <c r="G63" t="s">
        <v>406</v>
      </c>
      <c r="H63" t="s">
        <v>53</v>
      </c>
      <c r="I63" t="s">
        <v>54</v>
      </c>
      <c r="J63" t="s">
        <v>260</v>
      </c>
      <c r="K63" t="s">
        <v>56</v>
      </c>
      <c r="L63" t="s">
        <v>58</v>
      </c>
      <c r="M63" t="s">
        <v>57</v>
      </c>
      <c r="N63" t="s">
        <v>57</v>
      </c>
      <c r="O63" t="s">
        <v>57</v>
      </c>
      <c r="P63" t="s">
        <v>58</v>
      </c>
      <c r="Q63" t="s">
        <v>57</v>
      </c>
      <c r="T63" t="s">
        <v>418</v>
      </c>
      <c r="U63" t="s">
        <v>419</v>
      </c>
      <c r="V63" t="s">
        <v>420</v>
      </c>
      <c r="X63" t="s">
        <v>421</v>
      </c>
      <c r="AB63" t="s">
        <v>422</v>
      </c>
      <c r="AH63" t="s">
        <v>64</v>
      </c>
      <c r="AJ63" s="3" t="s">
        <v>411</v>
      </c>
      <c r="AL63" s="3" t="s">
        <v>67</v>
      </c>
      <c r="AM63" s="4" t="s">
        <v>423</v>
      </c>
      <c r="AN63" s="4" t="s">
        <v>102</v>
      </c>
      <c r="AO63" s="4" t="s">
        <v>424</v>
      </c>
      <c r="AP63" s="5" t="s">
        <v>425</v>
      </c>
      <c r="AQ63" s="5" t="s">
        <v>102</v>
      </c>
      <c r="AR63" s="5" t="s">
        <v>426</v>
      </c>
      <c r="AU63" s="3" t="s">
        <v>684</v>
      </c>
      <c r="AV63">
        <v>56</v>
      </c>
      <c r="AW63">
        <v>35</v>
      </c>
    </row>
    <row r="64" spans="1:49" hidden="1" x14ac:dyDescent="0.2">
      <c r="A64" t="s">
        <v>427</v>
      </c>
      <c r="B64">
        <v>2017</v>
      </c>
      <c r="C64" t="s">
        <v>428</v>
      </c>
      <c r="D64" t="s">
        <v>88</v>
      </c>
      <c r="E64" t="s">
        <v>88</v>
      </c>
      <c r="F64" t="s">
        <v>429</v>
      </c>
      <c r="G64" t="s">
        <v>430</v>
      </c>
      <c r="H64" t="s">
        <v>91</v>
      </c>
      <c r="I64" t="s">
        <v>54</v>
      </c>
      <c r="J64" t="s">
        <v>260</v>
      </c>
      <c r="K64" t="s">
        <v>56</v>
      </c>
      <c r="L64" t="s">
        <v>93</v>
      </c>
      <c r="M64" t="s">
        <v>57</v>
      </c>
      <c r="N64" t="s">
        <v>57</v>
      </c>
      <c r="O64" t="s">
        <v>57</v>
      </c>
      <c r="P64" t="s">
        <v>58</v>
      </c>
      <c r="Q64" t="s">
        <v>57</v>
      </c>
      <c r="T64" t="s">
        <v>431</v>
      </c>
      <c r="U64" t="s">
        <v>432</v>
      </c>
      <c r="X64" t="s">
        <v>88</v>
      </c>
      <c r="AB64" t="s">
        <v>88</v>
      </c>
      <c r="AH64" t="s">
        <v>100</v>
      </c>
      <c r="AJ64" s="3" t="s">
        <v>65</v>
      </c>
      <c r="AK64" s="3" t="s">
        <v>66</v>
      </c>
      <c r="AL64" s="3" t="s">
        <v>67</v>
      </c>
      <c r="AM64" s="4" t="s">
        <v>433</v>
      </c>
      <c r="AN64" s="4" t="s">
        <v>434</v>
      </c>
      <c r="AO64" s="4" t="s">
        <v>435</v>
      </c>
      <c r="AP64" s="5" t="s">
        <v>436</v>
      </c>
      <c r="AQ64" s="5" t="s">
        <v>434</v>
      </c>
      <c r="AR64" s="5" t="s">
        <v>437</v>
      </c>
      <c r="AU64" s="3" t="s">
        <v>438</v>
      </c>
      <c r="AV64">
        <f>56+90</f>
        <v>146</v>
      </c>
      <c r="AW64">
        <v>56</v>
      </c>
    </row>
    <row r="65" spans="1:49" hidden="1" x14ac:dyDescent="0.2">
      <c r="A65" t="s">
        <v>427</v>
      </c>
      <c r="B65">
        <v>2017</v>
      </c>
      <c r="C65" t="s">
        <v>439</v>
      </c>
      <c r="D65" t="s">
        <v>49</v>
      </c>
      <c r="E65" t="s">
        <v>50</v>
      </c>
      <c r="F65" t="s">
        <v>429</v>
      </c>
      <c r="G65" t="s">
        <v>430</v>
      </c>
      <c r="H65" t="s">
        <v>91</v>
      </c>
      <c r="I65" t="s">
        <v>54</v>
      </c>
      <c r="J65" t="s">
        <v>260</v>
      </c>
      <c r="K65" t="s">
        <v>56</v>
      </c>
      <c r="L65" t="s">
        <v>93</v>
      </c>
      <c r="M65" t="s">
        <v>57</v>
      </c>
      <c r="N65" t="s">
        <v>57</v>
      </c>
      <c r="O65" t="s">
        <v>57</v>
      </c>
      <c r="P65" t="s">
        <v>58</v>
      </c>
      <c r="Q65" t="s">
        <v>57</v>
      </c>
      <c r="T65" t="s">
        <v>440</v>
      </c>
      <c r="U65" t="s">
        <v>441</v>
      </c>
      <c r="X65" t="s">
        <v>442</v>
      </c>
      <c r="AB65" t="s">
        <v>443</v>
      </c>
      <c r="AH65" t="s">
        <v>64</v>
      </c>
      <c r="AJ65" s="3" t="s">
        <v>65</v>
      </c>
      <c r="AK65" s="3" t="s">
        <v>66</v>
      </c>
      <c r="AL65" s="3" t="s">
        <v>67</v>
      </c>
      <c r="AM65" s="4" t="s">
        <v>444</v>
      </c>
      <c r="AN65" s="4" t="s">
        <v>445</v>
      </c>
      <c r="AO65" s="4" t="s">
        <v>212</v>
      </c>
      <c r="AP65" s="5">
        <v>-17.399999999999999</v>
      </c>
      <c r="AQ65" s="5" t="s">
        <v>445</v>
      </c>
      <c r="AR65" s="5">
        <v>8.3800000000000008</v>
      </c>
      <c r="AU65" s="3" t="s">
        <v>438</v>
      </c>
      <c r="AV65">
        <f>56+90</f>
        <v>146</v>
      </c>
      <c r="AW65">
        <v>56</v>
      </c>
    </row>
    <row r="66" spans="1:49" hidden="1" x14ac:dyDescent="0.2">
      <c r="A66" t="s">
        <v>427</v>
      </c>
      <c r="B66">
        <v>2017</v>
      </c>
      <c r="C66" t="s">
        <v>428</v>
      </c>
      <c r="D66" t="s">
        <v>88</v>
      </c>
      <c r="E66" t="s">
        <v>88</v>
      </c>
      <c r="F66" t="s">
        <v>429</v>
      </c>
      <c r="G66" t="s">
        <v>430</v>
      </c>
      <c r="H66" t="s">
        <v>91</v>
      </c>
      <c r="I66" t="s">
        <v>54</v>
      </c>
      <c r="J66" t="s">
        <v>260</v>
      </c>
      <c r="K66" t="s">
        <v>56</v>
      </c>
      <c r="L66" t="s">
        <v>93</v>
      </c>
      <c r="M66" t="s">
        <v>57</v>
      </c>
      <c r="N66" t="s">
        <v>57</v>
      </c>
      <c r="O66" t="s">
        <v>57</v>
      </c>
      <c r="P66" t="s">
        <v>58</v>
      </c>
      <c r="Q66" t="s">
        <v>57</v>
      </c>
      <c r="T66" t="s">
        <v>431</v>
      </c>
      <c r="U66" t="s">
        <v>432</v>
      </c>
      <c r="X66" t="s">
        <v>88</v>
      </c>
      <c r="AB66" t="s">
        <v>88</v>
      </c>
      <c r="AH66" t="s">
        <v>100</v>
      </c>
      <c r="AJ66" s="3" t="s">
        <v>65</v>
      </c>
      <c r="AK66" s="3" t="s">
        <v>66</v>
      </c>
      <c r="AL66" s="3" t="s">
        <v>67</v>
      </c>
      <c r="AM66" s="4" t="s">
        <v>433</v>
      </c>
      <c r="AN66" s="4" t="s">
        <v>434</v>
      </c>
      <c r="AO66" s="4" t="s">
        <v>435</v>
      </c>
      <c r="AP66" s="5" t="s">
        <v>446</v>
      </c>
      <c r="AQ66" s="5" t="s">
        <v>434</v>
      </c>
      <c r="AR66" s="5" t="s">
        <v>154</v>
      </c>
      <c r="AU66" s="3" t="s">
        <v>682</v>
      </c>
      <c r="AV66">
        <v>56</v>
      </c>
      <c r="AW66">
        <v>56</v>
      </c>
    </row>
    <row r="67" spans="1:49" hidden="1" x14ac:dyDescent="0.2">
      <c r="A67" t="s">
        <v>427</v>
      </c>
      <c r="B67">
        <v>2017</v>
      </c>
      <c r="C67" t="s">
        <v>439</v>
      </c>
      <c r="D67" t="s">
        <v>49</v>
      </c>
      <c r="E67" t="s">
        <v>50</v>
      </c>
      <c r="F67" t="s">
        <v>429</v>
      </c>
      <c r="G67" t="s">
        <v>430</v>
      </c>
      <c r="H67" t="s">
        <v>91</v>
      </c>
      <c r="I67" t="s">
        <v>54</v>
      </c>
      <c r="J67" t="s">
        <v>260</v>
      </c>
      <c r="K67" t="s">
        <v>56</v>
      </c>
      <c r="L67" t="s">
        <v>93</v>
      </c>
      <c r="M67" t="s">
        <v>57</v>
      </c>
      <c r="N67" t="s">
        <v>57</v>
      </c>
      <c r="O67" t="s">
        <v>57</v>
      </c>
      <c r="P67" t="s">
        <v>58</v>
      </c>
      <c r="Q67" t="s">
        <v>57</v>
      </c>
      <c r="T67" t="s">
        <v>440</v>
      </c>
      <c r="U67" t="s">
        <v>441</v>
      </c>
      <c r="X67" t="s">
        <v>442</v>
      </c>
      <c r="AB67" t="s">
        <v>443</v>
      </c>
      <c r="AH67" t="s">
        <v>64</v>
      </c>
      <c r="AJ67" s="3" t="s">
        <v>65</v>
      </c>
      <c r="AK67" s="3" t="s">
        <v>66</v>
      </c>
      <c r="AL67" s="3" t="s">
        <v>67</v>
      </c>
      <c r="AM67" s="4" t="s">
        <v>444</v>
      </c>
      <c r="AN67" s="4" t="s">
        <v>445</v>
      </c>
      <c r="AO67" s="4" t="s">
        <v>212</v>
      </c>
      <c r="AP67" s="5" t="s">
        <v>447</v>
      </c>
      <c r="AQ67" s="5" t="s">
        <v>445</v>
      </c>
      <c r="AR67" s="5" t="s">
        <v>448</v>
      </c>
      <c r="AU67" s="3" t="s">
        <v>682</v>
      </c>
      <c r="AV67">
        <v>56</v>
      </c>
      <c r="AW67">
        <v>56</v>
      </c>
    </row>
    <row r="68" spans="1:49" hidden="1" x14ac:dyDescent="0.2">
      <c r="A68" t="s">
        <v>449</v>
      </c>
      <c r="B68">
        <v>2016</v>
      </c>
      <c r="C68" t="s">
        <v>450</v>
      </c>
      <c r="D68" t="s">
        <v>49</v>
      </c>
      <c r="E68" t="s">
        <v>75</v>
      </c>
      <c r="F68" t="s">
        <v>258</v>
      </c>
      <c r="G68" t="s">
        <v>451</v>
      </c>
      <c r="H68" t="s">
        <v>53</v>
      </c>
      <c r="I68" t="s">
        <v>54</v>
      </c>
      <c r="J68" t="s">
        <v>452</v>
      </c>
      <c r="K68" t="s">
        <v>56</v>
      </c>
      <c r="L68" t="s">
        <v>58</v>
      </c>
      <c r="M68" t="s">
        <v>58</v>
      </c>
      <c r="N68" t="s">
        <v>58</v>
      </c>
      <c r="O68" t="s">
        <v>57</v>
      </c>
      <c r="P68" t="s">
        <v>58</v>
      </c>
      <c r="Q68" t="s">
        <v>57</v>
      </c>
      <c r="R68" t="s">
        <v>453</v>
      </c>
      <c r="S68" t="s">
        <v>454</v>
      </c>
      <c r="T68" t="s">
        <v>455</v>
      </c>
      <c r="U68" t="s">
        <v>456</v>
      </c>
      <c r="X68" t="s">
        <v>457</v>
      </c>
      <c r="AB68" t="s">
        <v>458</v>
      </c>
      <c r="AH68" t="s">
        <v>209</v>
      </c>
      <c r="AJ68" s="3" t="s">
        <v>65</v>
      </c>
      <c r="AK68" s="3" t="s">
        <v>459</v>
      </c>
      <c r="AL68" s="3" t="s">
        <v>67</v>
      </c>
      <c r="AM68" s="4" t="s">
        <v>460</v>
      </c>
      <c r="AN68" s="4" t="s">
        <v>461</v>
      </c>
      <c r="AO68" s="4" t="s">
        <v>462</v>
      </c>
      <c r="AP68" s="5" t="s">
        <v>463</v>
      </c>
      <c r="AQ68" s="5" t="s">
        <v>461</v>
      </c>
      <c r="AR68" s="5" t="s">
        <v>464</v>
      </c>
      <c r="AU68" s="3" t="s">
        <v>465</v>
      </c>
      <c r="AV68">
        <v>180</v>
      </c>
      <c r="AW68">
        <v>90</v>
      </c>
    </row>
    <row r="69" spans="1:49" hidden="1" x14ac:dyDescent="0.2">
      <c r="A69" t="s">
        <v>449</v>
      </c>
      <c r="B69">
        <v>2016</v>
      </c>
      <c r="C69" t="s">
        <v>466</v>
      </c>
      <c r="D69" t="s">
        <v>88</v>
      </c>
      <c r="E69" t="s">
        <v>88</v>
      </c>
      <c r="F69" t="s">
        <v>258</v>
      </c>
      <c r="G69" t="s">
        <v>451</v>
      </c>
      <c r="H69" t="s">
        <v>53</v>
      </c>
      <c r="I69" t="s">
        <v>54</v>
      </c>
      <c r="J69" t="s">
        <v>452</v>
      </c>
      <c r="K69" t="s">
        <v>56</v>
      </c>
      <c r="L69" t="s">
        <v>58</v>
      </c>
      <c r="M69" t="s">
        <v>58</v>
      </c>
      <c r="N69" t="s">
        <v>58</v>
      </c>
      <c r="O69" t="s">
        <v>57</v>
      </c>
      <c r="P69" t="s">
        <v>58</v>
      </c>
      <c r="Q69" t="s">
        <v>57</v>
      </c>
      <c r="R69" t="s">
        <v>467</v>
      </c>
      <c r="S69" t="s">
        <v>468</v>
      </c>
      <c r="T69" t="s">
        <v>469</v>
      </c>
      <c r="U69" t="s">
        <v>470</v>
      </c>
      <c r="X69" t="s">
        <v>471</v>
      </c>
      <c r="AB69" t="s">
        <v>472</v>
      </c>
      <c r="AH69" t="s">
        <v>100</v>
      </c>
      <c r="AJ69" s="3" t="s">
        <v>65</v>
      </c>
      <c r="AK69" s="3" t="s">
        <v>459</v>
      </c>
      <c r="AL69" s="3" t="s">
        <v>67</v>
      </c>
      <c r="AM69" s="4" t="s">
        <v>473</v>
      </c>
      <c r="AN69" s="4" t="s">
        <v>461</v>
      </c>
      <c r="AO69" s="4" t="s">
        <v>474</v>
      </c>
      <c r="AP69" s="5" t="s">
        <v>475</v>
      </c>
      <c r="AQ69" s="5" t="s">
        <v>461</v>
      </c>
      <c r="AR69" s="5" t="s">
        <v>476</v>
      </c>
      <c r="AU69" s="3" t="s">
        <v>465</v>
      </c>
      <c r="AV69">
        <v>180</v>
      </c>
      <c r="AW69">
        <v>90</v>
      </c>
    </row>
    <row r="70" spans="1:49" hidden="1" x14ac:dyDescent="0.2">
      <c r="A70" t="s">
        <v>449</v>
      </c>
      <c r="B70">
        <v>2016</v>
      </c>
      <c r="C70" t="s">
        <v>450</v>
      </c>
      <c r="D70" t="s">
        <v>49</v>
      </c>
      <c r="E70" t="s">
        <v>75</v>
      </c>
      <c r="F70" t="s">
        <v>258</v>
      </c>
      <c r="G70" t="s">
        <v>451</v>
      </c>
      <c r="H70" t="s">
        <v>53</v>
      </c>
      <c r="I70" t="s">
        <v>54</v>
      </c>
      <c r="J70" t="s">
        <v>452</v>
      </c>
      <c r="K70" t="s">
        <v>56</v>
      </c>
      <c r="L70" t="s">
        <v>58</v>
      </c>
      <c r="M70" t="s">
        <v>58</v>
      </c>
      <c r="N70" t="s">
        <v>58</v>
      </c>
      <c r="O70" t="s">
        <v>57</v>
      </c>
      <c r="P70" t="s">
        <v>58</v>
      </c>
      <c r="Q70" t="s">
        <v>57</v>
      </c>
      <c r="R70" t="s">
        <v>453</v>
      </c>
      <c r="S70" t="s">
        <v>454</v>
      </c>
      <c r="T70" t="s">
        <v>455</v>
      </c>
      <c r="U70" t="s">
        <v>456</v>
      </c>
      <c r="X70" t="s">
        <v>457</v>
      </c>
      <c r="AB70" t="s">
        <v>458</v>
      </c>
      <c r="AH70" t="s">
        <v>209</v>
      </c>
      <c r="AJ70" s="3" t="s">
        <v>477</v>
      </c>
      <c r="AK70" s="3" t="s">
        <v>143</v>
      </c>
      <c r="AL70" s="3" t="s">
        <v>67</v>
      </c>
      <c r="AM70" s="4" t="s">
        <v>478</v>
      </c>
      <c r="AN70" s="4" t="s">
        <v>461</v>
      </c>
      <c r="AO70" s="4" t="s">
        <v>479</v>
      </c>
      <c r="AP70" s="5" t="s">
        <v>480</v>
      </c>
      <c r="AQ70" s="5" t="s">
        <v>461</v>
      </c>
      <c r="AR70" s="5" t="s">
        <v>481</v>
      </c>
      <c r="AU70" s="3" t="s">
        <v>465</v>
      </c>
      <c r="AV70">
        <v>180</v>
      </c>
      <c r="AW70">
        <v>90</v>
      </c>
    </row>
    <row r="71" spans="1:49" hidden="1" x14ac:dyDescent="0.2">
      <c r="A71" t="s">
        <v>449</v>
      </c>
      <c r="B71">
        <v>2016</v>
      </c>
      <c r="C71" t="s">
        <v>466</v>
      </c>
      <c r="D71" t="s">
        <v>88</v>
      </c>
      <c r="E71" t="s">
        <v>88</v>
      </c>
      <c r="F71" t="s">
        <v>258</v>
      </c>
      <c r="G71" t="s">
        <v>451</v>
      </c>
      <c r="H71" t="s">
        <v>53</v>
      </c>
      <c r="I71" t="s">
        <v>54</v>
      </c>
      <c r="J71" t="s">
        <v>452</v>
      </c>
      <c r="K71" t="s">
        <v>56</v>
      </c>
      <c r="L71" t="s">
        <v>58</v>
      </c>
      <c r="M71" t="s">
        <v>58</v>
      </c>
      <c r="N71" t="s">
        <v>58</v>
      </c>
      <c r="O71" t="s">
        <v>57</v>
      </c>
      <c r="P71" t="s">
        <v>58</v>
      </c>
      <c r="Q71" t="s">
        <v>57</v>
      </c>
      <c r="R71" t="s">
        <v>467</v>
      </c>
      <c r="S71" t="s">
        <v>468</v>
      </c>
      <c r="T71" t="s">
        <v>469</v>
      </c>
      <c r="U71" t="s">
        <v>470</v>
      </c>
      <c r="X71" t="s">
        <v>471</v>
      </c>
      <c r="AB71" t="s">
        <v>472</v>
      </c>
      <c r="AH71" t="s">
        <v>100</v>
      </c>
      <c r="AJ71" s="3" t="s">
        <v>477</v>
      </c>
      <c r="AK71" s="3" t="s">
        <v>143</v>
      </c>
      <c r="AL71" s="3" t="s">
        <v>67</v>
      </c>
      <c r="AM71" s="4" t="s">
        <v>482</v>
      </c>
      <c r="AN71" s="4" t="s">
        <v>461</v>
      </c>
      <c r="AO71" s="4" t="s">
        <v>483</v>
      </c>
      <c r="AP71" s="5" t="s">
        <v>484</v>
      </c>
      <c r="AQ71" s="5" t="s">
        <v>461</v>
      </c>
      <c r="AR71" s="5" t="s">
        <v>485</v>
      </c>
      <c r="AU71" s="3" t="s">
        <v>465</v>
      </c>
      <c r="AV71">
        <v>180</v>
      </c>
      <c r="AW71">
        <v>90</v>
      </c>
    </row>
    <row r="72" spans="1:49" hidden="1" x14ac:dyDescent="0.2">
      <c r="A72" t="s">
        <v>486</v>
      </c>
      <c r="B72">
        <v>2012</v>
      </c>
      <c r="C72" t="s">
        <v>487</v>
      </c>
      <c r="D72" t="s">
        <v>191</v>
      </c>
      <c r="E72" t="s">
        <v>192</v>
      </c>
      <c r="F72" t="s">
        <v>175</v>
      </c>
      <c r="G72" t="s">
        <v>176</v>
      </c>
      <c r="H72" t="s">
        <v>53</v>
      </c>
      <c r="I72" t="s">
        <v>54</v>
      </c>
      <c r="J72" t="s">
        <v>260</v>
      </c>
      <c r="K72" t="s">
        <v>488</v>
      </c>
      <c r="L72" t="s">
        <v>58</v>
      </c>
      <c r="M72" t="s">
        <v>58</v>
      </c>
      <c r="N72" t="s">
        <v>93</v>
      </c>
      <c r="O72" t="s">
        <v>57</v>
      </c>
      <c r="P72" t="s">
        <v>58</v>
      </c>
      <c r="Q72" t="s">
        <v>57</v>
      </c>
      <c r="R72" t="s">
        <v>491</v>
      </c>
      <c r="S72" t="s">
        <v>433</v>
      </c>
      <c r="AA72" t="s">
        <v>492</v>
      </c>
      <c r="AC72" t="s">
        <v>493</v>
      </c>
      <c r="AH72" t="s">
        <v>494</v>
      </c>
      <c r="AJ72" s="3" t="s">
        <v>188</v>
      </c>
      <c r="AK72" s="3" t="s">
        <v>178</v>
      </c>
      <c r="AL72" s="3" t="s">
        <v>67</v>
      </c>
      <c r="AM72" s="4" t="s">
        <v>489</v>
      </c>
      <c r="AN72" s="4" t="s">
        <v>222</v>
      </c>
      <c r="AO72" s="4" t="s">
        <v>490</v>
      </c>
      <c r="AP72" s="5" t="s">
        <v>495</v>
      </c>
      <c r="AQ72" s="5" t="s">
        <v>222</v>
      </c>
      <c r="AR72" s="5" t="s">
        <v>496</v>
      </c>
      <c r="AU72" s="3" t="s">
        <v>685</v>
      </c>
      <c r="AV72">
        <v>194</v>
      </c>
      <c r="AW72">
        <v>14</v>
      </c>
    </row>
    <row r="73" spans="1:49" hidden="1" x14ac:dyDescent="0.2">
      <c r="A73" t="s">
        <v>486</v>
      </c>
      <c r="B73">
        <v>2012</v>
      </c>
      <c r="C73" t="s">
        <v>87</v>
      </c>
      <c r="D73" t="s">
        <v>88</v>
      </c>
      <c r="E73" t="s">
        <v>88</v>
      </c>
      <c r="F73" t="s">
        <v>175</v>
      </c>
      <c r="G73" t="s">
        <v>176</v>
      </c>
      <c r="H73" t="s">
        <v>53</v>
      </c>
      <c r="I73" t="s">
        <v>54</v>
      </c>
      <c r="J73" t="s">
        <v>260</v>
      </c>
      <c r="K73" t="s">
        <v>488</v>
      </c>
      <c r="L73" t="s">
        <v>58</v>
      </c>
      <c r="M73" t="s">
        <v>58</v>
      </c>
      <c r="N73" t="s">
        <v>93</v>
      </c>
      <c r="O73" t="s">
        <v>57</v>
      </c>
      <c r="P73" t="s">
        <v>58</v>
      </c>
      <c r="Q73" t="s">
        <v>57</v>
      </c>
      <c r="R73" t="s">
        <v>498</v>
      </c>
      <c r="S73" t="s">
        <v>445</v>
      </c>
      <c r="AA73" t="s">
        <v>499</v>
      </c>
      <c r="AC73" t="s">
        <v>500</v>
      </c>
      <c r="AH73" t="s">
        <v>501</v>
      </c>
      <c r="AJ73" s="3" t="s">
        <v>188</v>
      </c>
      <c r="AK73" s="3" t="s">
        <v>178</v>
      </c>
      <c r="AL73" s="3" t="s">
        <v>67</v>
      </c>
      <c r="AM73" s="4" t="s">
        <v>502</v>
      </c>
      <c r="AN73" s="4" t="s">
        <v>222</v>
      </c>
      <c r="AO73" s="4" t="s">
        <v>497</v>
      </c>
      <c r="AP73" s="5" t="s">
        <v>503</v>
      </c>
      <c r="AQ73" s="5" t="s">
        <v>222</v>
      </c>
      <c r="AR73" s="5" t="s">
        <v>504</v>
      </c>
      <c r="AU73" s="3" t="s">
        <v>685</v>
      </c>
      <c r="AV73">
        <v>194</v>
      </c>
      <c r="AW73">
        <v>14</v>
      </c>
    </row>
    <row r="74" spans="1:49" hidden="1" x14ac:dyDescent="0.2">
      <c r="A74" t="s">
        <v>505</v>
      </c>
      <c r="B74">
        <v>2010</v>
      </c>
      <c r="C74" t="s">
        <v>506</v>
      </c>
      <c r="D74" t="s">
        <v>88</v>
      </c>
      <c r="E74" t="s">
        <v>88</v>
      </c>
      <c r="F74" t="s">
        <v>175</v>
      </c>
      <c r="G74" t="s">
        <v>507</v>
      </c>
      <c r="H74" t="s">
        <v>53</v>
      </c>
      <c r="I74" t="s">
        <v>54</v>
      </c>
      <c r="J74" t="s">
        <v>92</v>
      </c>
      <c r="K74" t="s">
        <v>177</v>
      </c>
      <c r="L74" t="s">
        <v>58</v>
      </c>
      <c r="M74" t="s">
        <v>58</v>
      </c>
      <c r="N74" t="s">
        <v>93</v>
      </c>
      <c r="O74" t="s">
        <v>58</v>
      </c>
      <c r="P74" t="s">
        <v>58</v>
      </c>
      <c r="Q74" t="s">
        <v>58</v>
      </c>
      <c r="R74" t="s">
        <v>508</v>
      </c>
      <c r="S74" t="s">
        <v>509</v>
      </c>
      <c r="X74" t="s">
        <v>510</v>
      </c>
      <c r="AB74" t="s">
        <v>511</v>
      </c>
      <c r="AH74" t="s">
        <v>512</v>
      </c>
      <c r="AJ74" s="3" t="s">
        <v>168</v>
      </c>
      <c r="AK74" s="3" t="s">
        <v>513</v>
      </c>
      <c r="AL74" s="3" t="s">
        <v>67</v>
      </c>
      <c r="AM74" s="4" t="s">
        <v>514</v>
      </c>
      <c r="AN74" s="4" t="s">
        <v>515</v>
      </c>
      <c r="AO74" s="4" t="s">
        <v>516</v>
      </c>
      <c r="AP74" s="5" t="s">
        <v>517</v>
      </c>
      <c r="AQ74" s="5" t="s">
        <v>515</v>
      </c>
      <c r="AR74" s="5" t="s">
        <v>518</v>
      </c>
      <c r="AU74" s="3" t="s">
        <v>519</v>
      </c>
      <c r="AV74">
        <v>365</v>
      </c>
      <c r="AW74">
        <v>365</v>
      </c>
    </row>
    <row r="75" spans="1:49" hidden="1" x14ac:dyDescent="0.2">
      <c r="A75" t="s">
        <v>505</v>
      </c>
      <c r="B75">
        <v>2010</v>
      </c>
      <c r="C75" t="s">
        <v>520</v>
      </c>
      <c r="D75" t="s">
        <v>191</v>
      </c>
      <c r="E75" t="s">
        <v>192</v>
      </c>
      <c r="F75" t="s">
        <v>175</v>
      </c>
      <c r="G75" t="s">
        <v>507</v>
      </c>
      <c r="H75" t="s">
        <v>53</v>
      </c>
      <c r="I75" t="s">
        <v>54</v>
      </c>
      <c r="J75" t="s">
        <v>92</v>
      </c>
      <c r="K75" t="s">
        <v>177</v>
      </c>
      <c r="L75" t="s">
        <v>58</v>
      </c>
      <c r="M75" t="s">
        <v>58</v>
      </c>
      <c r="N75" t="s">
        <v>93</v>
      </c>
      <c r="O75" t="s">
        <v>58</v>
      </c>
      <c r="P75" t="s">
        <v>58</v>
      </c>
      <c r="Q75" t="s">
        <v>58</v>
      </c>
      <c r="R75" t="s">
        <v>521</v>
      </c>
      <c r="S75" t="s">
        <v>522</v>
      </c>
      <c r="X75" t="s">
        <v>523</v>
      </c>
      <c r="AB75" t="s">
        <v>524</v>
      </c>
      <c r="AH75" t="s">
        <v>525</v>
      </c>
      <c r="AJ75" s="3" t="s">
        <v>168</v>
      </c>
      <c r="AK75" s="3" t="s">
        <v>513</v>
      </c>
      <c r="AL75" s="3" t="s">
        <v>67</v>
      </c>
      <c r="AM75" s="4" t="s">
        <v>526</v>
      </c>
      <c r="AN75" s="4" t="s">
        <v>515</v>
      </c>
      <c r="AO75" s="4" t="s">
        <v>527</v>
      </c>
      <c r="AP75" s="5" t="s">
        <v>528</v>
      </c>
      <c r="AQ75" s="5" t="s">
        <v>515</v>
      </c>
      <c r="AR75" s="5" t="s">
        <v>529</v>
      </c>
      <c r="AU75" s="3" t="s">
        <v>519</v>
      </c>
      <c r="AV75">
        <v>365</v>
      </c>
      <c r="AW75">
        <v>365</v>
      </c>
    </row>
    <row r="76" spans="1:49" hidden="1" x14ac:dyDescent="0.2">
      <c r="A76" t="s">
        <v>530</v>
      </c>
      <c r="B76">
        <v>2010</v>
      </c>
      <c r="C76" t="s">
        <v>506</v>
      </c>
      <c r="D76" t="s">
        <v>88</v>
      </c>
      <c r="E76" t="s">
        <v>88</v>
      </c>
      <c r="F76" t="s">
        <v>175</v>
      </c>
      <c r="G76" t="s">
        <v>531</v>
      </c>
      <c r="H76" t="s">
        <v>53</v>
      </c>
      <c r="I76" t="s">
        <v>54</v>
      </c>
      <c r="J76" t="s">
        <v>92</v>
      </c>
      <c r="K76" t="s">
        <v>532</v>
      </c>
      <c r="L76" t="s">
        <v>58</v>
      </c>
      <c r="M76" t="s">
        <v>58</v>
      </c>
      <c r="N76" t="s">
        <v>93</v>
      </c>
      <c r="O76" t="s">
        <v>58</v>
      </c>
      <c r="P76" t="s">
        <v>58</v>
      </c>
      <c r="Q76" t="s">
        <v>58</v>
      </c>
      <c r="X76" t="s">
        <v>538</v>
      </c>
      <c r="AJ76" s="3" t="s">
        <v>188</v>
      </c>
      <c r="AK76" s="3" t="s">
        <v>178</v>
      </c>
      <c r="AL76" s="3" t="s">
        <v>67</v>
      </c>
      <c r="AM76" s="4" t="s">
        <v>533</v>
      </c>
      <c r="AN76" s="4" t="s">
        <v>534</v>
      </c>
      <c r="AO76" s="4" t="s">
        <v>535</v>
      </c>
      <c r="AP76" s="5" t="s">
        <v>536</v>
      </c>
      <c r="AQ76" s="5" t="s">
        <v>534</v>
      </c>
      <c r="AR76" s="5" t="s">
        <v>537</v>
      </c>
      <c r="AU76" s="3" t="s">
        <v>688</v>
      </c>
      <c r="AW76" s="3" t="s">
        <v>688</v>
      </c>
    </row>
    <row r="77" spans="1:49" hidden="1" x14ac:dyDescent="0.2">
      <c r="A77" t="s">
        <v>530</v>
      </c>
      <c r="B77">
        <v>2010</v>
      </c>
      <c r="C77" t="s">
        <v>539</v>
      </c>
      <c r="D77" t="s">
        <v>105</v>
      </c>
      <c r="E77" t="s">
        <v>687</v>
      </c>
      <c r="F77" t="s">
        <v>175</v>
      </c>
      <c r="G77" t="s">
        <v>531</v>
      </c>
      <c r="H77" t="s">
        <v>53</v>
      </c>
      <c r="I77" t="s">
        <v>54</v>
      </c>
      <c r="J77" t="s">
        <v>92</v>
      </c>
      <c r="K77" t="s">
        <v>532</v>
      </c>
      <c r="L77" t="s">
        <v>58</v>
      </c>
      <c r="M77" t="s">
        <v>58</v>
      </c>
      <c r="N77" t="s">
        <v>93</v>
      </c>
      <c r="O77" t="s">
        <v>58</v>
      </c>
      <c r="P77" t="s">
        <v>58</v>
      </c>
      <c r="Q77" t="s">
        <v>58</v>
      </c>
      <c r="R77" t="s">
        <v>543</v>
      </c>
      <c r="S77" t="s">
        <v>544</v>
      </c>
      <c r="X77" t="s">
        <v>545</v>
      </c>
      <c r="AB77" t="s">
        <v>546</v>
      </c>
      <c r="AH77" t="s">
        <v>525</v>
      </c>
      <c r="AJ77" s="3" t="s">
        <v>188</v>
      </c>
      <c r="AK77" s="3" t="s">
        <v>178</v>
      </c>
      <c r="AL77" s="3" t="s">
        <v>67</v>
      </c>
      <c r="AM77" s="4" t="s">
        <v>212</v>
      </c>
      <c r="AN77" s="4" t="s">
        <v>534</v>
      </c>
      <c r="AO77" s="4" t="s">
        <v>540</v>
      </c>
      <c r="AP77" s="5" t="s">
        <v>541</v>
      </c>
      <c r="AQ77" s="5" t="s">
        <v>534</v>
      </c>
      <c r="AR77" s="5" t="s">
        <v>542</v>
      </c>
      <c r="AU77" s="3" t="s">
        <v>688</v>
      </c>
      <c r="AW77" s="3" t="s">
        <v>688</v>
      </c>
    </row>
    <row r="78" spans="1:49" hidden="1" x14ac:dyDescent="0.2">
      <c r="A78" t="s">
        <v>547</v>
      </c>
      <c r="B78">
        <v>2010</v>
      </c>
      <c r="C78" t="s">
        <v>548</v>
      </c>
      <c r="D78" t="s">
        <v>88</v>
      </c>
      <c r="E78" t="s">
        <v>88</v>
      </c>
      <c r="F78" t="s">
        <v>175</v>
      </c>
      <c r="G78" t="s">
        <v>549</v>
      </c>
      <c r="H78" t="s">
        <v>53</v>
      </c>
      <c r="I78" t="s">
        <v>54</v>
      </c>
      <c r="J78" t="s">
        <v>92</v>
      </c>
      <c r="K78" t="s">
        <v>177</v>
      </c>
      <c r="L78" t="s">
        <v>58</v>
      </c>
      <c r="M78" t="s">
        <v>57</v>
      </c>
      <c r="N78" t="s">
        <v>93</v>
      </c>
      <c r="O78" t="s">
        <v>57</v>
      </c>
      <c r="P78" t="s">
        <v>58</v>
      </c>
      <c r="Q78" t="s">
        <v>57</v>
      </c>
      <c r="X78" t="s">
        <v>554</v>
      </c>
      <c r="AB78" t="s">
        <v>555</v>
      </c>
      <c r="AH78" t="s">
        <v>525</v>
      </c>
      <c r="AJ78" s="3" t="s">
        <v>656</v>
      </c>
      <c r="AK78" s="3" t="s">
        <v>657</v>
      </c>
      <c r="AL78" s="3" t="s">
        <v>67</v>
      </c>
      <c r="AM78" s="4" t="s">
        <v>550</v>
      </c>
      <c r="AN78" s="4" t="s">
        <v>551</v>
      </c>
      <c r="AO78" s="4" t="s">
        <v>542</v>
      </c>
      <c r="AP78" s="5" t="s">
        <v>552</v>
      </c>
      <c r="AQ78" s="5" t="s">
        <v>551</v>
      </c>
      <c r="AR78" s="5" t="s">
        <v>553</v>
      </c>
      <c r="AU78" s="3" t="s">
        <v>189</v>
      </c>
      <c r="AV78">
        <v>365</v>
      </c>
      <c r="AW78">
        <v>365</v>
      </c>
    </row>
    <row r="79" spans="1:49" hidden="1" x14ac:dyDescent="0.2">
      <c r="A79" t="s">
        <v>547</v>
      </c>
      <c r="B79">
        <v>2010</v>
      </c>
      <c r="C79" t="s">
        <v>118</v>
      </c>
      <c r="D79" t="s">
        <v>191</v>
      </c>
      <c r="E79" t="s">
        <v>192</v>
      </c>
      <c r="F79" t="s">
        <v>175</v>
      </c>
      <c r="G79" t="s">
        <v>549</v>
      </c>
      <c r="H79" t="s">
        <v>53</v>
      </c>
      <c r="I79" t="s">
        <v>54</v>
      </c>
      <c r="J79" t="s">
        <v>92</v>
      </c>
      <c r="K79" t="s">
        <v>177</v>
      </c>
      <c r="L79" t="s">
        <v>58</v>
      </c>
      <c r="M79" t="s">
        <v>57</v>
      </c>
      <c r="N79" t="s">
        <v>93</v>
      </c>
      <c r="O79" t="s">
        <v>57</v>
      </c>
      <c r="P79" t="s">
        <v>58</v>
      </c>
      <c r="Q79" t="s">
        <v>57</v>
      </c>
      <c r="X79" t="s">
        <v>560</v>
      </c>
      <c r="AB79" t="s">
        <v>561</v>
      </c>
      <c r="AH79" t="s">
        <v>562</v>
      </c>
      <c r="AJ79" s="3" t="s">
        <v>656</v>
      </c>
      <c r="AK79" s="3" t="s">
        <v>657</v>
      </c>
      <c r="AL79" s="3" t="s">
        <v>67</v>
      </c>
      <c r="AM79" s="4" t="s">
        <v>556</v>
      </c>
      <c r="AN79" s="4" t="s">
        <v>551</v>
      </c>
      <c r="AO79" s="4" t="s">
        <v>557</v>
      </c>
      <c r="AP79" s="5" t="s">
        <v>558</v>
      </c>
      <c r="AQ79" s="5" t="s">
        <v>551</v>
      </c>
      <c r="AR79" s="5" t="s">
        <v>559</v>
      </c>
      <c r="AU79" s="3" t="s">
        <v>189</v>
      </c>
      <c r="AV79">
        <v>365</v>
      </c>
      <c r="AW79">
        <v>365</v>
      </c>
    </row>
    <row r="80" spans="1:49" hidden="1" x14ac:dyDescent="0.2">
      <c r="A80" t="s">
        <v>547</v>
      </c>
      <c r="B80">
        <v>2010</v>
      </c>
      <c r="C80" t="s">
        <v>548</v>
      </c>
      <c r="D80" t="s">
        <v>88</v>
      </c>
      <c r="E80" t="s">
        <v>88</v>
      </c>
      <c r="F80" t="s">
        <v>175</v>
      </c>
      <c r="G80" t="s">
        <v>549</v>
      </c>
      <c r="H80" t="s">
        <v>53</v>
      </c>
      <c r="I80" t="s">
        <v>54</v>
      </c>
      <c r="J80" t="s">
        <v>92</v>
      </c>
      <c r="K80" t="s">
        <v>177</v>
      </c>
      <c r="L80" t="s">
        <v>58</v>
      </c>
      <c r="M80" t="s">
        <v>57</v>
      </c>
      <c r="N80" t="s">
        <v>93</v>
      </c>
      <c r="O80" t="s">
        <v>57</v>
      </c>
      <c r="P80" t="s">
        <v>58</v>
      </c>
      <c r="Q80" t="s">
        <v>57</v>
      </c>
      <c r="X80" t="s">
        <v>554</v>
      </c>
      <c r="AB80" t="s">
        <v>555</v>
      </c>
      <c r="AH80" t="s">
        <v>525</v>
      </c>
      <c r="AJ80" s="3" t="s">
        <v>188</v>
      </c>
      <c r="AK80" s="3" t="s">
        <v>178</v>
      </c>
      <c r="AL80" s="3" t="s">
        <v>67</v>
      </c>
      <c r="AM80" s="4" t="s">
        <v>550</v>
      </c>
      <c r="AN80" s="4" t="s">
        <v>551</v>
      </c>
      <c r="AO80" s="4" t="s">
        <v>542</v>
      </c>
      <c r="AP80" s="5" t="s">
        <v>552</v>
      </c>
      <c r="AQ80" s="5" t="s">
        <v>551</v>
      </c>
      <c r="AR80" s="5" t="s">
        <v>553</v>
      </c>
      <c r="AU80" s="3" t="s">
        <v>189</v>
      </c>
      <c r="AV80">
        <v>365</v>
      </c>
      <c r="AW80">
        <v>365</v>
      </c>
    </row>
    <row r="81" spans="1:49" hidden="1" x14ac:dyDescent="0.2">
      <c r="A81" t="s">
        <v>547</v>
      </c>
      <c r="B81">
        <v>2010</v>
      </c>
      <c r="C81" t="s">
        <v>118</v>
      </c>
      <c r="D81" t="s">
        <v>191</v>
      </c>
      <c r="E81" t="s">
        <v>192</v>
      </c>
      <c r="F81" t="s">
        <v>175</v>
      </c>
      <c r="G81" t="s">
        <v>549</v>
      </c>
      <c r="H81" t="s">
        <v>53</v>
      </c>
      <c r="I81" t="s">
        <v>54</v>
      </c>
      <c r="J81" t="s">
        <v>92</v>
      </c>
      <c r="K81" t="s">
        <v>177</v>
      </c>
      <c r="L81" t="s">
        <v>58</v>
      </c>
      <c r="M81" t="s">
        <v>57</v>
      </c>
      <c r="N81" t="s">
        <v>93</v>
      </c>
      <c r="O81" t="s">
        <v>57</v>
      </c>
      <c r="P81" t="s">
        <v>58</v>
      </c>
      <c r="Q81" t="s">
        <v>57</v>
      </c>
      <c r="X81" t="s">
        <v>560</v>
      </c>
      <c r="AB81" t="s">
        <v>561</v>
      </c>
      <c r="AH81" t="s">
        <v>562</v>
      </c>
      <c r="AJ81" s="3" t="s">
        <v>188</v>
      </c>
      <c r="AK81" s="3" t="s">
        <v>178</v>
      </c>
      <c r="AL81" s="3" t="s">
        <v>67</v>
      </c>
      <c r="AM81" s="4" t="s">
        <v>556</v>
      </c>
      <c r="AN81" s="4" t="s">
        <v>551</v>
      </c>
      <c r="AO81" s="4" t="s">
        <v>557</v>
      </c>
      <c r="AP81" s="5" t="s">
        <v>558</v>
      </c>
      <c r="AQ81" s="5" t="s">
        <v>551</v>
      </c>
      <c r="AR81" s="5" t="s">
        <v>559</v>
      </c>
      <c r="AU81" s="3" t="s">
        <v>189</v>
      </c>
      <c r="AV81">
        <v>365</v>
      </c>
      <c r="AW81">
        <v>365</v>
      </c>
    </row>
    <row r="82" spans="1:49" hidden="1" x14ac:dyDescent="0.2">
      <c r="A82" t="s">
        <v>563</v>
      </c>
      <c r="B82">
        <v>2012</v>
      </c>
      <c r="C82" t="s">
        <v>564</v>
      </c>
      <c r="D82" t="s">
        <v>49</v>
      </c>
      <c r="E82" t="s">
        <v>50</v>
      </c>
      <c r="F82" t="s">
        <v>175</v>
      </c>
      <c r="G82" t="s">
        <v>565</v>
      </c>
      <c r="H82" t="s">
        <v>91</v>
      </c>
      <c r="I82" t="s">
        <v>54</v>
      </c>
      <c r="J82" t="s">
        <v>121</v>
      </c>
      <c r="K82" t="s">
        <v>56</v>
      </c>
      <c r="L82" t="s">
        <v>58</v>
      </c>
      <c r="M82" t="s">
        <v>57</v>
      </c>
      <c r="N82" t="s">
        <v>57</v>
      </c>
      <c r="O82" t="s">
        <v>57</v>
      </c>
      <c r="P82" t="s">
        <v>58</v>
      </c>
      <c r="Q82" t="s">
        <v>57</v>
      </c>
      <c r="S82" t="s">
        <v>566</v>
      </c>
      <c r="T82" t="s">
        <v>567</v>
      </c>
      <c r="U82" t="s">
        <v>568</v>
      </c>
      <c r="V82" t="s">
        <v>569</v>
      </c>
      <c r="W82" t="s">
        <v>570</v>
      </c>
      <c r="X82" t="s">
        <v>571</v>
      </c>
      <c r="AB82" t="s">
        <v>572</v>
      </c>
      <c r="AH82" t="s">
        <v>64</v>
      </c>
      <c r="AJ82" s="3" t="s">
        <v>477</v>
      </c>
      <c r="AK82" s="3" t="s">
        <v>143</v>
      </c>
      <c r="AL82" s="3" t="s">
        <v>67</v>
      </c>
      <c r="AM82" s="4" t="s">
        <v>573</v>
      </c>
      <c r="AN82" s="4" t="s">
        <v>574</v>
      </c>
      <c r="AO82" s="4" t="s">
        <v>575</v>
      </c>
      <c r="AP82" s="5" t="s">
        <v>576</v>
      </c>
      <c r="AQ82" s="5" t="s">
        <v>574</v>
      </c>
      <c r="AR82" s="5" t="s">
        <v>577</v>
      </c>
      <c r="AU82" s="3" t="s">
        <v>578</v>
      </c>
      <c r="AV82">
        <v>198</v>
      </c>
      <c r="AW82">
        <v>168</v>
      </c>
    </row>
    <row r="83" spans="1:49" hidden="1" x14ac:dyDescent="0.2">
      <c r="A83" t="s">
        <v>563</v>
      </c>
      <c r="B83">
        <v>2012</v>
      </c>
      <c r="C83" t="s">
        <v>579</v>
      </c>
      <c r="D83" t="s">
        <v>88</v>
      </c>
      <c r="E83" t="s">
        <v>88</v>
      </c>
      <c r="F83" t="s">
        <v>175</v>
      </c>
      <c r="G83" t="s">
        <v>565</v>
      </c>
      <c r="H83" t="s">
        <v>91</v>
      </c>
      <c r="I83" t="s">
        <v>54</v>
      </c>
      <c r="J83" t="s">
        <v>121</v>
      </c>
      <c r="K83" t="s">
        <v>56</v>
      </c>
      <c r="L83" t="s">
        <v>58</v>
      </c>
      <c r="M83" t="s">
        <v>57</v>
      </c>
      <c r="N83" t="s">
        <v>57</v>
      </c>
      <c r="O83" t="s">
        <v>57</v>
      </c>
      <c r="P83" t="s">
        <v>58</v>
      </c>
      <c r="Q83" t="s">
        <v>57</v>
      </c>
      <c r="S83" t="s">
        <v>96</v>
      </c>
      <c r="T83" t="s">
        <v>580</v>
      </c>
      <c r="U83" t="s">
        <v>581</v>
      </c>
      <c r="V83" t="s">
        <v>582</v>
      </c>
      <c r="W83" t="s">
        <v>570</v>
      </c>
      <c r="X83" t="s">
        <v>583</v>
      </c>
      <c r="AB83" t="s">
        <v>584</v>
      </c>
      <c r="AH83" t="s">
        <v>100</v>
      </c>
      <c r="AJ83" s="3" t="s">
        <v>477</v>
      </c>
      <c r="AK83" s="3" t="s">
        <v>143</v>
      </c>
      <c r="AL83" s="3" t="s">
        <v>67</v>
      </c>
      <c r="AM83" s="4" t="s">
        <v>585</v>
      </c>
      <c r="AN83" s="4" t="s">
        <v>574</v>
      </c>
      <c r="AO83" s="4" t="s">
        <v>586</v>
      </c>
      <c r="AP83" s="5" t="s">
        <v>587</v>
      </c>
      <c r="AQ83" s="5" t="s">
        <v>574</v>
      </c>
      <c r="AR83" s="5" t="s">
        <v>588</v>
      </c>
      <c r="AU83" s="3" t="s">
        <v>578</v>
      </c>
      <c r="AV83">
        <v>198</v>
      </c>
      <c r="AW83">
        <v>168</v>
      </c>
    </row>
    <row r="84" spans="1:49" hidden="1" x14ac:dyDescent="0.2">
      <c r="A84" t="s">
        <v>589</v>
      </c>
      <c r="B84">
        <v>2014</v>
      </c>
      <c r="C84" t="s">
        <v>506</v>
      </c>
      <c r="D84" t="s">
        <v>88</v>
      </c>
      <c r="E84" t="s">
        <v>88</v>
      </c>
      <c r="F84" t="s">
        <v>175</v>
      </c>
      <c r="G84" t="s">
        <v>590</v>
      </c>
      <c r="H84" t="s">
        <v>53</v>
      </c>
      <c r="I84" t="s">
        <v>54</v>
      </c>
      <c r="J84" t="s">
        <v>260</v>
      </c>
      <c r="K84" t="s">
        <v>56</v>
      </c>
      <c r="L84" t="s">
        <v>58</v>
      </c>
      <c r="M84" t="s">
        <v>57</v>
      </c>
      <c r="N84" t="s">
        <v>93</v>
      </c>
      <c r="O84" t="s">
        <v>57</v>
      </c>
      <c r="P84" t="s">
        <v>58</v>
      </c>
      <c r="Q84" t="s">
        <v>57</v>
      </c>
      <c r="X84" t="s">
        <v>596</v>
      </c>
      <c r="AB84" t="s">
        <v>597</v>
      </c>
      <c r="AH84" t="s">
        <v>598</v>
      </c>
      <c r="AJ84" s="3" t="s">
        <v>188</v>
      </c>
      <c r="AK84" s="3" t="s">
        <v>657</v>
      </c>
      <c r="AL84" s="3" t="s">
        <v>67</v>
      </c>
      <c r="AM84" s="4" t="s">
        <v>663</v>
      </c>
      <c r="AN84" s="4" t="s">
        <v>592</v>
      </c>
      <c r="AO84" s="4" t="s">
        <v>664</v>
      </c>
      <c r="AP84" s="5" t="s">
        <v>665</v>
      </c>
      <c r="AQ84" s="5" t="s">
        <v>592</v>
      </c>
      <c r="AR84" s="5" t="s">
        <v>588</v>
      </c>
      <c r="AU84" s="3" t="s">
        <v>189</v>
      </c>
      <c r="AV84">
        <v>365</v>
      </c>
      <c r="AW84">
        <v>365</v>
      </c>
    </row>
    <row r="85" spans="1:49" hidden="1" x14ac:dyDescent="0.2">
      <c r="A85" t="s">
        <v>589</v>
      </c>
      <c r="B85">
        <v>2014</v>
      </c>
      <c r="C85" t="s">
        <v>520</v>
      </c>
      <c r="D85" t="s">
        <v>191</v>
      </c>
      <c r="E85" t="s">
        <v>192</v>
      </c>
      <c r="F85" t="s">
        <v>175</v>
      </c>
      <c r="G85" t="s">
        <v>590</v>
      </c>
      <c r="H85" t="s">
        <v>53</v>
      </c>
      <c r="I85" t="s">
        <v>54</v>
      </c>
      <c r="J85" t="s">
        <v>260</v>
      </c>
      <c r="K85" t="s">
        <v>56</v>
      </c>
      <c r="L85" t="s">
        <v>58</v>
      </c>
      <c r="M85" t="s">
        <v>57</v>
      </c>
      <c r="N85" t="s">
        <v>93</v>
      </c>
      <c r="O85" t="s">
        <v>57</v>
      </c>
      <c r="P85" t="s">
        <v>58</v>
      </c>
      <c r="Q85" t="s">
        <v>57</v>
      </c>
      <c r="X85" t="s">
        <v>603</v>
      </c>
      <c r="AB85" t="s">
        <v>604</v>
      </c>
      <c r="AH85" t="s">
        <v>605</v>
      </c>
      <c r="AJ85" s="3" t="s">
        <v>188</v>
      </c>
      <c r="AK85" s="3" t="s">
        <v>657</v>
      </c>
      <c r="AL85" s="3" t="s">
        <v>67</v>
      </c>
      <c r="AM85" s="4" t="s">
        <v>666</v>
      </c>
      <c r="AN85" s="4" t="s">
        <v>600</v>
      </c>
      <c r="AO85" s="4" t="s">
        <v>667</v>
      </c>
      <c r="AP85" s="5" t="s">
        <v>668</v>
      </c>
      <c r="AQ85" s="5" t="s">
        <v>600</v>
      </c>
      <c r="AR85" s="5" t="s">
        <v>669</v>
      </c>
      <c r="AU85" s="3" t="s">
        <v>189</v>
      </c>
      <c r="AV85">
        <v>365</v>
      </c>
      <c r="AW85">
        <v>365</v>
      </c>
    </row>
    <row r="86" spans="1:49" hidden="1" x14ac:dyDescent="0.2">
      <c r="A86" t="s">
        <v>589</v>
      </c>
      <c r="B86">
        <v>2014</v>
      </c>
      <c r="C86" t="s">
        <v>506</v>
      </c>
      <c r="D86" t="s">
        <v>88</v>
      </c>
      <c r="E86" t="s">
        <v>88</v>
      </c>
      <c r="F86" t="s">
        <v>175</v>
      </c>
      <c r="G86" t="s">
        <v>590</v>
      </c>
      <c r="H86" t="s">
        <v>53</v>
      </c>
      <c r="I86" t="s">
        <v>54</v>
      </c>
      <c r="J86" t="s">
        <v>260</v>
      </c>
      <c r="K86" t="s">
        <v>56</v>
      </c>
      <c r="L86" t="s">
        <v>58</v>
      </c>
      <c r="M86" t="s">
        <v>57</v>
      </c>
      <c r="N86" t="s">
        <v>93</v>
      </c>
      <c r="O86" t="s">
        <v>57</v>
      </c>
      <c r="P86" t="s">
        <v>58</v>
      </c>
      <c r="Q86" t="s">
        <v>57</v>
      </c>
      <c r="X86" t="s">
        <v>596</v>
      </c>
      <c r="AB86" t="s">
        <v>597</v>
      </c>
      <c r="AH86" t="s">
        <v>598</v>
      </c>
      <c r="AJ86" s="3" t="s">
        <v>188</v>
      </c>
      <c r="AK86" s="3" t="s">
        <v>178</v>
      </c>
      <c r="AL86" s="3" t="s">
        <v>67</v>
      </c>
      <c r="AM86" s="4" t="s">
        <v>591</v>
      </c>
      <c r="AN86" s="4" t="s">
        <v>592</v>
      </c>
      <c r="AO86" s="4" t="s">
        <v>593</v>
      </c>
      <c r="AP86" s="5" t="s">
        <v>594</v>
      </c>
      <c r="AQ86" s="5" t="s">
        <v>592</v>
      </c>
      <c r="AR86" s="5" t="s">
        <v>595</v>
      </c>
      <c r="AU86" s="3" t="s">
        <v>189</v>
      </c>
      <c r="AV86">
        <v>365</v>
      </c>
      <c r="AW86">
        <v>365</v>
      </c>
    </row>
    <row r="87" spans="1:49" hidden="1" x14ac:dyDescent="0.2">
      <c r="A87" t="s">
        <v>589</v>
      </c>
      <c r="B87">
        <v>2014</v>
      </c>
      <c r="C87" t="s">
        <v>520</v>
      </c>
      <c r="D87" t="s">
        <v>191</v>
      </c>
      <c r="E87" t="s">
        <v>192</v>
      </c>
      <c r="F87" t="s">
        <v>175</v>
      </c>
      <c r="G87" t="s">
        <v>590</v>
      </c>
      <c r="H87" t="s">
        <v>53</v>
      </c>
      <c r="I87" t="s">
        <v>54</v>
      </c>
      <c r="J87" t="s">
        <v>260</v>
      </c>
      <c r="K87" t="s">
        <v>56</v>
      </c>
      <c r="L87" t="s">
        <v>58</v>
      </c>
      <c r="M87" t="s">
        <v>57</v>
      </c>
      <c r="N87" t="s">
        <v>93</v>
      </c>
      <c r="O87" t="s">
        <v>57</v>
      </c>
      <c r="P87" t="s">
        <v>58</v>
      </c>
      <c r="Q87" t="s">
        <v>57</v>
      </c>
      <c r="X87" t="s">
        <v>603</v>
      </c>
      <c r="AB87" t="s">
        <v>604</v>
      </c>
      <c r="AH87" t="s">
        <v>605</v>
      </c>
      <c r="AJ87" s="3" t="s">
        <v>188</v>
      </c>
      <c r="AK87" s="3" t="s">
        <v>178</v>
      </c>
      <c r="AL87" s="3" t="s">
        <v>67</v>
      </c>
      <c r="AM87" s="4" t="s">
        <v>599</v>
      </c>
      <c r="AN87" s="4" t="s">
        <v>600</v>
      </c>
      <c r="AO87" s="4" t="s">
        <v>593</v>
      </c>
      <c r="AP87" s="5" t="s">
        <v>601</v>
      </c>
      <c r="AQ87" s="5" t="s">
        <v>600</v>
      </c>
      <c r="AR87" s="5" t="s">
        <v>602</v>
      </c>
      <c r="AU87" s="3" t="s">
        <v>189</v>
      </c>
      <c r="AV87">
        <v>365</v>
      </c>
      <c r="AW87">
        <v>365</v>
      </c>
    </row>
    <row r="88" spans="1:49" hidden="1" x14ac:dyDescent="0.2">
      <c r="A88" t="s">
        <v>589</v>
      </c>
      <c r="B88">
        <v>2014</v>
      </c>
      <c r="C88" t="s">
        <v>506</v>
      </c>
      <c r="D88" t="s">
        <v>88</v>
      </c>
      <c r="E88" t="s">
        <v>88</v>
      </c>
      <c r="F88" t="s">
        <v>175</v>
      </c>
      <c r="G88" t="s">
        <v>590</v>
      </c>
      <c r="H88" t="s">
        <v>53</v>
      </c>
      <c r="I88" t="s">
        <v>54</v>
      </c>
      <c r="J88" t="s">
        <v>260</v>
      </c>
      <c r="K88" t="s">
        <v>56</v>
      </c>
      <c r="L88" t="s">
        <v>58</v>
      </c>
      <c r="M88" t="s">
        <v>57</v>
      </c>
      <c r="N88" t="s">
        <v>93</v>
      </c>
      <c r="O88" t="s">
        <v>57</v>
      </c>
      <c r="P88" t="s">
        <v>58</v>
      </c>
      <c r="Q88" t="s">
        <v>57</v>
      </c>
      <c r="X88" t="s">
        <v>596</v>
      </c>
      <c r="AB88" t="s">
        <v>597</v>
      </c>
      <c r="AH88" t="s">
        <v>598</v>
      </c>
      <c r="AJ88" s="3" t="s">
        <v>658</v>
      </c>
      <c r="AK88" s="3" t="s">
        <v>657</v>
      </c>
      <c r="AL88" s="3" t="s">
        <v>67</v>
      </c>
      <c r="AM88" s="4" t="s">
        <v>663</v>
      </c>
      <c r="AN88" s="4" t="s">
        <v>592</v>
      </c>
      <c r="AO88" s="4" t="s">
        <v>664</v>
      </c>
      <c r="AP88" s="5" t="s">
        <v>670</v>
      </c>
      <c r="AQ88" s="5" t="s">
        <v>592</v>
      </c>
      <c r="AR88" s="5" t="s">
        <v>671</v>
      </c>
      <c r="AU88" s="3" t="s">
        <v>103</v>
      </c>
      <c r="AV88">
        <v>180</v>
      </c>
      <c r="AW88">
        <v>365</v>
      </c>
    </row>
    <row r="89" spans="1:49" hidden="1" x14ac:dyDescent="0.2">
      <c r="A89" t="s">
        <v>589</v>
      </c>
      <c r="B89">
        <v>2014</v>
      </c>
      <c r="C89" t="s">
        <v>520</v>
      </c>
      <c r="D89" t="s">
        <v>191</v>
      </c>
      <c r="E89" t="s">
        <v>192</v>
      </c>
      <c r="F89" t="s">
        <v>175</v>
      </c>
      <c r="G89" t="s">
        <v>590</v>
      </c>
      <c r="H89" t="s">
        <v>53</v>
      </c>
      <c r="I89" t="s">
        <v>54</v>
      </c>
      <c r="J89" t="s">
        <v>260</v>
      </c>
      <c r="K89" t="s">
        <v>56</v>
      </c>
      <c r="L89" t="s">
        <v>58</v>
      </c>
      <c r="M89" t="s">
        <v>57</v>
      </c>
      <c r="N89" t="s">
        <v>93</v>
      </c>
      <c r="O89" t="s">
        <v>57</v>
      </c>
      <c r="P89" t="s">
        <v>58</v>
      </c>
      <c r="Q89" t="s">
        <v>57</v>
      </c>
      <c r="X89" t="s">
        <v>603</v>
      </c>
      <c r="AB89" t="s">
        <v>604</v>
      </c>
      <c r="AH89" t="s">
        <v>605</v>
      </c>
      <c r="AJ89" s="3" t="s">
        <v>658</v>
      </c>
      <c r="AK89" s="3" t="s">
        <v>657</v>
      </c>
      <c r="AL89" s="3" t="s">
        <v>67</v>
      </c>
      <c r="AM89" s="4" t="s">
        <v>666</v>
      </c>
      <c r="AN89" s="4" t="s">
        <v>600</v>
      </c>
      <c r="AO89" s="4" t="s">
        <v>667</v>
      </c>
      <c r="AP89" s="5" t="s">
        <v>672</v>
      </c>
      <c r="AQ89" s="5" t="s">
        <v>600</v>
      </c>
      <c r="AR89" s="5" t="s">
        <v>673</v>
      </c>
      <c r="AU89" s="3" t="s">
        <v>103</v>
      </c>
      <c r="AV89">
        <v>180</v>
      </c>
      <c r="AW89">
        <v>365</v>
      </c>
    </row>
    <row r="90" spans="1:49" hidden="1" x14ac:dyDescent="0.2">
      <c r="A90" t="s">
        <v>589</v>
      </c>
      <c r="B90">
        <v>2014</v>
      </c>
      <c r="C90" t="s">
        <v>506</v>
      </c>
      <c r="D90" t="s">
        <v>88</v>
      </c>
      <c r="E90" t="s">
        <v>88</v>
      </c>
      <c r="F90" t="s">
        <v>175</v>
      </c>
      <c r="G90" t="s">
        <v>590</v>
      </c>
      <c r="H90" t="s">
        <v>53</v>
      </c>
      <c r="I90" t="s">
        <v>54</v>
      </c>
      <c r="J90" t="s">
        <v>260</v>
      </c>
      <c r="K90" t="s">
        <v>56</v>
      </c>
      <c r="L90" t="s">
        <v>58</v>
      </c>
      <c r="M90" t="s">
        <v>57</v>
      </c>
      <c r="N90" t="s">
        <v>93</v>
      </c>
      <c r="O90" t="s">
        <v>57</v>
      </c>
      <c r="P90" t="s">
        <v>58</v>
      </c>
      <c r="Q90" t="s">
        <v>57</v>
      </c>
      <c r="X90" t="s">
        <v>596</v>
      </c>
      <c r="AB90" t="s">
        <v>597</v>
      </c>
      <c r="AH90" t="s">
        <v>598</v>
      </c>
      <c r="AJ90" s="3" t="s">
        <v>658</v>
      </c>
      <c r="AK90" s="3" t="s">
        <v>178</v>
      </c>
      <c r="AL90" s="3" t="s">
        <v>67</v>
      </c>
      <c r="AM90" s="4" t="s">
        <v>591</v>
      </c>
      <c r="AN90" s="4" t="s">
        <v>592</v>
      </c>
      <c r="AO90" s="4" t="s">
        <v>593</v>
      </c>
      <c r="AP90" s="5" t="s">
        <v>659</v>
      </c>
      <c r="AQ90" s="5" t="s">
        <v>592</v>
      </c>
      <c r="AR90" s="5" t="s">
        <v>660</v>
      </c>
      <c r="AU90" s="3" t="s">
        <v>103</v>
      </c>
      <c r="AV90">
        <v>180</v>
      </c>
      <c r="AW90">
        <v>365</v>
      </c>
    </row>
    <row r="91" spans="1:49" hidden="1" x14ac:dyDescent="0.2">
      <c r="A91" t="s">
        <v>589</v>
      </c>
      <c r="B91">
        <v>2014</v>
      </c>
      <c r="C91" t="s">
        <v>520</v>
      </c>
      <c r="D91" t="s">
        <v>191</v>
      </c>
      <c r="E91" t="s">
        <v>192</v>
      </c>
      <c r="F91" t="s">
        <v>175</v>
      </c>
      <c r="G91" t="s">
        <v>590</v>
      </c>
      <c r="H91" t="s">
        <v>53</v>
      </c>
      <c r="I91" t="s">
        <v>54</v>
      </c>
      <c r="J91" t="s">
        <v>260</v>
      </c>
      <c r="K91" t="s">
        <v>56</v>
      </c>
      <c r="L91" t="s">
        <v>58</v>
      </c>
      <c r="M91" t="s">
        <v>57</v>
      </c>
      <c r="N91" t="s">
        <v>93</v>
      </c>
      <c r="O91" t="s">
        <v>57</v>
      </c>
      <c r="P91" t="s">
        <v>58</v>
      </c>
      <c r="Q91" t="s">
        <v>57</v>
      </c>
      <c r="X91" t="s">
        <v>603</v>
      </c>
      <c r="AB91" t="s">
        <v>604</v>
      </c>
      <c r="AH91" t="s">
        <v>605</v>
      </c>
      <c r="AJ91" s="3" t="s">
        <v>658</v>
      </c>
      <c r="AK91" s="3" t="s">
        <v>178</v>
      </c>
      <c r="AL91" s="3" t="s">
        <v>67</v>
      </c>
      <c r="AM91" s="4" t="s">
        <v>599</v>
      </c>
      <c r="AN91" s="4" t="s">
        <v>600</v>
      </c>
      <c r="AO91" s="4" t="s">
        <v>593</v>
      </c>
      <c r="AP91" s="5" t="s">
        <v>661</v>
      </c>
      <c r="AQ91" s="5" t="s">
        <v>600</v>
      </c>
      <c r="AR91" s="5" t="s">
        <v>662</v>
      </c>
      <c r="AU91" s="3" t="s">
        <v>103</v>
      </c>
      <c r="AV91">
        <v>180</v>
      </c>
      <c r="AW91">
        <v>365</v>
      </c>
    </row>
    <row r="92" spans="1:49" x14ac:dyDescent="0.2">
      <c r="A92" t="s">
        <v>606</v>
      </c>
      <c r="B92">
        <v>2017</v>
      </c>
      <c r="C92" t="s">
        <v>607</v>
      </c>
      <c r="D92" t="s">
        <v>105</v>
      </c>
      <c r="E92" t="s">
        <v>608</v>
      </c>
      <c r="F92" t="s">
        <v>175</v>
      </c>
      <c r="G92" t="s">
        <v>609</v>
      </c>
      <c r="H92" t="s">
        <v>91</v>
      </c>
      <c r="I92" t="s">
        <v>54</v>
      </c>
      <c r="J92" t="s">
        <v>260</v>
      </c>
      <c r="K92" t="s">
        <v>610</v>
      </c>
      <c r="L92" t="s">
        <v>58</v>
      </c>
      <c r="M92" t="s">
        <v>58</v>
      </c>
      <c r="N92" t="s">
        <v>57</v>
      </c>
      <c r="O92" t="s">
        <v>57</v>
      </c>
      <c r="P92" t="s">
        <v>58</v>
      </c>
      <c r="Q92" t="s">
        <v>57</v>
      </c>
      <c r="T92" t="s">
        <v>611</v>
      </c>
      <c r="U92" t="s">
        <v>612</v>
      </c>
      <c r="V92" t="s">
        <v>613</v>
      </c>
      <c r="W92" t="s">
        <v>614</v>
      </c>
      <c r="X92" t="s">
        <v>615</v>
      </c>
      <c r="AB92" t="s">
        <v>616</v>
      </c>
      <c r="AH92" t="s">
        <v>64</v>
      </c>
      <c r="AJ92" s="3" t="s">
        <v>674</v>
      </c>
    </row>
    <row r="93" spans="1:49" hidden="1" x14ac:dyDescent="0.2">
      <c r="A93" t="s">
        <v>606</v>
      </c>
      <c r="B93">
        <v>2017</v>
      </c>
      <c r="C93" t="s">
        <v>617</v>
      </c>
      <c r="D93" t="s">
        <v>88</v>
      </c>
      <c r="E93" t="s">
        <v>88</v>
      </c>
      <c r="F93" t="s">
        <v>175</v>
      </c>
      <c r="G93" t="s">
        <v>609</v>
      </c>
      <c r="H93" t="s">
        <v>91</v>
      </c>
      <c r="I93" t="s">
        <v>54</v>
      </c>
      <c r="J93" t="s">
        <v>260</v>
      </c>
      <c r="K93" t="s">
        <v>610</v>
      </c>
      <c r="L93" t="s">
        <v>58</v>
      </c>
      <c r="M93" t="s">
        <v>58</v>
      </c>
      <c r="N93" t="s">
        <v>57</v>
      </c>
      <c r="O93" t="s">
        <v>57</v>
      </c>
      <c r="P93" t="s">
        <v>58</v>
      </c>
      <c r="Q93" t="s">
        <v>57</v>
      </c>
      <c r="T93" t="s">
        <v>618</v>
      </c>
      <c r="U93" t="s">
        <v>619</v>
      </c>
      <c r="V93" t="s">
        <v>569</v>
      </c>
      <c r="W93" t="s">
        <v>620</v>
      </c>
      <c r="X93" t="s">
        <v>621</v>
      </c>
      <c r="AB93" t="s">
        <v>622</v>
      </c>
      <c r="AH93" t="s">
        <v>64</v>
      </c>
      <c r="AJ93" s="3" t="s">
        <v>674</v>
      </c>
    </row>
    <row r="94" spans="1:49" hidden="1" x14ac:dyDescent="0.2">
      <c r="A94" t="s">
        <v>623</v>
      </c>
      <c r="B94">
        <v>2017</v>
      </c>
      <c r="C94" t="s">
        <v>87</v>
      </c>
      <c r="D94" t="s">
        <v>88</v>
      </c>
      <c r="E94" t="s">
        <v>88</v>
      </c>
      <c r="F94" t="s">
        <v>175</v>
      </c>
      <c r="G94" t="s">
        <v>624</v>
      </c>
      <c r="H94" t="s">
        <v>91</v>
      </c>
      <c r="I94" t="s">
        <v>54</v>
      </c>
      <c r="J94" t="s">
        <v>260</v>
      </c>
      <c r="K94" t="s">
        <v>56</v>
      </c>
      <c r="L94" t="s">
        <v>58</v>
      </c>
      <c r="M94" t="s">
        <v>57</v>
      </c>
      <c r="N94" t="s">
        <v>57</v>
      </c>
      <c r="O94" t="s">
        <v>57</v>
      </c>
      <c r="P94" t="s">
        <v>58</v>
      </c>
      <c r="Q94" t="s">
        <v>57</v>
      </c>
      <c r="R94" t="s">
        <v>625</v>
      </c>
      <c r="S94" t="s">
        <v>626</v>
      </c>
      <c r="X94" t="s">
        <v>88</v>
      </c>
      <c r="AB94" t="s">
        <v>88</v>
      </c>
      <c r="AH94" t="s">
        <v>88</v>
      </c>
      <c r="AJ94" s="3" t="s">
        <v>674</v>
      </c>
    </row>
    <row r="95" spans="1:49" x14ac:dyDescent="0.2">
      <c r="A95" t="s">
        <v>623</v>
      </c>
      <c r="B95">
        <v>2017</v>
      </c>
      <c r="C95" t="s">
        <v>627</v>
      </c>
      <c r="D95" t="s">
        <v>105</v>
      </c>
      <c r="E95" t="s">
        <v>608</v>
      </c>
      <c r="F95" t="s">
        <v>175</v>
      </c>
      <c r="G95" t="s">
        <v>624</v>
      </c>
      <c r="H95" t="s">
        <v>91</v>
      </c>
      <c r="I95" t="s">
        <v>54</v>
      </c>
      <c r="J95" t="s">
        <v>260</v>
      </c>
      <c r="K95" t="s">
        <v>56</v>
      </c>
      <c r="L95" t="s">
        <v>58</v>
      </c>
      <c r="M95" t="s">
        <v>57</v>
      </c>
      <c r="N95" t="s">
        <v>57</v>
      </c>
      <c r="O95" t="s">
        <v>57</v>
      </c>
      <c r="P95" t="s">
        <v>58</v>
      </c>
      <c r="Q95" t="s">
        <v>57</v>
      </c>
      <c r="R95" t="s">
        <v>628</v>
      </c>
      <c r="S95" t="s">
        <v>629</v>
      </c>
      <c r="X95" t="s">
        <v>630</v>
      </c>
      <c r="AB95" t="s">
        <v>631</v>
      </c>
      <c r="AH95" t="s">
        <v>64</v>
      </c>
      <c r="AJ95" s="3" t="s">
        <v>674</v>
      </c>
    </row>
    <row r="96" spans="1:49" hidden="1" x14ac:dyDescent="0.2">
      <c r="A96" t="s">
        <v>632</v>
      </c>
      <c r="B96">
        <v>2017</v>
      </c>
      <c r="C96" t="s">
        <v>174</v>
      </c>
      <c r="D96" t="s">
        <v>88</v>
      </c>
      <c r="E96" t="s">
        <v>88</v>
      </c>
      <c r="F96" t="s">
        <v>175</v>
      </c>
      <c r="G96" t="s">
        <v>633</v>
      </c>
      <c r="H96" t="s">
        <v>91</v>
      </c>
      <c r="I96" t="s">
        <v>54</v>
      </c>
      <c r="J96" t="s">
        <v>55</v>
      </c>
      <c r="K96" t="s">
        <v>634</v>
      </c>
      <c r="L96" t="s">
        <v>58</v>
      </c>
      <c r="M96" t="s">
        <v>57</v>
      </c>
      <c r="N96" t="s">
        <v>57</v>
      </c>
      <c r="O96" t="s">
        <v>57</v>
      </c>
      <c r="P96" t="s">
        <v>58</v>
      </c>
      <c r="Q96" t="s">
        <v>57</v>
      </c>
      <c r="R96" t="s">
        <v>635</v>
      </c>
      <c r="S96" t="s">
        <v>636</v>
      </c>
      <c r="X96" t="s">
        <v>637</v>
      </c>
      <c r="AB96" t="s">
        <v>638</v>
      </c>
      <c r="AH96" t="s">
        <v>639</v>
      </c>
      <c r="AJ96" s="3" t="s">
        <v>188</v>
      </c>
      <c r="AK96" s="3" t="s">
        <v>178</v>
      </c>
      <c r="AL96" s="3" t="s">
        <v>67</v>
      </c>
      <c r="AM96" s="6">
        <v>9.85</v>
      </c>
      <c r="AN96" s="6">
        <v>70</v>
      </c>
      <c r="AO96" s="6">
        <v>1.89</v>
      </c>
      <c r="AP96" s="6">
        <v>13.27</v>
      </c>
      <c r="AQ96" s="6">
        <v>70</v>
      </c>
      <c r="AR96" s="6">
        <v>3.02</v>
      </c>
      <c r="AU96" s="3" t="s">
        <v>189</v>
      </c>
      <c r="AV96">
        <v>365</v>
      </c>
      <c r="AW96">
        <v>365</v>
      </c>
    </row>
    <row r="97" spans="1:49" hidden="1" x14ac:dyDescent="0.2">
      <c r="A97" t="s">
        <v>632</v>
      </c>
      <c r="B97">
        <v>2017</v>
      </c>
      <c r="C97" t="s">
        <v>640</v>
      </c>
      <c r="D97" t="s">
        <v>191</v>
      </c>
      <c r="E97" t="s">
        <v>641</v>
      </c>
      <c r="F97" t="s">
        <v>175</v>
      </c>
      <c r="G97" t="s">
        <v>633</v>
      </c>
      <c r="H97" t="s">
        <v>91</v>
      </c>
      <c r="I97" t="s">
        <v>54</v>
      </c>
      <c r="J97" t="s">
        <v>55</v>
      </c>
      <c r="K97" t="s">
        <v>634</v>
      </c>
      <c r="L97" t="s">
        <v>58</v>
      </c>
      <c r="M97" t="s">
        <v>57</v>
      </c>
      <c r="N97" t="s">
        <v>57</v>
      </c>
      <c r="O97" t="s">
        <v>57</v>
      </c>
      <c r="P97" t="s">
        <v>58</v>
      </c>
      <c r="Q97" t="s">
        <v>57</v>
      </c>
      <c r="R97" t="s">
        <v>642</v>
      </c>
      <c r="S97" t="s">
        <v>643</v>
      </c>
      <c r="X97" t="s">
        <v>644</v>
      </c>
      <c r="AB97" t="s">
        <v>645</v>
      </c>
      <c r="AH97" t="s">
        <v>646</v>
      </c>
      <c r="AJ97" s="3" t="s">
        <v>188</v>
      </c>
      <c r="AK97" s="3" t="s">
        <v>178</v>
      </c>
      <c r="AL97" s="3" t="s">
        <v>67</v>
      </c>
      <c r="AM97" s="6">
        <v>9.8800000000000008</v>
      </c>
      <c r="AN97" s="6">
        <v>71</v>
      </c>
      <c r="AO97" s="6">
        <v>2.33</v>
      </c>
      <c r="AP97" s="6">
        <v>14.97</v>
      </c>
      <c r="AQ97" s="6">
        <v>71</v>
      </c>
      <c r="AR97" s="6">
        <v>3.03</v>
      </c>
      <c r="AU97" s="3" t="s">
        <v>189</v>
      </c>
      <c r="AV97">
        <v>365</v>
      </c>
      <c r="AW97">
        <v>365</v>
      </c>
    </row>
    <row r="98" spans="1:49" hidden="1" x14ac:dyDescent="0.2">
      <c r="A98" t="s">
        <v>647</v>
      </c>
      <c r="B98">
        <v>2010</v>
      </c>
      <c r="C98" t="s">
        <v>648</v>
      </c>
      <c r="D98" t="s">
        <v>191</v>
      </c>
      <c r="E98" t="s">
        <v>192</v>
      </c>
      <c r="F98" t="s">
        <v>175</v>
      </c>
      <c r="G98" t="s">
        <v>176</v>
      </c>
      <c r="H98" t="s">
        <v>53</v>
      </c>
      <c r="I98" t="s">
        <v>54</v>
      </c>
      <c r="J98" t="s">
        <v>260</v>
      </c>
      <c r="K98" t="s">
        <v>488</v>
      </c>
      <c r="L98" t="s">
        <v>58</v>
      </c>
      <c r="M98" t="s">
        <v>58</v>
      </c>
      <c r="N98" t="s">
        <v>93</v>
      </c>
      <c r="O98" t="s">
        <v>58</v>
      </c>
      <c r="P98" t="s">
        <v>58</v>
      </c>
      <c r="Q98" t="s">
        <v>58</v>
      </c>
      <c r="X98" t="s">
        <v>649</v>
      </c>
      <c r="AB98" t="s">
        <v>650</v>
      </c>
      <c r="AH98" t="s">
        <v>651</v>
      </c>
      <c r="AJ98" s="3" t="s">
        <v>168</v>
      </c>
      <c r="AK98" s="3" t="s">
        <v>513</v>
      </c>
      <c r="AL98" s="3" t="s">
        <v>67</v>
      </c>
      <c r="AM98" s="6">
        <v>431.4</v>
      </c>
      <c r="AN98" s="6">
        <v>25</v>
      </c>
      <c r="AO98" s="6">
        <v>126.5</v>
      </c>
      <c r="AP98" s="6">
        <v>524.70000000000005</v>
      </c>
      <c r="AQ98" s="6">
        <v>25</v>
      </c>
      <c r="AR98" s="6">
        <v>128.4</v>
      </c>
      <c r="AU98" s="3" t="s">
        <v>189</v>
      </c>
      <c r="AV98">
        <v>365</v>
      </c>
      <c r="AW98">
        <v>365</v>
      </c>
    </row>
    <row r="99" spans="1:49" hidden="1" x14ac:dyDescent="0.2">
      <c r="A99" t="s">
        <v>647</v>
      </c>
      <c r="B99">
        <v>2010</v>
      </c>
      <c r="C99" t="s">
        <v>652</v>
      </c>
      <c r="D99" t="s">
        <v>88</v>
      </c>
      <c r="E99" t="s">
        <v>88</v>
      </c>
      <c r="F99" t="s">
        <v>175</v>
      </c>
      <c r="G99" t="s">
        <v>176</v>
      </c>
      <c r="H99" t="s">
        <v>53</v>
      </c>
      <c r="I99" t="s">
        <v>54</v>
      </c>
      <c r="J99" t="s">
        <v>260</v>
      </c>
      <c r="K99" t="s">
        <v>488</v>
      </c>
      <c r="L99" t="s">
        <v>58</v>
      </c>
      <c r="M99" t="s">
        <v>58</v>
      </c>
      <c r="N99" t="s">
        <v>93</v>
      </c>
      <c r="O99" t="s">
        <v>58</v>
      </c>
      <c r="P99" t="s">
        <v>58</v>
      </c>
      <c r="Q99" t="s">
        <v>58</v>
      </c>
      <c r="X99" t="s">
        <v>653</v>
      </c>
      <c r="AB99" t="s">
        <v>654</v>
      </c>
      <c r="AH99" t="s">
        <v>655</v>
      </c>
      <c r="AJ99" s="3" t="s">
        <v>168</v>
      </c>
      <c r="AK99" s="3" t="s">
        <v>513</v>
      </c>
      <c r="AL99" s="3" t="s">
        <v>67</v>
      </c>
      <c r="AM99" s="6">
        <v>415.3</v>
      </c>
      <c r="AN99" s="6">
        <v>25</v>
      </c>
      <c r="AO99" s="6">
        <v>140.80000000000001</v>
      </c>
      <c r="AP99" s="6">
        <v>370.8</v>
      </c>
      <c r="AQ99" s="6">
        <v>25</v>
      </c>
      <c r="AR99" s="6">
        <v>132.6</v>
      </c>
      <c r="AU99" s="3" t="s">
        <v>189</v>
      </c>
      <c r="AV99">
        <v>365</v>
      </c>
      <c r="AW99">
        <v>365</v>
      </c>
    </row>
  </sheetData>
  <autoFilter ref="A1:AW99" xr:uid="{00000000-0001-0000-0000-000000000000}">
    <filterColumn colId="4">
      <filters>
        <filter val="Training and education for professional carers"/>
      </filters>
    </filterColumn>
  </autoFilter>
  <phoneticPr fontId="1" type="noConversion"/>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F604D-13A0-934F-9364-9F35E6508370}">
  <dimension ref="A1:AW51"/>
  <sheetViews>
    <sheetView zoomScale="84" workbookViewId="0">
      <pane xSplit="5" ySplit="1" topLeftCell="U2" activePane="bottomRight" state="frozen"/>
      <selection pane="topRight" activeCell="F1" sqref="F1"/>
      <selection pane="bottomLeft" activeCell="A2" sqref="A2"/>
      <selection pane="bottomRight" activeCell="H52" sqref="H52"/>
    </sheetView>
  </sheetViews>
  <sheetFormatPr baseColWidth="10" defaultRowHeight="15" x14ac:dyDescent="0.2"/>
  <cols>
    <col min="1" max="35" width="10.83203125" style="8"/>
    <col min="36" max="38" width="10.83203125" style="11"/>
    <col min="39" max="41" width="10.83203125" style="13"/>
    <col min="42" max="44" width="10.83203125" style="15"/>
    <col min="45" max="46" width="10.83203125" style="8"/>
    <col min="47" max="47" width="10.83203125" style="11"/>
    <col min="48" max="16384" width="10.83203125" style="8"/>
  </cols>
  <sheetData>
    <row r="1" spans="1:49" x14ac:dyDescent="0.2">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20</v>
      </c>
      <c r="V1" s="8" t="s">
        <v>21</v>
      </c>
      <c r="W1" s="8" t="s">
        <v>22</v>
      </c>
      <c r="X1" s="8" t="s">
        <v>23</v>
      </c>
      <c r="Y1" s="8" t="s">
        <v>24</v>
      </c>
      <c r="Z1" s="8" t="s">
        <v>25</v>
      </c>
      <c r="AA1" s="8" t="s">
        <v>26</v>
      </c>
      <c r="AB1" s="8" t="s">
        <v>27</v>
      </c>
      <c r="AC1" s="8" t="s">
        <v>28</v>
      </c>
      <c r="AD1" s="8" t="s">
        <v>29</v>
      </c>
      <c r="AE1" s="8" t="s">
        <v>30</v>
      </c>
      <c r="AF1" s="8" t="s">
        <v>31</v>
      </c>
      <c r="AG1" s="8" t="s">
        <v>32</v>
      </c>
      <c r="AH1" s="8" t="s">
        <v>33</v>
      </c>
      <c r="AI1" s="8" t="s">
        <v>34</v>
      </c>
      <c r="AJ1" s="11" t="s">
        <v>35</v>
      </c>
      <c r="AK1" s="11" t="s">
        <v>36</v>
      </c>
      <c r="AL1" s="11" t="s">
        <v>37</v>
      </c>
      <c r="AM1" s="12" t="s">
        <v>38</v>
      </c>
      <c r="AN1" s="12" t="s">
        <v>39</v>
      </c>
      <c r="AO1" s="12" t="s">
        <v>40</v>
      </c>
      <c r="AP1" s="14" t="s">
        <v>41</v>
      </c>
      <c r="AQ1" s="14" t="s">
        <v>42</v>
      </c>
      <c r="AR1" s="14" t="s">
        <v>43</v>
      </c>
      <c r="AS1" s="8" t="s">
        <v>44</v>
      </c>
      <c r="AT1" s="8" t="s">
        <v>45</v>
      </c>
      <c r="AU1" s="11" t="s">
        <v>46</v>
      </c>
      <c r="AV1" s="8" t="s">
        <v>686</v>
      </c>
      <c r="AW1" s="8" t="s">
        <v>689</v>
      </c>
    </row>
    <row r="2" spans="1:49" x14ac:dyDescent="0.2">
      <c r="A2" s="8" t="s">
        <v>698</v>
      </c>
      <c r="B2" s="8">
        <v>2020</v>
      </c>
      <c r="C2" s="8" t="s">
        <v>699</v>
      </c>
      <c r="D2" s="8" t="s">
        <v>49</v>
      </c>
      <c r="E2" s="8" t="s">
        <v>75</v>
      </c>
      <c r="F2" s="8" t="s">
        <v>175</v>
      </c>
      <c r="G2" s="8" t="s">
        <v>700</v>
      </c>
      <c r="H2" s="8" t="s">
        <v>701</v>
      </c>
      <c r="I2" s="8" t="s">
        <v>695</v>
      </c>
      <c r="J2" s="8" t="s">
        <v>702</v>
      </c>
      <c r="K2" s="8" t="s">
        <v>703</v>
      </c>
      <c r="L2" s="8" t="s">
        <v>93</v>
      </c>
      <c r="M2" s="8" t="s">
        <v>57</v>
      </c>
      <c r="N2" s="8" t="s">
        <v>93</v>
      </c>
      <c r="O2" s="8" t="s">
        <v>93</v>
      </c>
      <c r="P2" s="8" t="s">
        <v>93</v>
      </c>
      <c r="Q2" s="8" t="s">
        <v>58</v>
      </c>
      <c r="S2" s="10">
        <v>0.52800000000000002</v>
      </c>
      <c r="X2" s="8" t="s">
        <v>736</v>
      </c>
      <c r="AA2" s="8" t="s">
        <v>395</v>
      </c>
      <c r="AJ2" s="11" t="s">
        <v>188</v>
      </c>
      <c r="AK2" s="11" t="s">
        <v>752</v>
      </c>
      <c r="AL2" s="11" t="s">
        <v>67</v>
      </c>
      <c r="AM2" s="8">
        <v>17.760000000000002</v>
      </c>
      <c r="AN2" s="8">
        <v>51</v>
      </c>
      <c r="AO2" s="8">
        <v>3.68</v>
      </c>
      <c r="AP2" s="8">
        <v>14.64</v>
      </c>
      <c r="AQ2" s="8">
        <v>51</v>
      </c>
      <c r="AR2" s="8">
        <v>2.38</v>
      </c>
      <c r="AU2" s="11" t="s">
        <v>189</v>
      </c>
      <c r="AV2" s="8">
        <v>365</v>
      </c>
      <c r="AW2" s="8">
        <v>365</v>
      </c>
    </row>
    <row r="3" spans="1:49" x14ac:dyDescent="0.2">
      <c r="A3" s="8" t="s">
        <v>698</v>
      </c>
      <c r="B3" s="8">
        <v>2020</v>
      </c>
      <c r="C3" s="8" t="s">
        <v>548</v>
      </c>
      <c r="D3" s="8" t="s">
        <v>88</v>
      </c>
      <c r="E3" s="8" t="s">
        <v>88</v>
      </c>
      <c r="F3" s="8" t="s">
        <v>175</v>
      </c>
      <c r="G3" s="8" t="s">
        <v>700</v>
      </c>
      <c r="H3" s="8" t="s">
        <v>701</v>
      </c>
      <c r="I3" s="8" t="s">
        <v>695</v>
      </c>
      <c r="J3" s="8" t="s">
        <v>702</v>
      </c>
      <c r="K3" s="8" t="s">
        <v>703</v>
      </c>
      <c r="L3" s="8" t="s">
        <v>93</v>
      </c>
      <c r="M3" s="8" t="s">
        <v>57</v>
      </c>
      <c r="N3" s="8" t="s">
        <v>93</v>
      </c>
      <c r="O3" s="8" t="s">
        <v>93</v>
      </c>
      <c r="P3" s="8" t="s">
        <v>93</v>
      </c>
      <c r="Q3" s="8" t="s">
        <v>58</v>
      </c>
      <c r="S3" s="10">
        <v>0.52900000000000003</v>
      </c>
      <c r="X3" s="8" t="s">
        <v>736</v>
      </c>
      <c r="AA3" s="8" t="s">
        <v>395</v>
      </c>
      <c r="AJ3" s="11" t="s">
        <v>188</v>
      </c>
      <c r="AK3" s="11" t="s">
        <v>752</v>
      </c>
      <c r="AL3" s="11" t="s">
        <v>67</v>
      </c>
      <c r="AM3" s="8">
        <v>17.04</v>
      </c>
      <c r="AN3" s="8">
        <v>51</v>
      </c>
      <c r="AO3" s="8">
        <v>3.52</v>
      </c>
      <c r="AP3" s="8">
        <v>12.59</v>
      </c>
      <c r="AQ3" s="8">
        <v>51</v>
      </c>
      <c r="AR3" s="8">
        <v>2.7</v>
      </c>
      <c r="AU3" s="11" t="s">
        <v>189</v>
      </c>
      <c r="AV3" s="8">
        <v>365</v>
      </c>
      <c r="AW3" s="8">
        <v>365</v>
      </c>
    </row>
    <row r="4" spans="1:49" x14ac:dyDescent="0.2">
      <c r="A4" s="8" t="s">
        <v>698</v>
      </c>
      <c r="B4" s="8">
        <v>2020</v>
      </c>
      <c r="C4" s="8" t="s">
        <v>699</v>
      </c>
      <c r="D4" s="8" t="s">
        <v>49</v>
      </c>
      <c r="E4" s="8" t="s">
        <v>75</v>
      </c>
      <c r="F4" s="8" t="s">
        <v>175</v>
      </c>
      <c r="G4" s="8" t="s">
        <v>700</v>
      </c>
      <c r="H4" s="8" t="s">
        <v>701</v>
      </c>
      <c r="I4" s="8" t="s">
        <v>695</v>
      </c>
      <c r="J4" s="8" t="s">
        <v>702</v>
      </c>
      <c r="K4" s="8" t="s">
        <v>703</v>
      </c>
      <c r="L4" s="8" t="s">
        <v>93</v>
      </c>
      <c r="M4" s="8" t="s">
        <v>57</v>
      </c>
      <c r="N4" s="8" t="s">
        <v>93</v>
      </c>
      <c r="O4" s="8" t="s">
        <v>93</v>
      </c>
      <c r="P4" s="8" t="s">
        <v>93</v>
      </c>
      <c r="Q4" s="8" t="s">
        <v>58</v>
      </c>
      <c r="S4" s="10">
        <v>0.52800000000000002</v>
      </c>
      <c r="X4" s="8" t="s">
        <v>736</v>
      </c>
      <c r="AA4" s="8" t="s">
        <v>395</v>
      </c>
      <c r="AJ4" s="11" t="s">
        <v>753</v>
      </c>
      <c r="AK4" s="11" t="s">
        <v>754</v>
      </c>
      <c r="AL4" s="11" t="s">
        <v>67</v>
      </c>
      <c r="AM4" s="13">
        <v>19.32</v>
      </c>
      <c r="AN4" s="13">
        <v>51</v>
      </c>
      <c r="AO4" s="13">
        <v>3.53</v>
      </c>
      <c r="AP4" s="15">
        <v>7.21</v>
      </c>
      <c r="AQ4" s="15">
        <v>51</v>
      </c>
      <c r="AR4" s="15">
        <v>2.88</v>
      </c>
      <c r="AU4" s="11" t="s">
        <v>189</v>
      </c>
      <c r="AV4" s="8">
        <v>365</v>
      </c>
      <c r="AW4" s="8">
        <v>365</v>
      </c>
    </row>
    <row r="5" spans="1:49" x14ac:dyDescent="0.2">
      <c r="A5" s="8" t="s">
        <v>698</v>
      </c>
      <c r="B5" s="8">
        <v>2020</v>
      </c>
      <c r="C5" s="8" t="s">
        <v>548</v>
      </c>
      <c r="D5" s="8" t="s">
        <v>88</v>
      </c>
      <c r="E5" s="8" t="s">
        <v>88</v>
      </c>
      <c r="F5" s="8" t="s">
        <v>175</v>
      </c>
      <c r="G5" s="8" t="s">
        <v>700</v>
      </c>
      <c r="H5" s="8" t="s">
        <v>701</v>
      </c>
      <c r="I5" s="8" t="s">
        <v>695</v>
      </c>
      <c r="J5" s="8" t="s">
        <v>702</v>
      </c>
      <c r="K5" s="8" t="s">
        <v>703</v>
      </c>
      <c r="L5" s="8" t="s">
        <v>93</v>
      </c>
      <c r="M5" s="8" t="s">
        <v>57</v>
      </c>
      <c r="N5" s="8" t="s">
        <v>93</v>
      </c>
      <c r="O5" s="8" t="s">
        <v>93</v>
      </c>
      <c r="P5" s="8" t="s">
        <v>93</v>
      </c>
      <c r="Q5" s="8" t="s">
        <v>58</v>
      </c>
      <c r="S5" s="10">
        <v>0.52900000000000003</v>
      </c>
      <c r="X5" s="8" t="s">
        <v>736</v>
      </c>
      <c r="AA5" s="8" t="s">
        <v>395</v>
      </c>
      <c r="AJ5" s="11" t="s">
        <v>753</v>
      </c>
      <c r="AK5" s="11" t="s">
        <v>754</v>
      </c>
      <c r="AL5" s="11" t="s">
        <v>67</v>
      </c>
      <c r="AM5" s="13">
        <v>19.47</v>
      </c>
      <c r="AN5" s="13">
        <v>51</v>
      </c>
      <c r="AO5" s="13">
        <v>3.37</v>
      </c>
      <c r="AP5" s="15">
        <v>10.37</v>
      </c>
      <c r="AQ5" s="15">
        <v>51</v>
      </c>
      <c r="AR5" s="15">
        <v>2.17</v>
      </c>
      <c r="AU5" s="11" t="s">
        <v>189</v>
      </c>
      <c r="AV5" s="8">
        <v>365</v>
      </c>
      <c r="AW5" s="8">
        <v>365</v>
      </c>
    </row>
    <row r="6" spans="1:49" x14ac:dyDescent="0.2">
      <c r="A6" s="8" t="s">
        <v>698</v>
      </c>
      <c r="B6" s="8">
        <v>2020</v>
      </c>
      <c r="C6" s="8" t="s">
        <v>699</v>
      </c>
      <c r="D6" s="8" t="s">
        <v>49</v>
      </c>
      <c r="E6" s="8" t="s">
        <v>75</v>
      </c>
      <c r="F6" s="8" t="s">
        <v>175</v>
      </c>
      <c r="G6" s="8" t="s">
        <v>700</v>
      </c>
      <c r="H6" s="8" t="s">
        <v>701</v>
      </c>
      <c r="I6" s="8" t="s">
        <v>695</v>
      </c>
      <c r="J6" s="8" t="s">
        <v>702</v>
      </c>
      <c r="K6" s="8" t="s">
        <v>703</v>
      </c>
      <c r="L6" s="8" t="s">
        <v>93</v>
      </c>
      <c r="M6" s="8" t="s">
        <v>57</v>
      </c>
      <c r="N6" s="8" t="s">
        <v>93</v>
      </c>
      <c r="O6" s="8" t="s">
        <v>93</v>
      </c>
      <c r="P6" s="8" t="s">
        <v>93</v>
      </c>
      <c r="Q6" s="8" t="s">
        <v>58</v>
      </c>
      <c r="S6" s="10">
        <v>0.52800000000000002</v>
      </c>
      <c r="X6" s="8" t="s">
        <v>736</v>
      </c>
      <c r="AA6" s="8" t="s">
        <v>395</v>
      </c>
      <c r="AJ6" s="11" t="s">
        <v>656</v>
      </c>
      <c r="AK6" s="11" t="s">
        <v>755</v>
      </c>
      <c r="AL6" s="11" t="s">
        <v>67</v>
      </c>
      <c r="AM6" s="13">
        <v>14.53</v>
      </c>
      <c r="AN6" s="13">
        <v>51</v>
      </c>
      <c r="AO6" s="13">
        <v>1.77</v>
      </c>
      <c r="AP6" s="15">
        <v>11.41</v>
      </c>
      <c r="AQ6" s="15">
        <v>51</v>
      </c>
      <c r="AR6" s="15">
        <v>1.08</v>
      </c>
      <c r="AU6" s="11" t="s">
        <v>189</v>
      </c>
      <c r="AV6" s="8">
        <v>365</v>
      </c>
      <c r="AW6" s="8">
        <v>365</v>
      </c>
    </row>
    <row r="7" spans="1:49" x14ac:dyDescent="0.2">
      <c r="A7" s="8" t="s">
        <v>698</v>
      </c>
      <c r="B7" s="8">
        <v>2020</v>
      </c>
      <c r="C7" s="8" t="s">
        <v>548</v>
      </c>
      <c r="D7" s="8" t="s">
        <v>88</v>
      </c>
      <c r="E7" s="8" t="s">
        <v>88</v>
      </c>
      <c r="F7" s="8" t="s">
        <v>175</v>
      </c>
      <c r="G7" s="8" t="s">
        <v>700</v>
      </c>
      <c r="H7" s="8" t="s">
        <v>701</v>
      </c>
      <c r="I7" s="8" t="s">
        <v>695</v>
      </c>
      <c r="J7" s="8" t="s">
        <v>702</v>
      </c>
      <c r="K7" s="8" t="s">
        <v>703</v>
      </c>
      <c r="L7" s="8" t="s">
        <v>93</v>
      </c>
      <c r="M7" s="8" t="s">
        <v>57</v>
      </c>
      <c r="N7" s="8" t="s">
        <v>93</v>
      </c>
      <c r="O7" s="8" t="s">
        <v>93</v>
      </c>
      <c r="P7" s="8" t="s">
        <v>93</v>
      </c>
      <c r="Q7" s="8" t="s">
        <v>58</v>
      </c>
      <c r="S7" s="10">
        <v>0.52900000000000003</v>
      </c>
      <c r="X7" s="8" t="s">
        <v>736</v>
      </c>
      <c r="AA7" s="8" t="s">
        <v>395</v>
      </c>
      <c r="AJ7" s="11" t="s">
        <v>656</v>
      </c>
      <c r="AK7" s="11" t="s">
        <v>755</v>
      </c>
      <c r="AL7" s="11" t="s">
        <v>67</v>
      </c>
      <c r="AM7" s="13">
        <v>15.02</v>
      </c>
      <c r="AN7" s="13">
        <v>51</v>
      </c>
      <c r="AO7" s="13">
        <v>1.82</v>
      </c>
      <c r="AP7" s="15">
        <v>9.31</v>
      </c>
      <c r="AQ7" s="15">
        <v>51</v>
      </c>
      <c r="AR7" s="15">
        <v>1.52</v>
      </c>
      <c r="AU7" s="11" t="s">
        <v>189</v>
      </c>
      <c r="AV7" s="8">
        <v>365</v>
      </c>
      <c r="AW7" s="8">
        <v>365</v>
      </c>
    </row>
    <row r="8" spans="1:49" x14ac:dyDescent="0.2">
      <c r="A8" s="8" t="s">
        <v>713</v>
      </c>
      <c r="B8" s="8">
        <v>2019</v>
      </c>
      <c r="C8" s="8" t="s">
        <v>118</v>
      </c>
      <c r="D8" s="8" t="s">
        <v>49</v>
      </c>
      <c r="E8" s="8" t="s">
        <v>75</v>
      </c>
      <c r="F8" s="8" t="s">
        <v>279</v>
      </c>
      <c r="G8" s="8" t="s">
        <v>714</v>
      </c>
      <c r="H8" s="8" t="s">
        <v>715</v>
      </c>
      <c r="I8" s="8" t="s">
        <v>716</v>
      </c>
      <c r="J8" s="8" t="s">
        <v>452</v>
      </c>
      <c r="K8" s="8" t="s">
        <v>56</v>
      </c>
      <c r="L8" s="8" t="s">
        <v>712</v>
      </c>
      <c r="M8" s="8" t="s">
        <v>57</v>
      </c>
      <c r="N8" s="8" t="s">
        <v>93</v>
      </c>
      <c r="O8" s="8" t="s">
        <v>58</v>
      </c>
      <c r="P8" s="8" t="s">
        <v>58</v>
      </c>
      <c r="Q8" s="8" t="s">
        <v>57</v>
      </c>
      <c r="R8" s="8" t="s">
        <v>724</v>
      </c>
      <c r="T8" s="8" t="s">
        <v>730</v>
      </c>
      <c r="U8" s="9">
        <v>0.88</v>
      </c>
      <c r="X8" s="8" t="s">
        <v>741</v>
      </c>
      <c r="AA8" s="8" t="s">
        <v>395</v>
      </c>
      <c r="AJ8" s="7" t="s">
        <v>317</v>
      </c>
      <c r="AK8" s="7" t="s">
        <v>756</v>
      </c>
      <c r="AL8" s="7" t="s">
        <v>67</v>
      </c>
      <c r="AM8" s="16">
        <v>4.5</v>
      </c>
      <c r="AN8" s="16">
        <v>27</v>
      </c>
      <c r="AO8" s="16">
        <v>3.04</v>
      </c>
      <c r="AP8" s="16">
        <v>0.4</v>
      </c>
      <c r="AQ8" s="16">
        <v>25</v>
      </c>
      <c r="AR8" s="16">
        <v>0.7</v>
      </c>
      <c r="AU8" s="11" t="s">
        <v>774</v>
      </c>
      <c r="AV8" s="8">
        <v>91</v>
      </c>
      <c r="AW8" s="8">
        <v>56</v>
      </c>
    </row>
    <row r="9" spans="1:49" x14ac:dyDescent="0.2">
      <c r="A9" s="8" t="s">
        <v>713</v>
      </c>
      <c r="B9" s="8">
        <v>2019</v>
      </c>
      <c r="C9" s="8" t="s">
        <v>87</v>
      </c>
      <c r="D9" s="8" t="s">
        <v>88</v>
      </c>
      <c r="E9" s="8" t="s">
        <v>88</v>
      </c>
      <c r="F9" s="8" t="s">
        <v>279</v>
      </c>
      <c r="G9" s="8" t="s">
        <v>714</v>
      </c>
      <c r="H9" s="8" t="s">
        <v>715</v>
      </c>
      <c r="I9" s="8" t="s">
        <v>716</v>
      </c>
      <c r="J9" s="8" t="s">
        <v>452</v>
      </c>
      <c r="K9" s="8" t="s">
        <v>56</v>
      </c>
      <c r="L9" s="8" t="s">
        <v>712</v>
      </c>
      <c r="M9" s="8" t="s">
        <v>57</v>
      </c>
      <c r="N9" s="8" t="s">
        <v>93</v>
      </c>
      <c r="O9" s="8" t="s">
        <v>58</v>
      </c>
      <c r="P9" s="8" t="s">
        <v>58</v>
      </c>
      <c r="Q9" s="8" t="s">
        <v>57</v>
      </c>
      <c r="R9" s="8" t="s">
        <v>725</v>
      </c>
      <c r="T9" s="8" t="s">
        <v>731</v>
      </c>
      <c r="U9" s="9">
        <v>0.72</v>
      </c>
      <c r="X9" s="8" t="s">
        <v>742</v>
      </c>
      <c r="AA9" s="8" t="s">
        <v>395</v>
      </c>
      <c r="AJ9" s="7" t="s">
        <v>317</v>
      </c>
      <c r="AK9" s="7" t="s">
        <v>756</v>
      </c>
      <c r="AL9" s="7" t="s">
        <v>67</v>
      </c>
      <c r="AM9" s="16">
        <v>4.8</v>
      </c>
      <c r="AN9" s="7">
        <v>27</v>
      </c>
      <c r="AO9" s="16">
        <v>3.6</v>
      </c>
      <c r="AP9" s="16">
        <v>5.08</v>
      </c>
      <c r="AQ9" s="16">
        <v>25</v>
      </c>
      <c r="AR9" s="16">
        <v>3.7</v>
      </c>
      <c r="AU9" s="11" t="s">
        <v>774</v>
      </c>
      <c r="AV9" s="8">
        <v>91</v>
      </c>
      <c r="AW9" s="8">
        <v>56</v>
      </c>
    </row>
    <row r="10" spans="1:49" x14ac:dyDescent="0.2">
      <c r="A10" s="8" t="s">
        <v>713</v>
      </c>
      <c r="B10" s="8">
        <v>2019</v>
      </c>
      <c r="C10" s="8" t="s">
        <v>118</v>
      </c>
      <c r="D10" s="8" t="s">
        <v>49</v>
      </c>
      <c r="E10" s="8" t="s">
        <v>75</v>
      </c>
      <c r="F10" s="8" t="s">
        <v>279</v>
      </c>
      <c r="G10" s="8" t="s">
        <v>714</v>
      </c>
      <c r="H10" s="8" t="s">
        <v>715</v>
      </c>
      <c r="I10" s="8" t="s">
        <v>716</v>
      </c>
      <c r="J10" s="8" t="s">
        <v>452</v>
      </c>
      <c r="K10" s="8" t="s">
        <v>56</v>
      </c>
      <c r="L10" s="8" t="s">
        <v>712</v>
      </c>
      <c r="M10" s="8" t="s">
        <v>57</v>
      </c>
      <c r="N10" s="8" t="s">
        <v>93</v>
      </c>
      <c r="O10" s="8" t="s">
        <v>58</v>
      </c>
      <c r="P10" s="8" t="s">
        <v>58</v>
      </c>
      <c r="Q10" s="8" t="s">
        <v>57</v>
      </c>
      <c r="R10" s="8" t="s">
        <v>724</v>
      </c>
      <c r="T10" s="8" t="s">
        <v>730</v>
      </c>
      <c r="U10" s="9">
        <v>0.88</v>
      </c>
      <c r="X10" s="8" t="s">
        <v>741</v>
      </c>
      <c r="AA10" s="8" t="s">
        <v>395</v>
      </c>
      <c r="AJ10" s="7" t="s">
        <v>757</v>
      </c>
      <c r="AK10" s="7" t="s">
        <v>756</v>
      </c>
      <c r="AL10" s="7" t="s">
        <v>67</v>
      </c>
      <c r="AM10" s="7">
        <v>11.6</v>
      </c>
      <c r="AN10" s="7">
        <v>27</v>
      </c>
      <c r="AO10" s="7">
        <v>2.8</v>
      </c>
      <c r="AP10" s="7">
        <v>3.4</v>
      </c>
      <c r="AQ10" s="7">
        <v>25</v>
      </c>
      <c r="AR10" s="7">
        <v>1.5</v>
      </c>
      <c r="AU10" s="11" t="s">
        <v>774</v>
      </c>
      <c r="AV10" s="8">
        <v>91</v>
      </c>
      <c r="AW10" s="8">
        <v>56</v>
      </c>
    </row>
    <row r="11" spans="1:49" x14ac:dyDescent="0.2">
      <c r="A11" s="8" t="s">
        <v>713</v>
      </c>
      <c r="B11" s="8">
        <v>2019</v>
      </c>
      <c r="C11" s="8" t="s">
        <v>87</v>
      </c>
      <c r="D11" s="8" t="s">
        <v>88</v>
      </c>
      <c r="E11" s="8" t="s">
        <v>88</v>
      </c>
      <c r="F11" s="8" t="s">
        <v>279</v>
      </c>
      <c r="G11" s="8" t="s">
        <v>714</v>
      </c>
      <c r="H11" s="8" t="s">
        <v>715</v>
      </c>
      <c r="I11" s="8" t="s">
        <v>716</v>
      </c>
      <c r="J11" s="8" t="s">
        <v>452</v>
      </c>
      <c r="K11" s="8" t="s">
        <v>56</v>
      </c>
      <c r="L11" s="8" t="s">
        <v>712</v>
      </c>
      <c r="M11" s="8" t="s">
        <v>57</v>
      </c>
      <c r="N11" s="8" t="s">
        <v>93</v>
      </c>
      <c r="O11" s="8" t="s">
        <v>58</v>
      </c>
      <c r="P11" s="8" t="s">
        <v>58</v>
      </c>
      <c r="Q11" s="8" t="s">
        <v>57</v>
      </c>
      <c r="R11" s="8" t="s">
        <v>725</v>
      </c>
      <c r="T11" s="8" t="s">
        <v>731</v>
      </c>
      <c r="U11" s="9">
        <v>0.72</v>
      </c>
      <c r="X11" s="8" t="s">
        <v>742</v>
      </c>
      <c r="AA11" s="8" t="s">
        <v>395</v>
      </c>
      <c r="AJ11" s="7" t="s">
        <v>757</v>
      </c>
      <c r="AK11" s="7" t="s">
        <v>756</v>
      </c>
      <c r="AL11" s="7" t="s">
        <v>67</v>
      </c>
      <c r="AM11" s="7">
        <v>10.039999999999999</v>
      </c>
      <c r="AN11" s="7">
        <v>27</v>
      </c>
      <c r="AO11" s="7">
        <v>4.0199999999999996</v>
      </c>
      <c r="AP11" s="7">
        <v>10.5</v>
      </c>
      <c r="AQ11" s="7">
        <v>25</v>
      </c>
      <c r="AR11" s="7">
        <v>3.7</v>
      </c>
      <c r="AU11" s="11" t="s">
        <v>774</v>
      </c>
      <c r="AV11" s="8">
        <v>91</v>
      </c>
      <c r="AW11" s="8">
        <v>56</v>
      </c>
    </row>
    <row r="12" spans="1:49" x14ac:dyDescent="0.2">
      <c r="A12" s="8" t="s">
        <v>713</v>
      </c>
      <c r="B12" s="8">
        <v>2019</v>
      </c>
      <c r="C12" s="8" t="s">
        <v>118</v>
      </c>
      <c r="D12" s="8" t="s">
        <v>49</v>
      </c>
      <c r="E12" s="8" t="s">
        <v>75</v>
      </c>
      <c r="F12" s="8" t="s">
        <v>279</v>
      </c>
      <c r="G12" s="8" t="s">
        <v>714</v>
      </c>
      <c r="H12" s="8" t="s">
        <v>715</v>
      </c>
      <c r="I12" s="8" t="s">
        <v>716</v>
      </c>
      <c r="J12" s="8" t="s">
        <v>452</v>
      </c>
      <c r="K12" s="8" t="s">
        <v>56</v>
      </c>
      <c r="L12" s="8" t="s">
        <v>712</v>
      </c>
      <c r="M12" s="8" t="s">
        <v>57</v>
      </c>
      <c r="N12" s="8" t="s">
        <v>93</v>
      </c>
      <c r="O12" s="8" t="s">
        <v>58</v>
      </c>
      <c r="P12" s="8" t="s">
        <v>58</v>
      </c>
      <c r="Q12" s="8" t="s">
        <v>57</v>
      </c>
      <c r="R12" s="8" t="s">
        <v>724</v>
      </c>
      <c r="T12" s="8" t="s">
        <v>730</v>
      </c>
      <c r="U12" s="9">
        <v>0.88</v>
      </c>
      <c r="X12" s="8" t="s">
        <v>741</v>
      </c>
      <c r="AA12" s="8" t="s">
        <v>395</v>
      </c>
      <c r="AJ12" s="7" t="s">
        <v>751</v>
      </c>
      <c r="AK12" s="7" t="s">
        <v>756</v>
      </c>
      <c r="AL12" s="7" t="s">
        <v>67</v>
      </c>
      <c r="AM12" s="7">
        <v>39.9</v>
      </c>
      <c r="AN12" s="7">
        <v>27</v>
      </c>
      <c r="AO12" s="7">
        <v>8.4</v>
      </c>
      <c r="AP12" s="7">
        <v>16.079999999999998</v>
      </c>
      <c r="AQ12" s="7">
        <v>25</v>
      </c>
      <c r="AR12" s="7">
        <v>3.7</v>
      </c>
      <c r="AU12" s="11" t="s">
        <v>774</v>
      </c>
      <c r="AV12" s="8">
        <v>91</v>
      </c>
      <c r="AW12" s="8">
        <v>56</v>
      </c>
    </row>
    <row r="13" spans="1:49" x14ac:dyDescent="0.2">
      <c r="A13" s="8" t="s">
        <v>713</v>
      </c>
      <c r="B13" s="8">
        <v>2019</v>
      </c>
      <c r="C13" s="8" t="s">
        <v>87</v>
      </c>
      <c r="D13" s="8" t="s">
        <v>88</v>
      </c>
      <c r="E13" s="8" t="s">
        <v>88</v>
      </c>
      <c r="F13" s="8" t="s">
        <v>279</v>
      </c>
      <c r="G13" s="8" t="s">
        <v>714</v>
      </c>
      <c r="H13" s="8" t="s">
        <v>715</v>
      </c>
      <c r="I13" s="8" t="s">
        <v>716</v>
      </c>
      <c r="J13" s="8" t="s">
        <v>452</v>
      </c>
      <c r="K13" s="8" t="s">
        <v>56</v>
      </c>
      <c r="L13" s="8" t="s">
        <v>712</v>
      </c>
      <c r="M13" s="8" t="s">
        <v>57</v>
      </c>
      <c r="N13" s="8" t="s">
        <v>93</v>
      </c>
      <c r="O13" s="8" t="s">
        <v>58</v>
      </c>
      <c r="P13" s="8" t="s">
        <v>58</v>
      </c>
      <c r="Q13" s="8" t="s">
        <v>57</v>
      </c>
      <c r="R13" s="8" t="s">
        <v>725</v>
      </c>
      <c r="T13" s="8" t="s">
        <v>731</v>
      </c>
      <c r="U13" s="9">
        <v>0.72</v>
      </c>
      <c r="X13" s="8" t="s">
        <v>742</v>
      </c>
      <c r="AA13" s="8" t="s">
        <v>395</v>
      </c>
      <c r="AJ13" s="7" t="s">
        <v>751</v>
      </c>
      <c r="AK13" s="7" t="s">
        <v>756</v>
      </c>
      <c r="AL13" s="7" t="s">
        <v>67</v>
      </c>
      <c r="AM13" s="7">
        <v>32.04</v>
      </c>
      <c r="AN13" s="7">
        <v>27</v>
      </c>
      <c r="AO13" s="7">
        <v>7.02</v>
      </c>
      <c r="AP13" s="7">
        <v>32.9</v>
      </c>
      <c r="AQ13" s="7">
        <v>25</v>
      </c>
      <c r="AR13" s="7">
        <v>7.2</v>
      </c>
      <c r="AU13" s="11" t="s">
        <v>774</v>
      </c>
      <c r="AV13" s="8">
        <v>91</v>
      </c>
      <c r="AW13" s="8">
        <v>56</v>
      </c>
    </row>
    <row r="14" spans="1:49" x14ac:dyDescent="0.2">
      <c r="A14" s="8" t="s">
        <v>708</v>
      </c>
      <c r="B14" s="8">
        <v>2020</v>
      </c>
      <c r="C14" s="8" t="s">
        <v>312</v>
      </c>
      <c r="D14" s="8" t="s">
        <v>105</v>
      </c>
      <c r="E14" s="8" t="s">
        <v>106</v>
      </c>
      <c r="F14" s="8" t="s">
        <v>89</v>
      </c>
      <c r="G14" s="8" t="s">
        <v>709</v>
      </c>
      <c r="H14" s="8" t="s">
        <v>710</v>
      </c>
      <c r="I14" s="8" t="s">
        <v>711</v>
      </c>
      <c r="J14" s="8" t="s">
        <v>452</v>
      </c>
      <c r="K14" s="8" t="s">
        <v>56</v>
      </c>
      <c r="L14" s="8" t="s">
        <v>712</v>
      </c>
      <c r="M14" s="8" t="s">
        <v>712</v>
      </c>
      <c r="N14" s="8" t="s">
        <v>57</v>
      </c>
      <c r="O14" s="8" t="s">
        <v>57</v>
      </c>
      <c r="P14" s="8" t="s">
        <v>57</v>
      </c>
      <c r="Q14" s="8" t="s">
        <v>57</v>
      </c>
      <c r="X14" s="8" t="s">
        <v>739</v>
      </c>
      <c r="AA14" s="8" t="s">
        <v>395</v>
      </c>
      <c r="AJ14" s="11" t="s">
        <v>65</v>
      </c>
      <c r="AK14" s="11" t="s">
        <v>234</v>
      </c>
      <c r="AL14" s="11" t="s">
        <v>67</v>
      </c>
      <c r="AM14" s="13">
        <v>55.36</v>
      </c>
      <c r="AN14" s="13">
        <v>157</v>
      </c>
      <c r="AO14" s="13">
        <f>0.45*SQRT(AN14)</f>
        <v>5.6384838387637508</v>
      </c>
      <c r="AP14" s="15">
        <v>53.87</v>
      </c>
      <c r="AQ14" s="15">
        <v>157</v>
      </c>
      <c r="AR14" s="15">
        <f>0.49*SQRT(AQ14)</f>
        <v>6.1396824022094174</v>
      </c>
      <c r="AU14" s="11" t="s">
        <v>749</v>
      </c>
      <c r="AV14" s="8">
        <v>30</v>
      </c>
      <c r="AW14" s="8">
        <v>30</v>
      </c>
    </row>
    <row r="15" spans="1:49" x14ac:dyDescent="0.2">
      <c r="A15" s="8" t="s">
        <v>708</v>
      </c>
      <c r="B15" s="8">
        <v>2020</v>
      </c>
      <c r="C15" s="8" t="s">
        <v>87</v>
      </c>
      <c r="D15" s="8" t="s">
        <v>88</v>
      </c>
      <c r="E15" s="8" t="s">
        <v>88</v>
      </c>
      <c r="F15" s="8" t="s">
        <v>89</v>
      </c>
      <c r="G15" s="8" t="s">
        <v>709</v>
      </c>
      <c r="H15" s="8" t="s">
        <v>710</v>
      </c>
      <c r="I15" s="8" t="s">
        <v>711</v>
      </c>
      <c r="J15" s="8" t="s">
        <v>452</v>
      </c>
      <c r="K15" s="8" t="s">
        <v>56</v>
      </c>
      <c r="L15" s="8" t="s">
        <v>712</v>
      </c>
      <c r="M15" s="8" t="s">
        <v>712</v>
      </c>
      <c r="N15" s="8" t="s">
        <v>57</v>
      </c>
      <c r="O15" s="8" t="s">
        <v>57</v>
      </c>
      <c r="P15" s="8" t="s">
        <v>57</v>
      </c>
      <c r="Q15" s="8" t="s">
        <v>57</v>
      </c>
      <c r="X15" s="8" t="s">
        <v>740</v>
      </c>
      <c r="AA15" s="8" t="s">
        <v>395</v>
      </c>
      <c r="AJ15" s="11" t="s">
        <v>65</v>
      </c>
      <c r="AK15" s="11" t="s">
        <v>234</v>
      </c>
      <c r="AL15" s="11" t="s">
        <v>67</v>
      </c>
      <c r="AM15" s="13">
        <v>54.14</v>
      </c>
      <c r="AN15" s="13">
        <v>157</v>
      </c>
      <c r="AO15" s="13">
        <f>0.45*SQRT(AN15)</f>
        <v>5.6384838387637508</v>
      </c>
      <c r="AP15" s="15">
        <v>19.61</v>
      </c>
      <c r="AQ15" s="15">
        <v>157</v>
      </c>
      <c r="AR15" s="15">
        <f>0.49*SQRT(AQ15)</f>
        <v>6.1396824022094174</v>
      </c>
      <c r="AU15" s="11" t="s">
        <v>749</v>
      </c>
      <c r="AV15" s="8">
        <v>30</v>
      </c>
      <c r="AW15" s="8">
        <v>30</v>
      </c>
    </row>
    <row r="16" spans="1:49" x14ac:dyDescent="0.2">
      <c r="A16" s="8" t="s">
        <v>708</v>
      </c>
      <c r="B16" s="8">
        <v>2020</v>
      </c>
      <c r="C16" s="8" t="s">
        <v>312</v>
      </c>
      <c r="D16" s="8" t="s">
        <v>105</v>
      </c>
      <c r="E16" s="8" t="s">
        <v>106</v>
      </c>
      <c r="F16" s="8" t="s">
        <v>89</v>
      </c>
      <c r="G16" s="8" t="s">
        <v>709</v>
      </c>
      <c r="H16" s="8" t="s">
        <v>710</v>
      </c>
      <c r="I16" s="8" t="s">
        <v>711</v>
      </c>
      <c r="J16" s="8" t="s">
        <v>452</v>
      </c>
      <c r="K16" s="8" t="s">
        <v>56</v>
      </c>
      <c r="L16" s="8" t="s">
        <v>712</v>
      </c>
      <c r="M16" s="8" t="s">
        <v>712</v>
      </c>
      <c r="N16" s="8" t="s">
        <v>57</v>
      </c>
      <c r="O16" s="8" t="s">
        <v>57</v>
      </c>
      <c r="P16" s="8" t="s">
        <v>57</v>
      </c>
      <c r="Q16" s="8" t="s">
        <v>57</v>
      </c>
      <c r="X16" s="8" t="s">
        <v>739</v>
      </c>
      <c r="AA16" s="8" t="s">
        <v>395</v>
      </c>
      <c r="AJ16" s="1" t="s">
        <v>758</v>
      </c>
      <c r="AK16" s="1" t="s">
        <v>234</v>
      </c>
      <c r="AL16" s="1" t="s">
        <v>67</v>
      </c>
      <c r="AM16" s="1">
        <v>180.88</v>
      </c>
      <c r="AN16" s="1">
        <v>157</v>
      </c>
      <c r="AO16" s="7">
        <f>1.67*SQRT(AN16)</f>
        <v>20.925040023856585</v>
      </c>
      <c r="AP16" s="1">
        <v>182.36</v>
      </c>
      <c r="AQ16" s="1">
        <v>157</v>
      </c>
      <c r="AR16" s="7">
        <f>1.82*SQRT(AQ16)</f>
        <v>22.804534636777834</v>
      </c>
      <c r="AU16" s="11" t="s">
        <v>749</v>
      </c>
      <c r="AV16" s="8">
        <v>30</v>
      </c>
      <c r="AW16" s="8">
        <v>30</v>
      </c>
    </row>
    <row r="17" spans="1:49" x14ac:dyDescent="0.2">
      <c r="A17" s="8" t="s">
        <v>708</v>
      </c>
      <c r="B17" s="8">
        <v>2020</v>
      </c>
      <c r="C17" s="8" t="s">
        <v>87</v>
      </c>
      <c r="D17" s="8" t="s">
        <v>88</v>
      </c>
      <c r="E17" s="8" t="s">
        <v>88</v>
      </c>
      <c r="F17" s="8" t="s">
        <v>89</v>
      </c>
      <c r="G17" s="8" t="s">
        <v>709</v>
      </c>
      <c r="H17" s="8" t="s">
        <v>710</v>
      </c>
      <c r="I17" s="8" t="s">
        <v>711</v>
      </c>
      <c r="J17" s="8" t="s">
        <v>452</v>
      </c>
      <c r="K17" s="8" t="s">
        <v>56</v>
      </c>
      <c r="L17" s="8" t="s">
        <v>712</v>
      </c>
      <c r="M17" s="8" t="s">
        <v>712</v>
      </c>
      <c r="N17" s="8" t="s">
        <v>57</v>
      </c>
      <c r="O17" s="8" t="s">
        <v>57</v>
      </c>
      <c r="P17" s="8" t="s">
        <v>57</v>
      </c>
      <c r="Q17" s="8" t="s">
        <v>57</v>
      </c>
      <c r="X17" s="8" t="s">
        <v>740</v>
      </c>
      <c r="AA17" s="8" t="s">
        <v>395</v>
      </c>
      <c r="AJ17" s="1" t="s">
        <v>758</v>
      </c>
      <c r="AK17" s="1" t="s">
        <v>234</v>
      </c>
      <c r="AL17" s="1" t="s">
        <v>67</v>
      </c>
      <c r="AM17" s="1">
        <v>180.24</v>
      </c>
      <c r="AN17" s="1">
        <v>157</v>
      </c>
      <c r="AO17" s="7">
        <f>1.67*SQRT(AN17)</f>
        <v>20.925040023856585</v>
      </c>
      <c r="AP17" s="1">
        <v>279.73</v>
      </c>
      <c r="AQ17" s="1">
        <v>157</v>
      </c>
      <c r="AR17" s="7">
        <f>1.82*SQRT(AQ17)</f>
        <v>22.804534636777834</v>
      </c>
      <c r="AU17" s="11" t="s">
        <v>749</v>
      </c>
      <c r="AV17" s="8">
        <v>30</v>
      </c>
      <c r="AW17" s="8">
        <v>30</v>
      </c>
    </row>
    <row r="18" spans="1:49" x14ac:dyDescent="0.2">
      <c r="A18" s="8" t="s">
        <v>691</v>
      </c>
      <c r="B18" s="8">
        <v>2020</v>
      </c>
      <c r="C18" s="8" t="s">
        <v>692</v>
      </c>
      <c r="D18" s="8" t="s">
        <v>105</v>
      </c>
      <c r="E18" s="8" t="s">
        <v>106</v>
      </c>
      <c r="F18" s="8" t="s">
        <v>747</v>
      </c>
      <c r="G18" s="8" t="s">
        <v>693</v>
      </c>
      <c r="H18" s="8" t="s">
        <v>694</v>
      </c>
      <c r="I18" s="8" t="s">
        <v>695</v>
      </c>
      <c r="J18" s="8" t="s">
        <v>696</v>
      </c>
      <c r="K18" s="8" t="s">
        <v>56</v>
      </c>
      <c r="L18" s="8" t="s">
        <v>93</v>
      </c>
      <c r="M18" s="8" t="s">
        <v>58</v>
      </c>
      <c r="N18" s="8" t="s">
        <v>93</v>
      </c>
      <c r="O18" s="8" t="s">
        <v>58</v>
      </c>
      <c r="P18" s="8" t="s">
        <v>93</v>
      </c>
      <c r="Q18" s="8" t="s">
        <v>93</v>
      </c>
      <c r="S18" s="9">
        <v>0.76</v>
      </c>
      <c r="T18" s="8" t="s">
        <v>726</v>
      </c>
      <c r="U18" s="9">
        <v>0.92</v>
      </c>
      <c r="X18" s="8" t="s">
        <v>734</v>
      </c>
      <c r="AA18" s="8" t="s">
        <v>395</v>
      </c>
      <c r="AJ18" s="11" t="s">
        <v>65</v>
      </c>
      <c r="AK18" s="11" t="s">
        <v>66</v>
      </c>
      <c r="AL18" s="11" t="s">
        <v>67</v>
      </c>
      <c r="AM18" s="13">
        <v>6.7</v>
      </c>
      <c r="AN18" s="13">
        <v>25</v>
      </c>
      <c r="AO18" s="13">
        <v>2.1</v>
      </c>
      <c r="AP18" s="15">
        <v>2.9</v>
      </c>
      <c r="AQ18" s="15">
        <v>25</v>
      </c>
      <c r="AR18" s="15">
        <v>2.4</v>
      </c>
      <c r="AU18" s="11" t="s">
        <v>238</v>
      </c>
      <c r="AV18" s="8">
        <v>90</v>
      </c>
      <c r="AW18" s="8">
        <v>35</v>
      </c>
    </row>
    <row r="19" spans="1:49" x14ac:dyDescent="0.2">
      <c r="A19" s="8" t="s">
        <v>691</v>
      </c>
      <c r="B19" s="8">
        <v>2020</v>
      </c>
      <c r="C19" s="8" t="s">
        <v>697</v>
      </c>
      <c r="D19" s="8" t="s">
        <v>88</v>
      </c>
      <c r="E19" s="8" t="s">
        <v>88</v>
      </c>
      <c r="F19" s="8" t="s">
        <v>747</v>
      </c>
      <c r="G19" s="8" t="s">
        <v>693</v>
      </c>
      <c r="H19" s="8" t="s">
        <v>694</v>
      </c>
      <c r="I19" s="8" t="s">
        <v>695</v>
      </c>
      <c r="J19" s="8" t="s">
        <v>696</v>
      </c>
      <c r="K19" s="8" t="s">
        <v>56</v>
      </c>
      <c r="L19" s="8" t="s">
        <v>93</v>
      </c>
      <c r="M19" s="8" t="s">
        <v>58</v>
      </c>
      <c r="N19" s="8" t="s">
        <v>93</v>
      </c>
      <c r="O19" s="8" t="s">
        <v>58</v>
      </c>
      <c r="P19" s="8" t="s">
        <v>93</v>
      </c>
      <c r="Q19" s="8" t="s">
        <v>93</v>
      </c>
      <c r="S19" s="10">
        <v>0.76900000000000002</v>
      </c>
      <c r="T19" s="8" t="s">
        <v>727</v>
      </c>
      <c r="U19" s="10">
        <v>0.80800000000000005</v>
      </c>
      <c r="X19" s="8" t="s">
        <v>735</v>
      </c>
      <c r="AA19" s="8" t="s">
        <v>395</v>
      </c>
      <c r="AJ19" s="11" t="s">
        <v>65</v>
      </c>
      <c r="AK19" s="11" t="s">
        <v>66</v>
      </c>
      <c r="AL19" s="11" t="s">
        <v>67</v>
      </c>
      <c r="AM19" s="13">
        <v>6.8</v>
      </c>
      <c r="AN19" s="13">
        <v>26</v>
      </c>
      <c r="AO19" s="13">
        <v>2.2999999999999998</v>
      </c>
      <c r="AP19" s="15">
        <v>5.5</v>
      </c>
      <c r="AQ19" s="15">
        <v>26</v>
      </c>
      <c r="AR19" s="15">
        <v>3.4</v>
      </c>
      <c r="AU19" s="11" t="s">
        <v>238</v>
      </c>
      <c r="AV19" s="8">
        <v>90</v>
      </c>
      <c r="AW19" s="8">
        <v>35</v>
      </c>
    </row>
    <row r="20" spans="1:49" x14ac:dyDescent="0.2">
      <c r="A20" s="8" t="s">
        <v>691</v>
      </c>
      <c r="B20" s="8">
        <v>2020</v>
      </c>
      <c r="C20" s="8" t="s">
        <v>692</v>
      </c>
      <c r="D20" s="8" t="s">
        <v>105</v>
      </c>
      <c r="E20" s="8" t="s">
        <v>106</v>
      </c>
      <c r="F20" s="8" t="s">
        <v>747</v>
      </c>
      <c r="G20" s="8" t="s">
        <v>693</v>
      </c>
      <c r="H20" s="8" t="s">
        <v>694</v>
      </c>
      <c r="I20" s="8" t="s">
        <v>695</v>
      </c>
      <c r="J20" s="8" t="s">
        <v>696</v>
      </c>
      <c r="K20" s="8" t="s">
        <v>56</v>
      </c>
      <c r="L20" s="8" t="s">
        <v>93</v>
      </c>
      <c r="M20" s="8" t="s">
        <v>58</v>
      </c>
      <c r="N20" s="8" t="s">
        <v>93</v>
      </c>
      <c r="O20" s="8" t="s">
        <v>58</v>
      </c>
      <c r="P20" s="8" t="s">
        <v>93</v>
      </c>
      <c r="Q20" s="8" t="s">
        <v>93</v>
      </c>
      <c r="S20" s="9">
        <v>0.76</v>
      </c>
      <c r="T20" s="8" t="s">
        <v>726</v>
      </c>
      <c r="U20" s="9">
        <v>0.92</v>
      </c>
      <c r="X20" s="8" t="s">
        <v>734</v>
      </c>
      <c r="AA20" s="8" t="s">
        <v>395</v>
      </c>
      <c r="AJ20" s="11" t="s">
        <v>751</v>
      </c>
      <c r="AK20" s="3" t="s">
        <v>750</v>
      </c>
      <c r="AL20" s="3" t="s">
        <v>67</v>
      </c>
      <c r="AM20" s="1">
        <v>4.0999999999999996</v>
      </c>
      <c r="AN20" s="1">
        <v>25</v>
      </c>
      <c r="AO20" s="1">
        <v>3</v>
      </c>
      <c r="AP20" s="2">
        <v>0.9</v>
      </c>
      <c r="AQ20" s="2">
        <v>25</v>
      </c>
      <c r="AR20" s="2">
        <v>1</v>
      </c>
      <c r="AS20" s="1"/>
      <c r="AU20" s="11" t="s">
        <v>238</v>
      </c>
      <c r="AV20" s="8">
        <v>90</v>
      </c>
      <c r="AW20" s="8">
        <v>35</v>
      </c>
    </row>
    <row r="21" spans="1:49" x14ac:dyDescent="0.2">
      <c r="A21" s="8" t="s">
        <v>691</v>
      </c>
      <c r="B21" s="8">
        <v>2020</v>
      </c>
      <c r="C21" s="8" t="s">
        <v>697</v>
      </c>
      <c r="D21" s="8" t="s">
        <v>88</v>
      </c>
      <c r="E21" s="8" t="s">
        <v>88</v>
      </c>
      <c r="F21" s="8" t="s">
        <v>747</v>
      </c>
      <c r="G21" s="8" t="s">
        <v>693</v>
      </c>
      <c r="H21" s="8" t="s">
        <v>694</v>
      </c>
      <c r="I21" s="8" t="s">
        <v>695</v>
      </c>
      <c r="J21" s="8" t="s">
        <v>696</v>
      </c>
      <c r="K21" s="8" t="s">
        <v>56</v>
      </c>
      <c r="L21" s="8" t="s">
        <v>93</v>
      </c>
      <c r="M21" s="8" t="s">
        <v>58</v>
      </c>
      <c r="N21" s="8" t="s">
        <v>93</v>
      </c>
      <c r="O21" s="8" t="s">
        <v>58</v>
      </c>
      <c r="P21" s="8" t="s">
        <v>93</v>
      </c>
      <c r="Q21" s="8" t="s">
        <v>93</v>
      </c>
      <c r="S21" s="10">
        <v>0.76900000000000002</v>
      </c>
      <c r="T21" s="8" t="s">
        <v>727</v>
      </c>
      <c r="U21" s="10">
        <v>0.80800000000000005</v>
      </c>
      <c r="X21" s="8" t="s">
        <v>735</v>
      </c>
      <c r="AA21" s="8" t="s">
        <v>395</v>
      </c>
      <c r="AJ21" s="11" t="s">
        <v>751</v>
      </c>
      <c r="AK21" s="3" t="s">
        <v>750</v>
      </c>
      <c r="AL21" s="3" t="s">
        <v>67</v>
      </c>
      <c r="AM21" s="1">
        <v>4.5999999999999996</v>
      </c>
      <c r="AN21" s="1">
        <v>26</v>
      </c>
      <c r="AO21" s="1">
        <v>2.8</v>
      </c>
      <c r="AP21" s="2">
        <v>2.9</v>
      </c>
      <c r="AQ21" s="2">
        <v>26</v>
      </c>
      <c r="AR21" s="2">
        <v>2.8</v>
      </c>
      <c r="AS21" s="1"/>
      <c r="AU21" s="11" t="s">
        <v>238</v>
      </c>
      <c r="AV21" s="8">
        <v>90</v>
      </c>
      <c r="AW21" s="8">
        <v>35</v>
      </c>
    </row>
    <row r="22" spans="1:49" x14ac:dyDescent="0.2">
      <c r="A22" s="8" t="s">
        <v>717</v>
      </c>
      <c r="B22" s="8">
        <v>2019</v>
      </c>
      <c r="C22" s="8" t="s">
        <v>118</v>
      </c>
      <c r="D22" s="8" t="s">
        <v>49</v>
      </c>
      <c r="E22" s="8" t="s">
        <v>75</v>
      </c>
      <c r="F22" s="8" t="s">
        <v>175</v>
      </c>
      <c r="G22" s="8" t="s">
        <v>718</v>
      </c>
      <c r="H22" s="8" t="s">
        <v>719</v>
      </c>
      <c r="I22" s="8" t="s">
        <v>54</v>
      </c>
      <c r="J22" s="8" t="s">
        <v>121</v>
      </c>
      <c r="K22" s="8" t="s">
        <v>56</v>
      </c>
      <c r="L22" s="8" t="s">
        <v>93</v>
      </c>
      <c r="M22" s="8" t="s">
        <v>712</v>
      </c>
      <c r="N22" s="8" t="s">
        <v>58</v>
      </c>
      <c r="O22" s="8" t="s">
        <v>58</v>
      </c>
      <c r="P22" s="8" t="s">
        <v>58</v>
      </c>
      <c r="Q22" s="8" t="s">
        <v>58</v>
      </c>
      <c r="S22" s="10">
        <v>0.71430000000000005</v>
      </c>
      <c r="T22" s="8" t="s">
        <v>732</v>
      </c>
      <c r="U22" s="10">
        <v>0.55359999999999998</v>
      </c>
      <c r="X22" s="8" t="s">
        <v>743</v>
      </c>
      <c r="AA22" s="8" t="s">
        <v>395</v>
      </c>
      <c r="AJ22" s="1" t="s">
        <v>317</v>
      </c>
      <c r="AK22" s="1" t="s">
        <v>764</v>
      </c>
      <c r="AL22" s="1" t="s">
        <v>67</v>
      </c>
      <c r="AM22" s="1">
        <v>13.93</v>
      </c>
      <c r="AN22" s="1">
        <v>56</v>
      </c>
      <c r="AO22" s="1">
        <v>3.45</v>
      </c>
      <c r="AP22" s="1">
        <v>10.19</v>
      </c>
      <c r="AQ22" s="1">
        <v>47</v>
      </c>
      <c r="AR22" s="1">
        <v>2.78</v>
      </c>
      <c r="AU22" s="11" t="s">
        <v>773</v>
      </c>
      <c r="AV22" s="8">
        <v>210</v>
      </c>
      <c r="AW22" s="8">
        <v>150</v>
      </c>
    </row>
    <row r="23" spans="1:49" x14ac:dyDescent="0.2">
      <c r="A23" s="8" t="s">
        <v>717</v>
      </c>
      <c r="B23" s="8">
        <v>2019</v>
      </c>
      <c r="C23" s="8" t="s">
        <v>548</v>
      </c>
      <c r="D23" s="8" t="s">
        <v>88</v>
      </c>
      <c r="E23" s="8" t="s">
        <v>88</v>
      </c>
      <c r="F23" s="8" t="s">
        <v>175</v>
      </c>
      <c r="G23" s="8" t="s">
        <v>718</v>
      </c>
      <c r="H23" s="8" t="s">
        <v>719</v>
      </c>
      <c r="I23" s="8" t="s">
        <v>54</v>
      </c>
      <c r="J23" s="8" t="s">
        <v>121</v>
      </c>
      <c r="K23" s="8" t="s">
        <v>56</v>
      </c>
      <c r="L23" s="8" t="s">
        <v>93</v>
      </c>
      <c r="M23" s="8" t="s">
        <v>712</v>
      </c>
      <c r="N23" s="8" t="s">
        <v>58</v>
      </c>
      <c r="O23" s="8" t="s">
        <v>58</v>
      </c>
      <c r="P23" s="8" t="s">
        <v>58</v>
      </c>
      <c r="Q23" s="8" t="s">
        <v>58</v>
      </c>
      <c r="S23" s="10">
        <v>0.63390000000000002</v>
      </c>
      <c r="T23" s="8" t="s">
        <v>733</v>
      </c>
      <c r="U23" s="10">
        <v>0.69640000000000002</v>
      </c>
      <c r="X23" s="8" t="s">
        <v>744</v>
      </c>
      <c r="AA23" s="8" t="s">
        <v>395</v>
      </c>
      <c r="AJ23" s="1" t="s">
        <v>317</v>
      </c>
      <c r="AK23" s="1" t="s">
        <v>764</v>
      </c>
      <c r="AL23" s="1" t="s">
        <v>67</v>
      </c>
      <c r="AM23" s="1">
        <v>13.21</v>
      </c>
      <c r="AN23" s="1">
        <v>56</v>
      </c>
      <c r="AO23" s="1">
        <v>3.11</v>
      </c>
      <c r="AP23" s="1">
        <v>12.21</v>
      </c>
      <c r="AQ23" s="1">
        <v>35</v>
      </c>
      <c r="AR23" s="1">
        <v>3.56</v>
      </c>
      <c r="AU23" s="11" t="s">
        <v>773</v>
      </c>
      <c r="AV23" s="8">
        <v>210</v>
      </c>
      <c r="AW23" s="8">
        <v>150</v>
      </c>
    </row>
    <row r="24" spans="1:49" x14ac:dyDescent="0.2">
      <c r="A24" s="8" t="s">
        <v>717</v>
      </c>
      <c r="B24" s="8">
        <v>2019</v>
      </c>
      <c r="C24" s="8" t="s">
        <v>118</v>
      </c>
      <c r="D24" s="8" t="s">
        <v>49</v>
      </c>
      <c r="E24" s="8" t="s">
        <v>75</v>
      </c>
      <c r="F24" s="8" t="s">
        <v>175</v>
      </c>
      <c r="G24" s="8" t="s">
        <v>718</v>
      </c>
      <c r="H24" s="8" t="s">
        <v>719</v>
      </c>
      <c r="I24" s="8" t="s">
        <v>54</v>
      </c>
      <c r="J24" s="8" t="s">
        <v>121</v>
      </c>
      <c r="K24" s="8" t="s">
        <v>56</v>
      </c>
      <c r="L24" s="8" t="s">
        <v>93</v>
      </c>
      <c r="M24" s="8" t="s">
        <v>712</v>
      </c>
      <c r="N24" s="8" t="s">
        <v>58</v>
      </c>
      <c r="O24" s="8" t="s">
        <v>58</v>
      </c>
      <c r="P24" s="8" t="s">
        <v>58</v>
      </c>
      <c r="Q24" s="8" t="s">
        <v>58</v>
      </c>
      <c r="S24" s="10">
        <v>0.71430000000000005</v>
      </c>
      <c r="T24" s="8" t="s">
        <v>732</v>
      </c>
      <c r="U24" s="10">
        <v>0.55359999999999998</v>
      </c>
      <c r="X24" s="8" t="s">
        <v>743</v>
      </c>
      <c r="AA24" s="8" t="s">
        <v>395</v>
      </c>
      <c r="AJ24" s="1" t="s">
        <v>317</v>
      </c>
      <c r="AK24" s="1" t="s">
        <v>764</v>
      </c>
      <c r="AL24" s="1" t="s">
        <v>67</v>
      </c>
      <c r="AM24" s="1">
        <v>13.93</v>
      </c>
      <c r="AN24" s="1">
        <v>56</v>
      </c>
      <c r="AO24" s="1">
        <v>3.45</v>
      </c>
      <c r="AP24" s="1">
        <v>9.4</v>
      </c>
      <c r="AQ24" s="1">
        <v>54</v>
      </c>
      <c r="AR24" s="1">
        <v>3.39</v>
      </c>
      <c r="AU24" s="11" t="s">
        <v>772</v>
      </c>
      <c r="AV24" s="8">
        <v>150</v>
      </c>
      <c r="AW24" s="8">
        <v>150</v>
      </c>
    </row>
    <row r="25" spans="1:49" x14ac:dyDescent="0.2">
      <c r="A25" s="8" t="s">
        <v>717</v>
      </c>
      <c r="B25" s="8">
        <v>2019</v>
      </c>
      <c r="C25" s="8" t="s">
        <v>548</v>
      </c>
      <c r="D25" s="8" t="s">
        <v>88</v>
      </c>
      <c r="E25" s="8" t="s">
        <v>88</v>
      </c>
      <c r="F25" s="8" t="s">
        <v>175</v>
      </c>
      <c r="G25" s="8" t="s">
        <v>718</v>
      </c>
      <c r="H25" s="8" t="s">
        <v>719</v>
      </c>
      <c r="I25" s="8" t="s">
        <v>54</v>
      </c>
      <c r="J25" s="8" t="s">
        <v>121</v>
      </c>
      <c r="K25" s="8" t="s">
        <v>56</v>
      </c>
      <c r="L25" s="8" t="s">
        <v>93</v>
      </c>
      <c r="M25" s="8" t="s">
        <v>712</v>
      </c>
      <c r="N25" s="8" t="s">
        <v>58</v>
      </c>
      <c r="O25" s="8" t="s">
        <v>58</v>
      </c>
      <c r="P25" s="8" t="s">
        <v>58</v>
      </c>
      <c r="Q25" s="8" t="s">
        <v>58</v>
      </c>
      <c r="S25" s="10">
        <v>0.63390000000000002</v>
      </c>
      <c r="T25" s="8" t="s">
        <v>733</v>
      </c>
      <c r="U25" s="10">
        <v>0.69640000000000002</v>
      </c>
      <c r="X25" s="8" t="s">
        <v>744</v>
      </c>
      <c r="AA25" s="8" t="s">
        <v>395</v>
      </c>
      <c r="AJ25" s="1" t="s">
        <v>317</v>
      </c>
      <c r="AK25" s="1" t="s">
        <v>764</v>
      </c>
      <c r="AL25" s="1" t="s">
        <v>67</v>
      </c>
      <c r="AM25" s="1">
        <v>13.21</v>
      </c>
      <c r="AN25" s="1">
        <v>56</v>
      </c>
      <c r="AO25" s="1">
        <v>3.11</v>
      </c>
      <c r="AP25" s="1">
        <v>11.96</v>
      </c>
      <c r="AQ25" s="1">
        <v>45</v>
      </c>
      <c r="AR25" s="1">
        <v>3.4</v>
      </c>
      <c r="AU25" s="11" t="s">
        <v>772</v>
      </c>
      <c r="AV25" s="8">
        <v>150</v>
      </c>
      <c r="AW25" s="8">
        <v>150</v>
      </c>
    </row>
    <row r="26" spans="1:49" x14ac:dyDescent="0.2">
      <c r="A26" s="8" t="s">
        <v>704</v>
      </c>
      <c r="B26" s="8">
        <v>2019</v>
      </c>
      <c r="C26" s="8" t="s">
        <v>118</v>
      </c>
      <c r="D26" s="8" t="s">
        <v>191</v>
      </c>
      <c r="E26" s="8" t="s">
        <v>192</v>
      </c>
      <c r="F26" s="8" t="s">
        <v>258</v>
      </c>
      <c r="G26" s="8" t="s">
        <v>705</v>
      </c>
      <c r="H26" s="8" t="s">
        <v>706</v>
      </c>
      <c r="I26" s="8" t="s">
        <v>706</v>
      </c>
      <c r="J26" s="8" t="s">
        <v>707</v>
      </c>
      <c r="K26" s="8" t="s">
        <v>56</v>
      </c>
      <c r="L26" s="8" t="s">
        <v>93</v>
      </c>
      <c r="M26" s="8" t="s">
        <v>57</v>
      </c>
      <c r="N26" s="8" t="s">
        <v>93</v>
      </c>
      <c r="O26" s="8" t="s">
        <v>58</v>
      </c>
      <c r="P26" s="8" t="s">
        <v>58</v>
      </c>
      <c r="Q26" s="8" t="s">
        <v>57</v>
      </c>
      <c r="R26" s="8" t="s">
        <v>722</v>
      </c>
      <c r="S26" s="10">
        <v>0.76700000000000002</v>
      </c>
      <c r="T26" s="8" t="s">
        <v>728</v>
      </c>
      <c r="U26" s="10">
        <v>0.83330000000000004</v>
      </c>
      <c r="X26" s="8" t="s">
        <v>737</v>
      </c>
      <c r="AA26" s="8" t="s">
        <v>395</v>
      </c>
      <c r="AJ26" s="11" t="s">
        <v>65</v>
      </c>
      <c r="AK26" s="11" t="s">
        <v>66</v>
      </c>
      <c r="AL26" s="11" t="s">
        <v>67</v>
      </c>
      <c r="AM26" s="13">
        <v>31.43</v>
      </c>
      <c r="AN26" s="13">
        <v>30</v>
      </c>
      <c r="AO26" s="13">
        <v>18.18</v>
      </c>
      <c r="AP26" s="15">
        <v>27.87</v>
      </c>
      <c r="AQ26" s="15">
        <v>26</v>
      </c>
      <c r="AR26" s="15">
        <v>18.39</v>
      </c>
      <c r="AU26" s="11" t="s">
        <v>748</v>
      </c>
      <c r="AV26" s="8">
        <v>112</v>
      </c>
      <c r="AW26" s="8">
        <v>112</v>
      </c>
    </row>
    <row r="27" spans="1:49" x14ac:dyDescent="0.2">
      <c r="A27" s="8" t="s">
        <v>704</v>
      </c>
      <c r="B27" s="8">
        <v>2019</v>
      </c>
      <c r="C27" s="8" t="s">
        <v>87</v>
      </c>
      <c r="D27" s="8" t="s">
        <v>88</v>
      </c>
      <c r="E27" s="8" t="s">
        <v>88</v>
      </c>
      <c r="F27" s="8" t="s">
        <v>258</v>
      </c>
      <c r="G27" s="8" t="s">
        <v>705</v>
      </c>
      <c r="H27" s="8" t="s">
        <v>706</v>
      </c>
      <c r="I27" s="8" t="s">
        <v>706</v>
      </c>
      <c r="J27" s="8" t="s">
        <v>707</v>
      </c>
      <c r="K27" s="8" t="s">
        <v>56</v>
      </c>
      <c r="L27" s="8" t="s">
        <v>93</v>
      </c>
      <c r="M27" s="8" t="s">
        <v>57</v>
      </c>
      <c r="N27" s="8" t="s">
        <v>93</v>
      </c>
      <c r="O27" s="8" t="s">
        <v>58</v>
      </c>
      <c r="P27" s="8" t="s">
        <v>58</v>
      </c>
      <c r="Q27" s="8" t="s">
        <v>57</v>
      </c>
      <c r="R27" s="8" t="s">
        <v>723</v>
      </c>
      <c r="S27" s="10">
        <v>0.67700000000000005</v>
      </c>
      <c r="T27" s="8" t="s">
        <v>729</v>
      </c>
      <c r="U27" s="10">
        <v>0.74229999999999996</v>
      </c>
      <c r="X27" s="8" t="s">
        <v>738</v>
      </c>
      <c r="AA27" s="8" t="s">
        <v>395</v>
      </c>
      <c r="AJ27" s="11" t="s">
        <v>65</v>
      </c>
      <c r="AK27" s="11" t="s">
        <v>66</v>
      </c>
      <c r="AL27" s="11" t="s">
        <v>67</v>
      </c>
      <c r="AM27" s="13">
        <v>40.17</v>
      </c>
      <c r="AN27" s="13">
        <v>31</v>
      </c>
      <c r="AO27" s="13">
        <v>18.100000000000001</v>
      </c>
      <c r="AP27" s="15">
        <v>40.700000000000003</v>
      </c>
      <c r="AQ27" s="15">
        <v>28</v>
      </c>
      <c r="AR27" s="15">
        <v>17.66</v>
      </c>
      <c r="AU27" s="11" t="s">
        <v>748</v>
      </c>
      <c r="AV27" s="8">
        <v>112</v>
      </c>
      <c r="AW27" s="8">
        <v>112</v>
      </c>
    </row>
    <row r="28" spans="1:49" x14ac:dyDescent="0.2">
      <c r="A28" s="8" t="s">
        <v>704</v>
      </c>
      <c r="B28" s="8">
        <v>2019</v>
      </c>
      <c r="C28" s="8" t="s">
        <v>118</v>
      </c>
      <c r="D28" s="8" t="s">
        <v>191</v>
      </c>
      <c r="E28" s="8" t="s">
        <v>192</v>
      </c>
      <c r="F28" s="8" t="s">
        <v>258</v>
      </c>
      <c r="G28" s="8" t="s">
        <v>705</v>
      </c>
      <c r="H28" s="8" t="s">
        <v>706</v>
      </c>
      <c r="I28" s="8" t="s">
        <v>706</v>
      </c>
      <c r="J28" s="8" t="s">
        <v>707</v>
      </c>
      <c r="K28" s="8" t="s">
        <v>56</v>
      </c>
      <c r="L28" s="8" t="s">
        <v>93</v>
      </c>
      <c r="M28" s="8" t="s">
        <v>57</v>
      </c>
      <c r="N28" s="8" t="s">
        <v>93</v>
      </c>
      <c r="O28" s="8" t="s">
        <v>58</v>
      </c>
      <c r="P28" s="8" t="s">
        <v>58</v>
      </c>
      <c r="Q28" s="8" t="s">
        <v>57</v>
      </c>
      <c r="R28" s="8" t="s">
        <v>722</v>
      </c>
      <c r="S28" s="10">
        <v>0.76700000000000002</v>
      </c>
      <c r="T28" s="8" t="s">
        <v>728</v>
      </c>
      <c r="U28" s="10">
        <v>0.83330000000000004</v>
      </c>
      <c r="X28" s="8" t="s">
        <v>737</v>
      </c>
      <c r="AA28" s="8" t="s">
        <v>395</v>
      </c>
      <c r="AJ28" s="1" t="s">
        <v>760</v>
      </c>
      <c r="AK28" s="1" t="s">
        <v>759</v>
      </c>
      <c r="AL28" s="1" t="s">
        <v>67</v>
      </c>
      <c r="AM28" s="1">
        <v>41.75</v>
      </c>
      <c r="AN28" s="1">
        <v>30</v>
      </c>
      <c r="AO28" s="1">
        <v>10</v>
      </c>
      <c r="AP28" s="1">
        <v>45.41</v>
      </c>
      <c r="AQ28" s="1">
        <v>26</v>
      </c>
      <c r="AR28" s="1">
        <v>7.94</v>
      </c>
      <c r="AS28" s="1"/>
      <c r="AU28" s="11" t="s">
        <v>748</v>
      </c>
      <c r="AV28" s="8">
        <v>112</v>
      </c>
      <c r="AW28" s="8">
        <v>112</v>
      </c>
    </row>
    <row r="29" spans="1:49" x14ac:dyDescent="0.2">
      <c r="A29" s="8" t="s">
        <v>704</v>
      </c>
      <c r="B29" s="8">
        <v>2019</v>
      </c>
      <c r="C29" s="8" t="s">
        <v>87</v>
      </c>
      <c r="D29" s="8" t="s">
        <v>88</v>
      </c>
      <c r="E29" s="8" t="s">
        <v>88</v>
      </c>
      <c r="F29" s="8" t="s">
        <v>258</v>
      </c>
      <c r="G29" s="8" t="s">
        <v>705</v>
      </c>
      <c r="H29" s="8" t="s">
        <v>706</v>
      </c>
      <c r="I29" s="8" t="s">
        <v>706</v>
      </c>
      <c r="J29" s="8" t="s">
        <v>707</v>
      </c>
      <c r="K29" s="8" t="s">
        <v>56</v>
      </c>
      <c r="L29" s="8" t="s">
        <v>93</v>
      </c>
      <c r="M29" s="8" t="s">
        <v>57</v>
      </c>
      <c r="N29" s="8" t="s">
        <v>93</v>
      </c>
      <c r="O29" s="8" t="s">
        <v>58</v>
      </c>
      <c r="P29" s="8" t="s">
        <v>58</v>
      </c>
      <c r="Q29" s="8" t="s">
        <v>57</v>
      </c>
      <c r="R29" s="8" t="s">
        <v>723</v>
      </c>
      <c r="S29" s="10">
        <v>0.67700000000000005</v>
      </c>
      <c r="T29" s="8" t="s">
        <v>729</v>
      </c>
      <c r="U29" s="10">
        <v>0.74229999999999996</v>
      </c>
      <c r="X29" s="8" t="s">
        <v>738</v>
      </c>
      <c r="AA29" s="8" t="s">
        <v>395</v>
      </c>
      <c r="AJ29" s="1" t="s">
        <v>760</v>
      </c>
      <c r="AK29" s="1" t="s">
        <v>759</v>
      </c>
      <c r="AL29" s="1" t="s">
        <v>67</v>
      </c>
      <c r="AM29" s="1">
        <v>41.59</v>
      </c>
      <c r="AN29" s="1">
        <v>31</v>
      </c>
      <c r="AO29" s="1">
        <v>9.7799999999999994</v>
      </c>
      <c r="AP29" s="1">
        <v>37.74</v>
      </c>
      <c r="AQ29" s="1">
        <v>28</v>
      </c>
      <c r="AR29" s="1">
        <v>10.77</v>
      </c>
      <c r="AS29" s="1"/>
      <c r="AU29" s="11" t="s">
        <v>748</v>
      </c>
      <c r="AV29" s="8">
        <v>112</v>
      </c>
      <c r="AW29" s="8">
        <v>112</v>
      </c>
    </row>
    <row r="30" spans="1:49" x14ac:dyDescent="0.2">
      <c r="A30" s="8" t="s">
        <v>704</v>
      </c>
      <c r="B30" s="8">
        <v>2019</v>
      </c>
      <c r="C30" s="8" t="s">
        <v>118</v>
      </c>
      <c r="D30" s="8" t="s">
        <v>191</v>
      </c>
      <c r="E30" s="8" t="s">
        <v>192</v>
      </c>
      <c r="F30" s="8" t="s">
        <v>258</v>
      </c>
      <c r="G30" s="8" t="s">
        <v>705</v>
      </c>
      <c r="H30" s="8" t="s">
        <v>706</v>
      </c>
      <c r="I30" s="8" t="s">
        <v>706</v>
      </c>
      <c r="J30" s="8" t="s">
        <v>707</v>
      </c>
      <c r="K30" s="8" t="s">
        <v>56</v>
      </c>
      <c r="L30" s="8" t="s">
        <v>93</v>
      </c>
      <c r="M30" s="8" t="s">
        <v>57</v>
      </c>
      <c r="N30" s="8" t="s">
        <v>93</v>
      </c>
      <c r="O30" s="8" t="s">
        <v>58</v>
      </c>
      <c r="P30" s="8" t="s">
        <v>58</v>
      </c>
      <c r="Q30" s="8" t="s">
        <v>57</v>
      </c>
      <c r="R30" s="8" t="s">
        <v>722</v>
      </c>
      <c r="S30" s="10">
        <v>0.76700000000000002</v>
      </c>
      <c r="T30" s="8" t="s">
        <v>728</v>
      </c>
      <c r="U30" s="10">
        <v>0.83330000000000004</v>
      </c>
      <c r="X30" s="8" t="s">
        <v>737</v>
      </c>
      <c r="AA30" s="8" t="s">
        <v>395</v>
      </c>
      <c r="AJ30" s="7" t="s">
        <v>317</v>
      </c>
      <c r="AK30" s="7" t="s">
        <v>761</v>
      </c>
      <c r="AL30" s="7" t="s">
        <v>67</v>
      </c>
      <c r="AM30" s="7">
        <v>11.87</v>
      </c>
      <c r="AN30" s="7">
        <v>30</v>
      </c>
      <c r="AO30" s="7">
        <v>9.73</v>
      </c>
      <c r="AP30" s="7">
        <v>10.5</v>
      </c>
      <c r="AQ30" s="7">
        <v>26</v>
      </c>
      <c r="AR30" s="7">
        <v>8.6999999999999993</v>
      </c>
      <c r="AS30" s="1"/>
      <c r="AU30" s="11" t="s">
        <v>748</v>
      </c>
      <c r="AV30" s="8">
        <v>112</v>
      </c>
      <c r="AW30" s="8">
        <v>112</v>
      </c>
    </row>
    <row r="31" spans="1:49" x14ac:dyDescent="0.2">
      <c r="A31" s="8" t="s">
        <v>704</v>
      </c>
      <c r="B31" s="8">
        <v>2019</v>
      </c>
      <c r="C31" s="8" t="s">
        <v>87</v>
      </c>
      <c r="D31" s="8" t="s">
        <v>88</v>
      </c>
      <c r="E31" s="8" t="s">
        <v>88</v>
      </c>
      <c r="F31" s="8" t="s">
        <v>258</v>
      </c>
      <c r="G31" s="8" t="s">
        <v>705</v>
      </c>
      <c r="H31" s="8" t="s">
        <v>706</v>
      </c>
      <c r="I31" s="8" t="s">
        <v>706</v>
      </c>
      <c r="J31" s="8" t="s">
        <v>707</v>
      </c>
      <c r="K31" s="8" t="s">
        <v>56</v>
      </c>
      <c r="L31" s="8" t="s">
        <v>93</v>
      </c>
      <c r="M31" s="8" t="s">
        <v>57</v>
      </c>
      <c r="N31" s="8" t="s">
        <v>93</v>
      </c>
      <c r="O31" s="8" t="s">
        <v>58</v>
      </c>
      <c r="P31" s="8" t="s">
        <v>58</v>
      </c>
      <c r="Q31" s="8" t="s">
        <v>57</v>
      </c>
      <c r="R31" s="8" t="s">
        <v>723</v>
      </c>
      <c r="S31" s="10">
        <v>0.67700000000000005</v>
      </c>
      <c r="T31" s="8" t="s">
        <v>729</v>
      </c>
      <c r="U31" s="10">
        <v>0.74229999999999996</v>
      </c>
      <c r="X31" s="8" t="s">
        <v>738</v>
      </c>
      <c r="AA31" s="8" t="s">
        <v>395</v>
      </c>
      <c r="AJ31" s="7" t="s">
        <v>317</v>
      </c>
      <c r="AK31" s="7" t="s">
        <v>761</v>
      </c>
      <c r="AL31" s="7" t="s">
        <v>67</v>
      </c>
      <c r="AM31" s="7">
        <v>9.35</v>
      </c>
      <c r="AN31" s="7">
        <v>31</v>
      </c>
      <c r="AO31" s="7">
        <v>8.06</v>
      </c>
      <c r="AP31" s="7">
        <v>14.64</v>
      </c>
      <c r="AQ31" s="7">
        <v>28</v>
      </c>
      <c r="AR31" s="7">
        <v>10.06</v>
      </c>
      <c r="AS31" s="1"/>
      <c r="AU31" s="11" t="s">
        <v>748</v>
      </c>
      <c r="AV31" s="8">
        <v>112</v>
      </c>
      <c r="AW31" s="8">
        <v>112</v>
      </c>
    </row>
    <row r="32" spans="1:49" x14ac:dyDescent="0.2">
      <c r="A32" s="8" t="s">
        <v>704</v>
      </c>
      <c r="B32" s="8">
        <v>2019</v>
      </c>
      <c r="C32" s="8" t="s">
        <v>118</v>
      </c>
      <c r="D32" s="8" t="s">
        <v>191</v>
      </c>
      <c r="E32" s="8" t="s">
        <v>192</v>
      </c>
      <c r="F32" s="8" t="s">
        <v>258</v>
      </c>
      <c r="G32" s="8" t="s">
        <v>705</v>
      </c>
      <c r="H32" s="8" t="s">
        <v>706</v>
      </c>
      <c r="I32" s="8" t="s">
        <v>706</v>
      </c>
      <c r="J32" s="8" t="s">
        <v>707</v>
      </c>
      <c r="K32" s="8" t="s">
        <v>56</v>
      </c>
      <c r="L32" s="8" t="s">
        <v>93</v>
      </c>
      <c r="M32" s="8" t="s">
        <v>57</v>
      </c>
      <c r="N32" s="8" t="s">
        <v>93</v>
      </c>
      <c r="O32" s="8" t="s">
        <v>58</v>
      </c>
      <c r="P32" s="8" t="s">
        <v>58</v>
      </c>
      <c r="Q32" s="8" t="s">
        <v>57</v>
      </c>
      <c r="R32" s="8" t="s">
        <v>722</v>
      </c>
      <c r="S32" s="10">
        <v>0.76700000000000002</v>
      </c>
      <c r="T32" s="8" t="s">
        <v>728</v>
      </c>
      <c r="U32" s="10">
        <v>0.83330000000000004</v>
      </c>
      <c r="X32" s="8" t="s">
        <v>737</v>
      </c>
      <c r="AA32" s="8" t="s">
        <v>395</v>
      </c>
      <c r="AJ32" s="7" t="s">
        <v>317</v>
      </c>
      <c r="AK32" s="7" t="s">
        <v>762</v>
      </c>
      <c r="AL32" s="7" t="s">
        <v>67</v>
      </c>
      <c r="AM32" s="7">
        <v>11.62</v>
      </c>
      <c r="AN32" s="7">
        <v>30</v>
      </c>
      <c r="AO32" s="7">
        <v>8.34</v>
      </c>
      <c r="AP32" s="7">
        <v>9.68</v>
      </c>
      <c r="AQ32" s="7">
        <v>26</v>
      </c>
      <c r="AR32" s="7">
        <v>8.4499999999999993</v>
      </c>
      <c r="AS32" s="1"/>
      <c r="AU32" s="11" t="s">
        <v>748</v>
      </c>
      <c r="AV32" s="8">
        <v>112</v>
      </c>
      <c r="AW32" s="8">
        <v>112</v>
      </c>
    </row>
    <row r="33" spans="1:49" x14ac:dyDescent="0.2">
      <c r="A33" s="8" t="s">
        <v>704</v>
      </c>
      <c r="B33" s="8">
        <v>2019</v>
      </c>
      <c r="C33" s="8" t="s">
        <v>87</v>
      </c>
      <c r="D33" s="8" t="s">
        <v>88</v>
      </c>
      <c r="E33" s="8" t="s">
        <v>88</v>
      </c>
      <c r="F33" s="8" t="s">
        <v>258</v>
      </c>
      <c r="G33" s="8" t="s">
        <v>705</v>
      </c>
      <c r="H33" s="8" t="s">
        <v>706</v>
      </c>
      <c r="I33" s="8" t="s">
        <v>706</v>
      </c>
      <c r="J33" s="8" t="s">
        <v>707</v>
      </c>
      <c r="K33" s="8" t="s">
        <v>56</v>
      </c>
      <c r="L33" s="8" t="s">
        <v>93</v>
      </c>
      <c r="M33" s="8" t="s">
        <v>57</v>
      </c>
      <c r="N33" s="8" t="s">
        <v>93</v>
      </c>
      <c r="O33" s="8" t="s">
        <v>58</v>
      </c>
      <c r="P33" s="8" t="s">
        <v>58</v>
      </c>
      <c r="Q33" s="8" t="s">
        <v>57</v>
      </c>
      <c r="R33" s="8" t="s">
        <v>723</v>
      </c>
      <c r="S33" s="10">
        <v>0.67700000000000005</v>
      </c>
      <c r="T33" s="8" t="s">
        <v>729</v>
      </c>
      <c r="U33" s="10">
        <v>0.74229999999999996</v>
      </c>
      <c r="X33" s="8" t="s">
        <v>738</v>
      </c>
      <c r="AA33" s="8" t="s">
        <v>395</v>
      </c>
      <c r="AJ33" s="7" t="s">
        <v>317</v>
      </c>
      <c r="AK33" s="7" t="s">
        <v>762</v>
      </c>
      <c r="AL33" s="7" t="s">
        <v>67</v>
      </c>
      <c r="AM33" s="7">
        <v>15.23</v>
      </c>
      <c r="AN33" s="7">
        <v>31</v>
      </c>
      <c r="AO33" s="7">
        <v>7.7</v>
      </c>
      <c r="AP33" s="7">
        <v>20.64</v>
      </c>
      <c r="AQ33" s="7">
        <v>28</v>
      </c>
      <c r="AR33" s="7">
        <v>8.94</v>
      </c>
      <c r="AS33" s="1"/>
      <c r="AU33" s="11" t="s">
        <v>748</v>
      </c>
      <c r="AV33" s="8">
        <v>112</v>
      </c>
      <c r="AW33" s="8">
        <v>112</v>
      </c>
    </row>
    <row r="34" spans="1:49" x14ac:dyDescent="0.2">
      <c r="A34" s="8" t="s">
        <v>704</v>
      </c>
      <c r="B34" s="8">
        <v>2019</v>
      </c>
      <c r="C34" s="8" t="s">
        <v>118</v>
      </c>
      <c r="D34" s="8" t="s">
        <v>191</v>
      </c>
      <c r="E34" s="8" t="s">
        <v>192</v>
      </c>
      <c r="F34" s="8" t="s">
        <v>258</v>
      </c>
      <c r="G34" s="8" t="s">
        <v>705</v>
      </c>
      <c r="H34" s="8" t="s">
        <v>706</v>
      </c>
      <c r="I34" s="8" t="s">
        <v>706</v>
      </c>
      <c r="J34" s="8" t="s">
        <v>707</v>
      </c>
      <c r="K34" s="8" t="s">
        <v>56</v>
      </c>
      <c r="L34" s="8" t="s">
        <v>93</v>
      </c>
      <c r="M34" s="8" t="s">
        <v>57</v>
      </c>
      <c r="N34" s="8" t="s">
        <v>93</v>
      </c>
      <c r="O34" s="8" t="s">
        <v>58</v>
      </c>
      <c r="P34" s="8" t="s">
        <v>58</v>
      </c>
      <c r="Q34" s="8" t="s">
        <v>57</v>
      </c>
      <c r="R34" s="8" t="s">
        <v>722</v>
      </c>
      <c r="S34" s="10">
        <v>0.76700000000000002</v>
      </c>
      <c r="T34" s="8" t="s">
        <v>728</v>
      </c>
      <c r="U34" s="10">
        <v>0.83330000000000004</v>
      </c>
      <c r="X34" s="8" t="s">
        <v>737</v>
      </c>
      <c r="AA34" s="8" t="s">
        <v>395</v>
      </c>
      <c r="AJ34" s="7" t="s">
        <v>765</v>
      </c>
      <c r="AK34" s="7" t="s">
        <v>763</v>
      </c>
      <c r="AL34" s="7" t="s">
        <v>67</v>
      </c>
      <c r="AM34" s="7">
        <v>10.06</v>
      </c>
      <c r="AN34" s="7">
        <v>30</v>
      </c>
      <c r="AO34" s="7">
        <v>8.89</v>
      </c>
      <c r="AP34" s="7">
        <v>6.18</v>
      </c>
      <c r="AQ34" s="7">
        <v>26</v>
      </c>
      <c r="AR34" s="7">
        <v>7.26</v>
      </c>
      <c r="AS34" s="1"/>
      <c r="AU34" s="11" t="s">
        <v>748</v>
      </c>
      <c r="AV34" s="8">
        <v>112</v>
      </c>
      <c r="AW34" s="8">
        <v>112</v>
      </c>
    </row>
    <row r="35" spans="1:49" x14ac:dyDescent="0.2">
      <c r="A35" s="8" t="s">
        <v>704</v>
      </c>
      <c r="B35" s="8">
        <v>2019</v>
      </c>
      <c r="C35" s="8" t="s">
        <v>87</v>
      </c>
      <c r="D35" s="8" t="s">
        <v>88</v>
      </c>
      <c r="E35" s="8" t="s">
        <v>88</v>
      </c>
      <c r="F35" s="8" t="s">
        <v>258</v>
      </c>
      <c r="G35" s="8" t="s">
        <v>705</v>
      </c>
      <c r="H35" s="8" t="s">
        <v>706</v>
      </c>
      <c r="I35" s="8" t="s">
        <v>706</v>
      </c>
      <c r="J35" s="8" t="s">
        <v>707</v>
      </c>
      <c r="K35" s="8" t="s">
        <v>56</v>
      </c>
      <c r="L35" s="8" t="s">
        <v>93</v>
      </c>
      <c r="M35" s="8" t="s">
        <v>57</v>
      </c>
      <c r="N35" s="8" t="s">
        <v>93</v>
      </c>
      <c r="O35" s="8" t="s">
        <v>58</v>
      </c>
      <c r="P35" s="8" t="s">
        <v>58</v>
      </c>
      <c r="Q35" s="8" t="s">
        <v>57</v>
      </c>
      <c r="R35" s="8" t="s">
        <v>723</v>
      </c>
      <c r="S35" s="10">
        <v>0.67700000000000005</v>
      </c>
      <c r="T35" s="8" t="s">
        <v>729</v>
      </c>
      <c r="U35" s="10">
        <v>0.74229999999999996</v>
      </c>
      <c r="X35" s="8" t="s">
        <v>738</v>
      </c>
      <c r="AA35" s="8" t="s">
        <v>395</v>
      </c>
      <c r="AJ35" s="7" t="s">
        <v>765</v>
      </c>
      <c r="AK35" s="7" t="s">
        <v>763</v>
      </c>
      <c r="AL35" s="7" t="s">
        <v>67</v>
      </c>
      <c r="AM35" s="7">
        <v>12.23</v>
      </c>
      <c r="AN35" s="7">
        <v>31</v>
      </c>
      <c r="AO35" s="7">
        <v>8.0500000000000007</v>
      </c>
      <c r="AP35" s="7">
        <v>15.47</v>
      </c>
      <c r="AQ35" s="7">
        <v>28</v>
      </c>
      <c r="AR35" s="7">
        <v>9.2799999999999994</v>
      </c>
      <c r="AS35" s="1"/>
      <c r="AU35" s="11" t="s">
        <v>748</v>
      </c>
      <c r="AV35" s="8">
        <v>112</v>
      </c>
      <c r="AW35" s="8">
        <v>112</v>
      </c>
    </row>
    <row r="36" spans="1:49" x14ac:dyDescent="0.2">
      <c r="A36" s="8" t="s">
        <v>704</v>
      </c>
      <c r="B36" s="8">
        <v>2019</v>
      </c>
      <c r="C36" s="8" t="s">
        <v>118</v>
      </c>
      <c r="D36" s="8" t="s">
        <v>191</v>
      </c>
      <c r="E36" s="8" t="s">
        <v>192</v>
      </c>
      <c r="F36" s="8" t="s">
        <v>258</v>
      </c>
      <c r="G36" s="8" t="s">
        <v>705</v>
      </c>
      <c r="H36" s="8" t="s">
        <v>706</v>
      </c>
      <c r="I36" s="8" t="s">
        <v>706</v>
      </c>
      <c r="J36" s="8" t="s">
        <v>707</v>
      </c>
      <c r="K36" s="8" t="s">
        <v>56</v>
      </c>
      <c r="L36" s="8" t="s">
        <v>93</v>
      </c>
      <c r="M36" s="8" t="s">
        <v>57</v>
      </c>
      <c r="N36" s="8" t="s">
        <v>93</v>
      </c>
      <c r="O36" s="8" t="s">
        <v>58</v>
      </c>
      <c r="P36" s="8" t="s">
        <v>58</v>
      </c>
      <c r="Q36" s="8" t="s">
        <v>57</v>
      </c>
      <c r="R36" s="8" t="s">
        <v>722</v>
      </c>
      <c r="S36" s="10">
        <v>0.76700000000000002</v>
      </c>
      <c r="T36" s="8" t="s">
        <v>728</v>
      </c>
      <c r="U36" s="10">
        <v>0.83330000000000004</v>
      </c>
      <c r="X36" s="8" t="s">
        <v>737</v>
      </c>
      <c r="AA36" s="8" t="s">
        <v>395</v>
      </c>
      <c r="AJ36" s="7" t="s">
        <v>766</v>
      </c>
      <c r="AK36" s="7" t="s">
        <v>513</v>
      </c>
      <c r="AL36" s="7" t="s">
        <v>67</v>
      </c>
      <c r="AM36" s="7">
        <v>41.79</v>
      </c>
      <c r="AN36" s="7">
        <v>30</v>
      </c>
      <c r="AO36" s="7">
        <v>9.0239999999999991</v>
      </c>
      <c r="AP36" s="7">
        <v>44.87</v>
      </c>
      <c r="AQ36" s="7">
        <v>26</v>
      </c>
      <c r="AR36" s="7">
        <v>8.94</v>
      </c>
      <c r="AS36" s="1"/>
      <c r="AU36" s="11" t="s">
        <v>748</v>
      </c>
      <c r="AV36" s="8">
        <v>112</v>
      </c>
      <c r="AW36" s="8">
        <v>112</v>
      </c>
    </row>
    <row r="37" spans="1:49" x14ac:dyDescent="0.2">
      <c r="A37" s="8" t="s">
        <v>704</v>
      </c>
      <c r="B37" s="8">
        <v>2019</v>
      </c>
      <c r="C37" s="8" t="s">
        <v>87</v>
      </c>
      <c r="D37" s="8" t="s">
        <v>88</v>
      </c>
      <c r="E37" s="8" t="s">
        <v>88</v>
      </c>
      <c r="F37" s="8" t="s">
        <v>258</v>
      </c>
      <c r="G37" s="8" t="s">
        <v>705</v>
      </c>
      <c r="H37" s="8" t="s">
        <v>706</v>
      </c>
      <c r="I37" s="8" t="s">
        <v>706</v>
      </c>
      <c r="J37" s="8" t="s">
        <v>707</v>
      </c>
      <c r="K37" s="8" t="s">
        <v>56</v>
      </c>
      <c r="L37" s="8" t="s">
        <v>93</v>
      </c>
      <c r="M37" s="8" t="s">
        <v>57</v>
      </c>
      <c r="N37" s="8" t="s">
        <v>93</v>
      </c>
      <c r="O37" s="8" t="s">
        <v>58</v>
      </c>
      <c r="P37" s="8" t="s">
        <v>58</v>
      </c>
      <c r="Q37" s="8" t="s">
        <v>57</v>
      </c>
      <c r="R37" s="8" t="s">
        <v>723</v>
      </c>
      <c r="S37" s="10">
        <v>0.67700000000000005</v>
      </c>
      <c r="T37" s="8" t="s">
        <v>729</v>
      </c>
      <c r="U37" s="10">
        <v>0.74229999999999996</v>
      </c>
      <c r="X37" s="8" t="s">
        <v>738</v>
      </c>
      <c r="AA37" s="8" t="s">
        <v>395</v>
      </c>
      <c r="AJ37" s="7" t="s">
        <v>766</v>
      </c>
      <c r="AK37" s="7" t="s">
        <v>513</v>
      </c>
      <c r="AL37" s="7" t="s">
        <v>67</v>
      </c>
      <c r="AM37" s="7">
        <v>42.18</v>
      </c>
      <c r="AN37" s="7">
        <v>31</v>
      </c>
      <c r="AO37" s="7">
        <v>10.52</v>
      </c>
      <c r="AP37" s="7">
        <v>39.47</v>
      </c>
      <c r="AQ37" s="7">
        <v>28</v>
      </c>
      <c r="AR37" s="7">
        <v>9.39</v>
      </c>
      <c r="AS37" s="1"/>
      <c r="AU37" s="11" t="s">
        <v>748</v>
      </c>
      <c r="AV37" s="8">
        <v>112</v>
      </c>
      <c r="AW37" s="8">
        <v>112</v>
      </c>
    </row>
    <row r="38" spans="1:49" x14ac:dyDescent="0.2">
      <c r="A38" s="8" t="s">
        <v>704</v>
      </c>
      <c r="B38" s="8">
        <v>2019</v>
      </c>
      <c r="C38" s="8" t="s">
        <v>118</v>
      </c>
      <c r="D38" s="8" t="s">
        <v>191</v>
      </c>
      <c r="E38" s="8" t="s">
        <v>192</v>
      </c>
      <c r="F38" s="8" t="s">
        <v>258</v>
      </c>
      <c r="G38" s="8" t="s">
        <v>705</v>
      </c>
      <c r="H38" s="8" t="s">
        <v>706</v>
      </c>
      <c r="I38" s="8" t="s">
        <v>706</v>
      </c>
      <c r="J38" s="8" t="s">
        <v>707</v>
      </c>
      <c r="K38" s="8" t="s">
        <v>56</v>
      </c>
      <c r="L38" s="8" t="s">
        <v>93</v>
      </c>
      <c r="M38" s="8" t="s">
        <v>57</v>
      </c>
      <c r="N38" s="8" t="s">
        <v>93</v>
      </c>
      <c r="O38" s="8" t="s">
        <v>58</v>
      </c>
      <c r="P38" s="8" t="s">
        <v>58</v>
      </c>
      <c r="Q38" s="8" t="s">
        <v>57</v>
      </c>
      <c r="R38" s="8" t="s">
        <v>722</v>
      </c>
      <c r="S38" s="10">
        <v>0.76700000000000002</v>
      </c>
      <c r="T38" s="8" t="s">
        <v>728</v>
      </c>
      <c r="U38" s="10">
        <v>0.83330000000000004</v>
      </c>
      <c r="X38" s="8" t="s">
        <v>737</v>
      </c>
      <c r="AA38" s="8" t="s">
        <v>395</v>
      </c>
      <c r="AJ38" s="7" t="s">
        <v>168</v>
      </c>
      <c r="AK38" s="7" t="s">
        <v>767</v>
      </c>
      <c r="AL38" s="7" t="s">
        <v>67</v>
      </c>
      <c r="AM38" s="7">
        <v>31.18</v>
      </c>
      <c r="AN38" s="7">
        <v>22</v>
      </c>
      <c r="AO38" s="7">
        <v>6.14</v>
      </c>
      <c r="AP38" s="7">
        <v>31.79</v>
      </c>
      <c r="AQ38" s="7">
        <v>17</v>
      </c>
      <c r="AR38" s="7">
        <v>5.41</v>
      </c>
      <c r="AS38" s="1"/>
      <c r="AU38" s="11" t="s">
        <v>748</v>
      </c>
      <c r="AV38" s="8">
        <v>112</v>
      </c>
      <c r="AW38" s="8">
        <v>112</v>
      </c>
    </row>
    <row r="39" spans="1:49" x14ac:dyDescent="0.2">
      <c r="A39" s="8" t="s">
        <v>704</v>
      </c>
      <c r="B39" s="8">
        <v>2019</v>
      </c>
      <c r="C39" s="8" t="s">
        <v>87</v>
      </c>
      <c r="D39" s="8" t="s">
        <v>88</v>
      </c>
      <c r="E39" s="8" t="s">
        <v>88</v>
      </c>
      <c r="F39" s="8" t="s">
        <v>258</v>
      </c>
      <c r="G39" s="8" t="s">
        <v>705</v>
      </c>
      <c r="H39" s="8" t="s">
        <v>706</v>
      </c>
      <c r="I39" s="8" t="s">
        <v>706</v>
      </c>
      <c r="J39" s="8" t="s">
        <v>707</v>
      </c>
      <c r="K39" s="8" t="s">
        <v>56</v>
      </c>
      <c r="L39" s="8" t="s">
        <v>93</v>
      </c>
      <c r="M39" s="8" t="s">
        <v>57</v>
      </c>
      <c r="N39" s="8" t="s">
        <v>93</v>
      </c>
      <c r="O39" s="8" t="s">
        <v>58</v>
      </c>
      <c r="P39" s="8" t="s">
        <v>58</v>
      </c>
      <c r="Q39" s="8" t="s">
        <v>57</v>
      </c>
      <c r="R39" s="8" t="s">
        <v>723</v>
      </c>
      <c r="S39" s="10">
        <v>0.67700000000000005</v>
      </c>
      <c r="T39" s="8" t="s">
        <v>729</v>
      </c>
      <c r="U39" s="10">
        <v>0.74229999999999996</v>
      </c>
      <c r="X39" s="8" t="s">
        <v>738</v>
      </c>
      <c r="AA39" s="8" t="s">
        <v>395</v>
      </c>
      <c r="AJ39" s="7" t="s">
        <v>168</v>
      </c>
      <c r="AK39" s="7" t="s">
        <v>767</v>
      </c>
      <c r="AL39" s="7" t="s">
        <v>67</v>
      </c>
      <c r="AM39" s="7">
        <v>33.29</v>
      </c>
      <c r="AN39" s="7">
        <v>20</v>
      </c>
      <c r="AO39" s="7">
        <v>4.96</v>
      </c>
      <c r="AP39" s="7">
        <v>32.39</v>
      </c>
      <c r="AQ39" s="7">
        <v>17</v>
      </c>
      <c r="AR39" s="7">
        <v>4.33</v>
      </c>
      <c r="AS39" s="1"/>
      <c r="AU39" s="11" t="s">
        <v>748</v>
      </c>
      <c r="AV39" s="8">
        <v>112</v>
      </c>
      <c r="AW39" s="8">
        <v>112</v>
      </c>
    </row>
    <row r="40" spans="1:49" x14ac:dyDescent="0.2">
      <c r="A40" s="8" t="s">
        <v>704</v>
      </c>
      <c r="B40" s="8">
        <v>2019</v>
      </c>
      <c r="C40" s="8" t="s">
        <v>118</v>
      </c>
      <c r="D40" s="8" t="s">
        <v>191</v>
      </c>
      <c r="E40" s="8" t="s">
        <v>192</v>
      </c>
      <c r="F40" s="8" t="s">
        <v>258</v>
      </c>
      <c r="G40" s="8" t="s">
        <v>705</v>
      </c>
      <c r="H40" s="8" t="s">
        <v>706</v>
      </c>
      <c r="I40" s="8" t="s">
        <v>706</v>
      </c>
      <c r="J40" s="8" t="s">
        <v>707</v>
      </c>
      <c r="K40" s="8" t="s">
        <v>56</v>
      </c>
      <c r="L40" s="8" t="s">
        <v>93</v>
      </c>
      <c r="M40" s="8" t="s">
        <v>57</v>
      </c>
      <c r="N40" s="8" t="s">
        <v>93</v>
      </c>
      <c r="O40" s="8" t="s">
        <v>58</v>
      </c>
      <c r="P40" s="8" t="s">
        <v>58</v>
      </c>
      <c r="Q40" s="8" t="s">
        <v>57</v>
      </c>
      <c r="R40" s="8" t="s">
        <v>722</v>
      </c>
      <c r="S40" s="10">
        <v>0.76700000000000002</v>
      </c>
      <c r="T40" s="8" t="s">
        <v>728</v>
      </c>
      <c r="U40" s="10">
        <v>0.83330000000000004</v>
      </c>
      <c r="X40" s="8" t="s">
        <v>737</v>
      </c>
      <c r="AA40" s="8" t="s">
        <v>395</v>
      </c>
      <c r="AJ40" s="7" t="s">
        <v>753</v>
      </c>
      <c r="AK40" s="7" t="s">
        <v>768</v>
      </c>
      <c r="AL40" s="7" t="s">
        <v>67</v>
      </c>
      <c r="AM40" s="7">
        <v>31.18</v>
      </c>
      <c r="AN40" s="7">
        <v>30</v>
      </c>
      <c r="AO40" s="7">
        <v>23.79</v>
      </c>
      <c r="AP40" s="7">
        <v>26.5</v>
      </c>
      <c r="AQ40" s="7">
        <v>26</v>
      </c>
      <c r="AR40" s="7">
        <v>21.99</v>
      </c>
      <c r="AS40" s="1"/>
      <c r="AU40" s="11" t="s">
        <v>748</v>
      </c>
      <c r="AV40" s="8">
        <v>112</v>
      </c>
      <c r="AW40" s="8">
        <v>112</v>
      </c>
    </row>
    <row r="41" spans="1:49" x14ac:dyDescent="0.2">
      <c r="A41" s="8" t="s">
        <v>704</v>
      </c>
      <c r="B41" s="8">
        <v>2019</v>
      </c>
      <c r="C41" s="8" t="s">
        <v>87</v>
      </c>
      <c r="D41" s="8" t="s">
        <v>88</v>
      </c>
      <c r="E41" s="8" t="s">
        <v>88</v>
      </c>
      <c r="F41" s="8" t="s">
        <v>258</v>
      </c>
      <c r="G41" s="8" t="s">
        <v>705</v>
      </c>
      <c r="H41" s="8" t="s">
        <v>706</v>
      </c>
      <c r="I41" s="8" t="s">
        <v>706</v>
      </c>
      <c r="J41" s="8" t="s">
        <v>707</v>
      </c>
      <c r="K41" s="8" t="s">
        <v>56</v>
      </c>
      <c r="L41" s="8" t="s">
        <v>93</v>
      </c>
      <c r="M41" s="8" t="s">
        <v>57</v>
      </c>
      <c r="N41" s="8" t="s">
        <v>93</v>
      </c>
      <c r="O41" s="8" t="s">
        <v>58</v>
      </c>
      <c r="P41" s="8" t="s">
        <v>58</v>
      </c>
      <c r="Q41" s="8" t="s">
        <v>57</v>
      </c>
      <c r="R41" s="8" t="s">
        <v>723</v>
      </c>
      <c r="S41" s="10">
        <v>0.67700000000000005</v>
      </c>
      <c r="T41" s="8" t="s">
        <v>729</v>
      </c>
      <c r="U41" s="10">
        <v>0.74229999999999996</v>
      </c>
      <c r="X41" s="8" t="s">
        <v>738</v>
      </c>
      <c r="AA41" s="8" t="s">
        <v>395</v>
      </c>
      <c r="AJ41" s="7" t="s">
        <v>753</v>
      </c>
      <c r="AK41" s="7" t="s">
        <v>768</v>
      </c>
      <c r="AL41" s="7" t="s">
        <v>67</v>
      </c>
      <c r="AM41" s="7">
        <v>19.41</v>
      </c>
      <c r="AN41" s="7">
        <v>31</v>
      </c>
      <c r="AO41" s="7">
        <v>16.09</v>
      </c>
      <c r="AP41" s="7">
        <v>30.7</v>
      </c>
      <c r="AQ41" s="7">
        <v>28</v>
      </c>
      <c r="AR41" s="7">
        <v>23.78</v>
      </c>
      <c r="AS41" s="1"/>
      <c r="AU41" s="11" t="s">
        <v>748</v>
      </c>
      <c r="AV41" s="8">
        <v>112</v>
      </c>
      <c r="AW41" s="8">
        <v>112</v>
      </c>
    </row>
    <row r="42" spans="1:49" x14ac:dyDescent="0.2">
      <c r="A42" s="8" t="s">
        <v>720</v>
      </c>
      <c r="B42" s="8">
        <v>2020</v>
      </c>
      <c r="C42" s="8" t="s">
        <v>118</v>
      </c>
      <c r="D42" s="8" t="s">
        <v>49</v>
      </c>
      <c r="E42" s="8" t="s">
        <v>75</v>
      </c>
      <c r="F42" s="8" t="s">
        <v>279</v>
      </c>
      <c r="G42" s="8" t="s">
        <v>721</v>
      </c>
      <c r="K42" s="8" t="s">
        <v>56</v>
      </c>
      <c r="L42" s="8" t="s">
        <v>93</v>
      </c>
      <c r="M42" s="8" t="s">
        <v>712</v>
      </c>
      <c r="N42" s="8" t="s">
        <v>93</v>
      </c>
      <c r="O42" s="8" t="s">
        <v>93</v>
      </c>
      <c r="P42" s="8" t="s">
        <v>93</v>
      </c>
      <c r="Q42" s="8" t="s">
        <v>93</v>
      </c>
      <c r="X42" s="8" t="s">
        <v>745</v>
      </c>
      <c r="AA42" s="8" t="s">
        <v>395</v>
      </c>
      <c r="AJ42" s="1" t="s">
        <v>765</v>
      </c>
      <c r="AK42" s="1" t="s">
        <v>769</v>
      </c>
      <c r="AL42" s="1" t="s">
        <v>67</v>
      </c>
      <c r="AM42" s="1">
        <v>74.11</v>
      </c>
      <c r="AN42" s="1">
        <v>35</v>
      </c>
      <c r="AO42" s="1">
        <v>4.7300000000000004</v>
      </c>
      <c r="AP42" s="1">
        <v>70.510000000000005</v>
      </c>
      <c r="AQ42" s="1"/>
      <c r="AR42" s="1">
        <v>3.78</v>
      </c>
      <c r="AU42" s="11" t="s">
        <v>770</v>
      </c>
      <c r="AV42" s="8">
        <v>58</v>
      </c>
      <c r="AW42" s="8">
        <v>28</v>
      </c>
    </row>
    <row r="43" spans="1:49" x14ac:dyDescent="0.2">
      <c r="A43" s="8" t="s">
        <v>720</v>
      </c>
      <c r="B43" s="8">
        <v>2020</v>
      </c>
      <c r="C43" s="8" t="s">
        <v>548</v>
      </c>
      <c r="D43" s="8" t="s">
        <v>88</v>
      </c>
      <c r="E43" s="8" t="s">
        <v>88</v>
      </c>
      <c r="F43" s="8" t="s">
        <v>279</v>
      </c>
      <c r="G43" s="8" t="s">
        <v>721</v>
      </c>
      <c r="K43" s="8" t="s">
        <v>56</v>
      </c>
      <c r="L43" s="8" t="s">
        <v>93</v>
      </c>
      <c r="M43" s="8" t="s">
        <v>712</v>
      </c>
      <c r="N43" s="8" t="s">
        <v>93</v>
      </c>
      <c r="O43" s="8" t="s">
        <v>93</v>
      </c>
      <c r="P43" s="8" t="s">
        <v>93</v>
      </c>
      <c r="Q43" s="8" t="s">
        <v>93</v>
      </c>
      <c r="X43" s="8" t="s">
        <v>746</v>
      </c>
      <c r="AA43" s="8" t="s">
        <v>395</v>
      </c>
      <c r="AJ43" s="1" t="s">
        <v>765</v>
      </c>
      <c r="AK43" s="1" t="s">
        <v>769</v>
      </c>
      <c r="AL43" s="1" t="s">
        <v>67</v>
      </c>
      <c r="AM43" s="1">
        <v>75.63</v>
      </c>
      <c r="AN43" s="1">
        <v>35</v>
      </c>
      <c r="AO43" s="1">
        <v>3.08</v>
      </c>
      <c r="AP43" s="1">
        <v>76.45</v>
      </c>
      <c r="AQ43" s="1"/>
      <c r="AR43" s="1">
        <v>3.45</v>
      </c>
      <c r="AU43" s="11" t="s">
        <v>770</v>
      </c>
      <c r="AV43" s="8">
        <v>58</v>
      </c>
      <c r="AW43" s="8">
        <v>28</v>
      </c>
    </row>
    <row r="44" spans="1:49" x14ac:dyDescent="0.2">
      <c r="A44" s="8" t="s">
        <v>720</v>
      </c>
      <c r="B44" s="8">
        <v>2020</v>
      </c>
      <c r="C44" s="8" t="s">
        <v>118</v>
      </c>
      <c r="D44" s="8" t="s">
        <v>49</v>
      </c>
      <c r="E44" s="8" t="s">
        <v>75</v>
      </c>
      <c r="F44" s="8" t="s">
        <v>279</v>
      </c>
      <c r="G44" s="8" t="s">
        <v>721</v>
      </c>
      <c r="K44" s="8" t="s">
        <v>56</v>
      </c>
      <c r="L44" s="8" t="s">
        <v>93</v>
      </c>
      <c r="M44" s="8" t="s">
        <v>712</v>
      </c>
      <c r="N44" s="8" t="s">
        <v>93</v>
      </c>
      <c r="O44" s="8" t="s">
        <v>93</v>
      </c>
      <c r="P44" s="8" t="s">
        <v>93</v>
      </c>
      <c r="Q44" s="8" t="s">
        <v>93</v>
      </c>
      <c r="X44" s="8" t="s">
        <v>745</v>
      </c>
      <c r="AA44" s="8" t="s">
        <v>395</v>
      </c>
      <c r="AJ44" s="1" t="s">
        <v>765</v>
      </c>
      <c r="AK44" s="1" t="s">
        <v>769</v>
      </c>
      <c r="AL44" s="1" t="s">
        <v>67</v>
      </c>
      <c r="AM44" s="1">
        <v>74.11</v>
      </c>
      <c r="AN44" s="1">
        <v>35</v>
      </c>
      <c r="AO44" s="1">
        <v>4.7300000000000004</v>
      </c>
      <c r="AP44" s="1">
        <v>70.31</v>
      </c>
      <c r="AQ44" s="1"/>
      <c r="AR44" s="1">
        <v>3.78</v>
      </c>
      <c r="AU44" s="11" t="s">
        <v>771</v>
      </c>
      <c r="AV44" s="8">
        <v>118</v>
      </c>
      <c r="AW44" s="8">
        <v>28</v>
      </c>
    </row>
    <row r="45" spans="1:49" x14ac:dyDescent="0.2">
      <c r="A45" s="8" t="s">
        <v>720</v>
      </c>
      <c r="B45" s="8">
        <v>2020</v>
      </c>
      <c r="C45" s="8" t="s">
        <v>548</v>
      </c>
      <c r="D45" s="8" t="s">
        <v>88</v>
      </c>
      <c r="E45" s="8" t="s">
        <v>88</v>
      </c>
      <c r="F45" s="8" t="s">
        <v>279</v>
      </c>
      <c r="G45" s="8" t="s">
        <v>721</v>
      </c>
      <c r="K45" s="8" t="s">
        <v>56</v>
      </c>
      <c r="L45" s="8" t="s">
        <v>93</v>
      </c>
      <c r="M45" s="8" t="s">
        <v>712</v>
      </c>
      <c r="N45" s="8" t="s">
        <v>93</v>
      </c>
      <c r="O45" s="8" t="s">
        <v>93</v>
      </c>
      <c r="P45" s="8" t="s">
        <v>93</v>
      </c>
      <c r="Q45" s="8" t="s">
        <v>93</v>
      </c>
      <c r="X45" s="8" t="s">
        <v>746</v>
      </c>
      <c r="AA45" s="8" t="s">
        <v>395</v>
      </c>
      <c r="AJ45" s="1" t="s">
        <v>765</v>
      </c>
      <c r="AK45" s="1" t="s">
        <v>769</v>
      </c>
      <c r="AL45" s="1" t="s">
        <v>67</v>
      </c>
      <c r="AM45" s="1">
        <v>75.63</v>
      </c>
      <c r="AN45" s="1">
        <v>35</v>
      </c>
      <c r="AO45" s="1">
        <v>3.08</v>
      </c>
      <c r="AP45" s="1">
        <v>76.22</v>
      </c>
      <c r="AQ45" s="1"/>
      <c r="AR45" s="1">
        <v>5.08</v>
      </c>
      <c r="AU45" s="11" t="s">
        <v>771</v>
      </c>
      <c r="AV45" s="8">
        <v>118</v>
      </c>
      <c r="AW45" s="8">
        <v>28</v>
      </c>
    </row>
    <row r="46" spans="1:49" x14ac:dyDescent="0.2">
      <c r="S46" s="10"/>
      <c r="U46" s="10"/>
      <c r="AJ46" s="1"/>
      <c r="AK46" s="1"/>
      <c r="AL46" s="1"/>
      <c r="AM46" s="1"/>
      <c r="AN46" s="1"/>
      <c r="AO46" s="1"/>
      <c r="AP46" s="1"/>
      <c r="AQ46" s="1"/>
      <c r="AR46" s="1"/>
    </row>
    <row r="47" spans="1:49" x14ac:dyDescent="0.2">
      <c r="S47" s="10"/>
      <c r="U47" s="10"/>
      <c r="AJ47" s="1"/>
      <c r="AK47" s="1"/>
      <c r="AL47" s="1"/>
      <c r="AM47" s="1"/>
      <c r="AN47" s="1"/>
      <c r="AO47" s="1"/>
      <c r="AP47" s="1"/>
      <c r="AQ47" s="1"/>
      <c r="AR47" s="1"/>
    </row>
    <row r="48" spans="1:49" x14ac:dyDescent="0.2">
      <c r="S48" s="10"/>
      <c r="U48" s="10"/>
      <c r="AJ48" s="1"/>
      <c r="AK48" s="1"/>
      <c r="AL48" s="1"/>
      <c r="AM48" s="1"/>
      <c r="AN48" s="1"/>
      <c r="AO48" s="1"/>
      <c r="AP48" s="1"/>
      <c r="AQ48" s="1"/>
      <c r="AR48" s="1"/>
    </row>
    <row r="49" spans="19:44" x14ac:dyDescent="0.2">
      <c r="S49" s="10"/>
      <c r="U49" s="10"/>
      <c r="AJ49" s="1"/>
      <c r="AK49" s="1"/>
      <c r="AL49" s="1"/>
      <c r="AM49" s="1"/>
      <c r="AN49" s="1"/>
      <c r="AO49" s="1"/>
      <c r="AP49" s="1"/>
      <c r="AQ49" s="1"/>
      <c r="AR49" s="1"/>
    </row>
    <row r="50" spans="19:44" x14ac:dyDescent="0.2">
      <c r="S50" s="10"/>
      <c r="U50" s="10"/>
      <c r="AJ50" s="1"/>
      <c r="AK50" s="1"/>
      <c r="AL50" s="1"/>
      <c r="AM50" s="1"/>
      <c r="AN50" s="1"/>
      <c r="AO50" s="1"/>
      <c r="AP50" s="1"/>
      <c r="AQ50" s="1"/>
      <c r="AR50" s="1"/>
    </row>
    <row r="51" spans="19:44" x14ac:dyDescent="0.2">
      <c r="S51" s="10"/>
      <c r="U51" s="10"/>
      <c r="AJ51" s="1"/>
      <c r="AK51" s="1"/>
      <c r="AL51" s="1"/>
      <c r="AM51" s="1"/>
      <c r="AN51" s="1"/>
      <c r="AO51" s="1"/>
      <c r="AP51" s="1"/>
      <c r="AQ51" s="1"/>
      <c r="AR51" s="1"/>
    </row>
  </sheetData>
  <autoFilter ref="A1:AW45" xr:uid="{A32F604D-13A0-934F-9364-9F35E6508370}">
    <sortState xmlns:xlrd2="http://schemas.microsoft.com/office/spreadsheetml/2017/richdata2" ref="A2:AW45">
      <sortCondition ref="A1:A45"/>
    </sortState>
  </autoFilter>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31C32-B846-BA40-AC29-728AE41F5431}">
  <dimension ref="A3:G34"/>
  <sheetViews>
    <sheetView zoomScale="115" workbookViewId="0">
      <selection activeCell="A18" sqref="A18"/>
    </sheetView>
  </sheetViews>
  <sheetFormatPr baseColWidth="10" defaultRowHeight="15" x14ac:dyDescent="0.2"/>
  <cols>
    <col min="1" max="1" width="33.83203125" bestFit="1" customWidth="1"/>
    <col min="2" max="2" width="28.83203125" bestFit="1" customWidth="1"/>
    <col min="3" max="3" width="13.83203125" bestFit="1" customWidth="1"/>
    <col min="4" max="4" width="15.33203125" bestFit="1" customWidth="1"/>
    <col min="5" max="5" width="27.33203125" bestFit="1" customWidth="1"/>
    <col min="6" max="6" width="6.33203125" bestFit="1" customWidth="1"/>
    <col min="7" max="7" width="10.1640625" bestFit="1" customWidth="1"/>
    <col min="8" max="8" width="26.6640625" bestFit="1" customWidth="1"/>
    <col min="9" max="9" width="11.33203125" bestFit="1" customWidth="1"/>
    <col min="10" max="10" width="16.33203125" bestFit="1" customWidth="1"/>
    <col min="11" max="11" width="15.5" bestFit="1" customWidth="1"/>
    <col min="12" max="12" width="14.33203125" bestFit="1" customWidth="1"/>
    <col min="13" max="13" width="14.6640625" bestFit="1" customWidth="1"/>
    <col min="14" max="14" width="45.6640625" bestFit="1" customWidth="1"/>
    <col min="15" max="15" width="16.5" bestFit="1" customWidth="1"/>
    <col min="16" max="16" width="21.5" bestFit="1" customWidth="1"/>
    <col min="17" max="17" width="36.1640625" bestFit="1" customWidth="1"/>
    <col min="18" max="18" width="16.5" bestFit="1" customWidth="1"/>
    <col min="19" max="19" width="11.33203125" bestFit="1" customWidth="1"/>
    <col min="20" max="20" width="15.83203125" bestFit="1" customWidth="1"/>
    <col min="21" max="21" width="28.1640625" bestFit="1" customWidth="1"/>
    <col min="22" max="22" width="18.1640625" bestFit="1" customWidth="1"/>
    <col min="23" max="23" width="19.83203125" bestFit="1" customWidth="1"/>
    <col min="24" max="24" width="15.33203125" bestFit="1" customWidth="1"/>
    <col min="25" max="25" width="47.6640625" bestFit="1" customWidth="1"/>
    <col min="26" max="26" width="29" bestFit="1" customWidth="1"/>
    <col min="27" max="27" width="9" bestFit="1" customWidth="1"/>
    <col min="28" max="28" width="18.1640625" bestFit="1" customWidth="1"/>
    <col min="29" max="29" width="23.1640625" bestFit="1" customWidth="1"/>
    <col min="30" max="30" width="34.6640625" bestFit="1" customWidth="1"/>
    <col min="31" max="31" width="31.1640625" bestFit="1" customWidth="1"/>
    <col min="32" max="32" width="14" bestFit="1" customWidth="1"/>
    <col min="33" max="33" width="21.6640625" bestFit="1" customWidth="1"/>
    <col min="34" max="34" width="20.83203125" bestFit="1" customWidth="1"/>
    <col min="35" max="36" width="6.6640625" bestFit="1" customWidth="1"/>
    <col min="37" max="37" width="7" bestFit="1" customWidth="1"/>
    <col min="38" max="38" width="10" bestFit="1" customWidth="1"/>
  </cols>
  <sheetData>
    <row r="3" spans="1:7" x14ac:dyDescent="0.2">
      <c r="A3" s="18" t="s">
        <v>782</v>
      </c>
      <c r="B3" s="18" t="s">
        <v>781</v>
      </c>
    </row>
    <row r="4" spans="1:7" x14ac:dyDescent="0.2">
      <c r="A4" s="18" t="s">
        <v>779</v>
      </c>
      <c r="B4" t="s">
        <v>191</v>
      </c>
      <c r="C4" t="s">
        <v>88</v>
      </c>
      <c r="D4" t="s">
        <v>49</v>
      </c>
      <c r="E4" t="s">
        <v>105</v>
      </c>
      <c r="F4" t="s">
        <v>783</v>
      </c>
      <c r="G4" t="s">
        <v>780</v>
      </c>
    </row>
    <row r="5" spans="1:7" x14ac:dyDescent="0.2">
      <c r="A5" s="19" t="s">
        <v>765</v>
      </c>
      <c r="B5">
        <v>26</v>
      </c>
      <c r="C5">
        <v>123</v>
      </c>
      <c r="D5">
        <v>95</v>
      </c>
      <c r="G5">
        <v>244</v>
      </c>
    </row>
    <row r="6" spans="1:7" x14ac:dyDescent="0.2">
      <c r="A6" s="19" t="s">
        <v>65</v>
      </c>
      <c r="B6">
        <v>26</v>
      </c>
      <c r="C6">
        <v>600</v>
      </c>
      <c r="D6">
        <v>341</v>
      </c>
      <c r="E6">
        <v>281</v>
      </c>
      <c r="G6">
        <v>1248</v>
      </c>
    </row>
    <row r="7" spans="1:7" x14ac:dyDescent="0.2">
      <c r="A7" s="21" t="s">
        <v>86</v>
      </c>
      <c r="C7">
        <v>26</v>
      </c>
      <c r="E7">
        <v>33</v>
      </c>
      <c r="G7">
        <v>59</v>
      </c>
    </row>
    <row r="8" spans="1:7" x14ac:dyDescent="0.2">
      <c r="A8" s="21" t="s">
        <v>708</v>
      </c>
      <c r="C8">
        <v>157</v>
      </c>
      <c r="E8">
        <v>157</v>
      </c>
      <c r="G8">
        <v>314</v>
      </c>
    </row>
    <row r="9" spans="1:7" x14ac:dyDescent="0.2">
      <c r="A9" s="21" t="s">
        <v>117</v>
      </c>
      <c r="C9">
        <v>29</v>
      </c>
      <c r="E9">
        <v>27</v>
      </c>
      <c r="G9">
        <v>56</v>
      </c>
    </row>
    <row r="10" spans="1:7" x14ac:dyDescent="0.2">
      <c r="A10" s="21" t="s">
        <v>691</v>
      </c>
      <c r="C10">
        <v>26</v>
      </c>
      <c r="E10">
        <v>25</v>
      </c>
      <c r="G10">
        <v>51</v>
      </c>
    </row>
    <row r="11" spans="1:7" x14ac:dyDescent="0.2">
      <c r="A11" s="21" t="s">
        <v>226</v>
      </c>
      <c r="C11">
        <v>39</v>
      </c>
      <c r="E11">
        <v>39</v>
      </c>
      <c r="G11">
        <v>78</v>
      </c>
    </row>
    <row r="12" spans="1:7" x14ac:dyDescent="0.2">
      <c r="A12" s="21" t="s">
        <v>256</v>
      </c>
      <c r="C12">
        <v>20</v>
      </c>
      <c r="D12">
        <v>20</v>
      </c>
      <c r="G12">
        <v>40</v>
      </c>
    </row>
    <row r="13" spans="1:7" x14ac:dyDescent="0.2">
      <c r="A13" s="21" t="s">
        <v>277</v>
      </c>
      <c r="C13">
        <v>62</v>
      </c>
      <c r="D13">
        <v>116</v>
      </c>
      <c r="G13">
        <v>178</v>
      </c>
    </row>
    <row r="14" spans="1:7" x14ac:dyDescent="0.2">
      <c r="A14" s="21" t="s">
        <v>303</v>
      </c>
      <c r="C14">
        <v>10</v>
      </c>
      <c r="D14">
        <v>10</v>
      </c>
      <c r="G14">
        <v>20</v>
      </c>
    </row>
    <row r="15" spans="1:7" x14ac:dyDescent="0.2">
      <c r="A15" s="21" t="s">
        <v>376</v>
      </c>
      <c r="C15">
        <v>50</v>
      </c>
      <c r="D15">
        <v>50</v>
      </c>
      <c r="G15">
        <v>100</v>
      </c>
    </row>
    <row r="16" spans="1:7" x14ac:dyDescent="0.2">
      <c r="A16" s="21" t="s">
        <v>427</v>
      </c>
      <c r="C16">
        <v>118</v>
      </c>
      <c r="D16">
        <v>110</v>
      </c>
      <c r="G16">
        <v>228</v>
      </c>
    </row>
    <row r="17" spans="1:7" x14ac:dyDescent="0.2">
      <c r="A17" s="21" t="s">
        <v>449</v>
      </c>
      <c r="C17">
        <v>35</v>
      </c>
      <c r="D17">
        <v>35</v>
      </c>
      <c r="G17">
        <v>70</v>
      </c>
    </row>
    <row r="18" spans="1:7" x14ac:dyDescent="0.2">
      <c r="A18" s="21" t="s">
        <v>704</v>
      </c>
      <c r="B18">
        <v>26</v>
      </c>
      <c r="C18">
        <v>28</v>
      </c>
      <c r="G18">
        <v>54</v>
      </c>
    </row>
    <row r="19" spans="1:7" x14ac:dyDescent="0.2">
      <c r="A19" s="19" t="s">
        <v>317</v>
      </c>
      <c r="B19">
        <v>26</v>
      </c>
      <c r="C19">
        <v>143</v>
      </c>
      <c r="D19">
        <v>136</v>
      </c>
      <c r="G19">
        <v>305</v>
      </c>
    </row>
    <row r="20" spans="1:7" x14ac:dyDescent="0.2">
      <c r="A20" s="19" t="s">
        <v>142</v>
      </c>
      <c r="C20">
        <v>29</v>
      </c>
      <c r="E20">
        <v>27</v>
      </c>
      <c r="G20">
        <v>56</v>
      </c>
    </row>
    <row r="21" spans="1:7" x14ac:dyDescent="0.2">
      <c r="A21" s="19" t="s">
        <v>751</v>
      </c>
      <c r="C21">
        <v>51</v>
      </c>
      <c r="D21">
        <v>25</v>
      </c>
      <c r="E21">
        <v>25</v>
      </c>
      <c r="G21">
        <v>101</v>
      </c>
    </row>
    <row r="22" spans="1:7" x14ac:dyDescent="0.2">
      <c r="A22" s="19" t="s">
        <v>165</v>
      </c>
      <c r="B22">
        <v>26</v>
      </c>
      <c r="C22">
        <v>144</v>
      </c>
      <c r="E22">
        <v>108</v>
      </c>
      <c r="G22">
        <v>278</v>
      </c>
    </row>
    <row r="23" spans="1:7" x14ac:dyDescent="0.2">
      <c r="A23" s="19" t="s">
        <v>766</v>
      </c>
      <c r="B23">
        <v>26</v>
      </c>
      <c r="C23">
        <v>28</v>
      </c>
      <c r="G23">
        <v>54</v>
      </c>
    </row>
    <row r="24" spans="1:7" x14ac:dyDescent="0.2">
      <c r="A24" s="19" t="s">
        <v>147</v>
      </c>
      <c r="B24">
        <v>26</v>
      </c>
      <c r="C24">
        <v>57</v>
      </c>
      <c r="E24">
        <v>27</v>
      </c>
      <c r="G24">
        <v>110</v>
      </c>
    </row>
    <row r="25" spans="1:7" x14ac:dyDescent="0.2">
      <c r="A25" s="19" t="s">
        <v>775</v>
      </c>
      <c r="C25">
        <v>108</v>
      </c>
      <c r="D25">
        <v>108</v>
      </c>
      <c r="G25">
        <v>216</v>
      </c>
    </row>
    <row r="26" spans="1:7" x14ac:dyDescent="0.2">
      <c r="A26" s="19" t="s">
        <v>477</v>
      </c>
      <c r="C26">
        <v>260</v>
      </c>
      <c r="D26">
        <v>192</v>
      </c>
      <c r="E26">
        <v>66</v>
      </c>
      <c r="G26">
        <v>518</v>
      </c>
    </row>
    <row r="27" spans="1:7" x14ac:dyDescent="0.2">
      <c r="A27" s="19" t="s">
        <v>411</v>
      </c>
      <c r="C27">
        <v>28</v>
      </c>
      <c r="D27">
        <v>26</v>
      </c>
      <c r="G27">
        <v>54</v>
      </c>
    </row>
    <row r="28" spans="1:7" x14ac:dyDescent="0.2">
      <c r="A28" s="19" t="s">
        <v>656</v>
      </c>
      <c r="B28">
        <v>40</v>
      </c>
      <c r="C28">
        <v>91</v>
      </c>
      <c r="D28">
        <v>51</v>
      </c>
      <c r="G28">
        <v>182</v>
      </c>
    </row>
    <row r="29" spans="1:7" x14ac:dyDescent="0.2">
      <c r="A29" s="19" t="s">
        <v>658</v>
      </c>
      <c r="B29">
        <v>124</v>
      </c>
      <c r="C29">
        <v>122</v>
      </c>
      <c r="G29">
        <v>246</v>
      </c>
    </row>
    <row r="30" spans="1:7" x14ac:dyDescent="0.2">
      <c r="A30" s="19" t="s">
        <v>188</v>
      </c>
      <c r="B30">
        <v>303</v>
      </c>
      <c r="C30">
        <v>411</v>
      </c>
      <c r="D30">
        <v>51</v>
      </c>
      <c r="E30">
        <v>60</v>
      </c>
      <c r="G30">
        <v>825</v>
      </c>
    </row>
    <row r="31" spans="1:7" x14ac:dyDescent="0.2">
      <c r="A31" s="19" t="s">
        <v>753</v>
      </c>
      <c r="B31">
        <v>26</v>
      </c>
      <c r="C31">
        <v>79</v>
      </c>
      <c r="D31">
        <v>51</v>
      </c>
      <c r="G31">
        <v>156</v>
      </c>
    </row>
    <row r="32" spans="1:7" x14ac:dyDescent="0.2">
      <c r="A32" s="19" t="s">
        <v>168</v>
      </c>
      <c r="B32">
        <v>61</v>
      </c>
      <c r="C32">
        <v>247</v>
      </c>
      <c r="E32">
        <v>184</v>
      </c>
      <c r="G32">
        <v>492</v>
      </c>
    </row>
    <row r="33" spans="1:7" x14ac:dyDescent="0.2">
      <c r="A33" s="19" t="s">
        <v>783</v>
      </c>
    </row>
    <row r="34" spans="1:7" x14ac:dyDescent="0.2">
      <c r="A34" s="19" t="s">
        <v>780</v>
      </c>
      <c r="B34">
        <v>710</v>
      </c>
      <c r="C34">
        <v>2521</v>
      </c>
      <c r="D34">
        <v>1076</v>
      </c>
      <c r="E34">
        <v>778</v>
      </c>
      <c r="G34">
        <v>5085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86E42-7453-9D4E-A430-82DC30A59557}">
  <sheetPr filterMode="1"/>
  <dimension ref="A1:BB134"/>
  <sheetViews>
    <sheetView tabSelected="1" zoomScale="107" workbookViewId="0">
      <pane xSplit="6" ySplit="1" topLeftCell="K2" activePane="bottomRight" state="frozen"/>
      <selection pane="topRight" activeCell="F1" sqref="F1"/>
      <selection pane="bottomLeft" activeCell="A2" sqref="A2"/>
      <selection pane="bottomRight" activeCell="F30" sqref="F30"/>
    </sheetView>
  </sheetViews>
  <sheetFormatPr baseColWidth="10" defaultRowHeight="15" x14ac:dyDescent="0.2"/>
  <cols>
    <col min="2" max="2" width="20.1640625" customWidth="1"/>
    <col min="5" max="5" width="10.83203125" style="33"/>
    <col min="6" max="6" width="63.83203125" customWidth="1"/>
    <col min="13" max="18" width="10.83203125" style="35"/>
    <col min="19" max="24" width="10.83203125" style="33"/>
    <col min="37" max="37" width="17.83203125" style="1" customWidth="1"/>
    <col min="38" max="39" width="10.83203125" style="1"/>
    <col min="40" max="40" width="10.83203125" style="26"/>
    <col min="41" max="41" width="10.83203125" style="27"/>
    <col min="42" max="42" width="10.83203125" style="26"/>
    <col min="43" max="43" width="10.83203125" style="30"/>
    <col min="44" max="44" width="10.83203125" style="31"/>
    <col min="45" max="45" width="10.83203125" style="30"/>
    <col min="46" max="47" width="10.83203125" style="26"/>
    <col min="48" max="50" width="10.83203125" style="23"/>
    <col min="51" max="53" width="10.83203125" style="33"/>
  </cols>
  <sheetData>
    <row r="1" spans="1:53" x14ac:dyDescent="0.2">
      <c r="A1" t="s">
        <v>788</v>
      </c>
      <c r="B1" s="17" t="s">
        <v>0</v>
      </c>
      <c r="C1" s="17" t="s">
        <v>1</v>
      </c>
      <c r="D1" s="17" t="s">
        <v>2</v>
      </c>
      <c r="E1" s="32" t="s">
        <v>3</v>
      </c>
      <c r="F1" s="17" t="s">
        <v>4</v>
      </c>
      <c r="G1" s="17" t="s">
        <v>5</v>
      </c>
      <c r="H1" s="17" t="s">
        <v>6</v>
      </c>
      <c r="I1" s="17" t="s">
        <v>7</v>
      </c>
      <c r="J1" s="17" t="s">
        <v>8</v>
      </c>
      <c r="K1" s="17" t="s">
        <v>9</v>
      </c>
      <c r="L1" s="17" t="s">
        <v>10</v>
      </c>
      <c r="M1" s="34" t="s">
        <v>11</v>
      </c>
      <c r="N1" s="34" t="s">
        <v>12</v>
      </c>
      <c r="O1" s="34" t="s">
        <v>13</v>
      </c>
      <c r="P1" s="34" t="s">
        <v>14</v>
      </c>
      <c r="Q1" s="34" t="s">
        <v>15</v>
      </c>
      <c r="R1" s="34" t="s">
        <v>16</v>
      </c>
      <c r="S1" s="32" t="s">
        <v>17</v>
      </c>
      <c r="T1" s="32" t="s">
        <v>18</v>
      </c>
      <c r="U1" s="32" t="s">
        <v>19</v>
      </c>
      <c r="V1" s="32" t="s">
        <v>20</v>
      </c>
      <c r="W1" s="32" t="s">
        <v>21</v>
      </c>
      <c r="X1" s="32" t="s">
        <v>22</v>
      </c>
      <c r="Y1" s="17" t="s">
        <v>23</v>
      </c>
      <c r="Z1" s="17" t="s">
        <v>24</v>
      </c>
      <c r="AA1" s="17" t="s">
        <v>25</v>
      </c>
      <c r="AB1" s="17" t="s">
        <v>26</v>
      </c>
      <c r="AC1" s="17" t="s">
        <v>27</v>
      </c>
      <c r="AD1" s="17" t="s">
        <v>28</v>
      </c>
      <c r="AE1" s="17" t="s">
        <v>29</v>
      </c>
      <c r="AF1" s="17" t="s">
        <v>30</v>
      </c>
      <c r="AG1" s="17" t="s">
        <v>31</v>
      </c>
      <c r="AH1" s="17" t="s">
        <v>32</v>
      </c>
      <c r="AI1" s="17" t="s">
        <v>33</v>
      </c>
      <c r="AJ1" s="17" t="s">
        <v>34</v>
      </c>
      <c r="AK1" s="20" t="s">
        <v>35</v>
      </c>
      <c r="AL1" s="20" t="s">
        <v>36</v>
      </c>
      <c r="AM1" s="20" t="s">
        <v>37</v>
      </c>
      <c r="AN1" s="24" t="s">
        <v>38</v>
      </c>
      <c r="AO1" s="25" t="s">
        <v>39</v>
      </c>
      <c r="AP1" s="24" t="s">
        <v>40</v>
      </c>
      <c r="AQ1" s="28" t="s">
        <v>41</v>
      </c>
      <c r="AR1" s="29" t="s">
        <v>42</v>
      </c>
      <c r="AS1" s="28" t="s">
        <v>43</v>
      </c>
      <c r="AT1" s="24" t="s">
        <v>44</v>
      </c>
      <c r="AU1" s="24" t="s">
        <v>45</v>
      </c>
      <c r="AV1" s="22" t="s">
        <v>46</v>
      </c>
      <c r="AW1" s="22" t="s">
        <v>686</v>
      </c>
      <c r="AX1" s="22" t="s">
        <v>689</v>
      </c>
      <c r="AY1" s="32" t="s">
        <v>785</v>
      </c>
      <c r="AZ1" s="33" t="s">
        <v>787</v>
      </c>
      <c r="BA1" s="33" t="s">
        <v>784</v>
      </c>
    </row>
    <row r="2" spans="1:53" x14ac:dyDescent="0.2">
      <c r="A2" t="s">
        <v>789</v>
      </c>
      <c r="B2" s="8" t="s">
        <v>698</v>
      </c>
      <c r="C2" s="8">
        <v>2020</v>
      </c>
      <c r="D2" s="8" t="s">
        <v>699</v>
      </c>
      <c r="E2" s="36" t="s">
        <v>49</v>
      </c>
      <c r="F2" s="8" t="s">
        <v>75</v>
      </c>
      <c r="G2" s="8" t="s">
        <v>175</v>
      </c>
      <c r="H2" s="8" t="s">
        <v>700</v>
      </c>
      <c r="I2" s="8" t="s">
        <v>701</v>
      </c>
      <c r="J2" s="8" t="s">
        <v>695</v>
      </c>
      <c r="K2" s="8" t="s">
        <v>702</v>
      </c>
      <c r="L2" s="8" t="s">
        <v>703</v>
      </c>
      <c r="M2" s="37" t="s">
        <v>93</v>
      </c>
      <c r="N2" s="37" t="s">
        <v>712</v>
      </c>
      <c r="O2" s="37" t="s">
        <v>93</v>
      </c>
      <c r="P2" s="37" t="s">
        <v>57</v>
      </c>
      <c r="Q2" s="37" t="s">
        <v>58</v>
      </c>
      <c r="R2" s="37" t="s">
        <v>57</v>
      </c>
      <c r="S2" s="36"/>
      <c r="T2" s="38">
        <v>0.52800000000000002</v>
      </c>
      <c r="U2" s="36"/>
      <c r="V2" s="36"/>
      <c r="W2" s="36"/>
      <c r="X2" s="36"/>
      <c r="Y2" s="8" t="s">
        <v>736</v>
      </c>
      <c r="Z2" s="8"/>
      <c r="AA2" s="8"/>
      <c r="AB2" s="8" t="s">
        <v>395</v>
      </c>
      <c r="AC2" s="8"/>
      <c r="AD2" s="8"/>
      <c r="AE2" s="8"/>
      <c r="AF2" s="8"/>
      <c r="AG2" s="8"/>
      <c r="AH2" s="8"/>
      <c r="AI2" s="8"/>
      <c r="AJ2" s="8"/>
      <c r="AK2" s="13" t="s">
        <v>656</v>
      </c>
      <c r="AL2" s="13" t="s">
        <v>755</v>
      </c>
      <c r="AM2" s="13" t="s">
        <v>67</v>
      </c>
      <c r="AN2" s="42">
        <v>14.53</v>
      </c>
      <c r="AO2" s="43">
        <v>51</v>
      </c>
      <c r="AP2" s="42">
        <v>1.77</v>
      </c>
      <c r="AQ2" s="40">
        <v>11.41</v>
      </c>
      <c r="AR2" s="41">
        <v>51</v>
      </c>
      <c r="AS2" s="40">
        <v>1.08</v>
      </c>
      <c r="AT2" s="42"/>
      <c r="AU2" s="42"/>
      <c r="AV2" s="44" t="s">
        <v>189</v>
      </c>
      <c r="AW2" s="44">
        <v>365</v>
      </c>
      <c r="AX2" s="44">
        <v>365</v>
      </c>
    </row>
    <row r="3" spans="1:53" x14ac:dyDescent="0.2">
      <c r="A3" t="s">
        <v>789</v>
      </c>
      <c r="B3" s="8" t="s">
        <v>698</v>
      </c>
      <c r="C3" s="8">
        <v>2020</v>
      </c>
      <c r="D3" s="8" t="s">
        <v>548</v>
      </c>
      <c r="E3" s="36" t="s">
        <v>88</v>
      </c>
      <c r="F3" s="8" t="s">
        <v>88</v>
      </c>
      <c r="G3" s="8" t="s">
        <v>175</v>
      </c>
      <c r="H3" s="8" t="s">
        <v>700</v>
      </c>
      <c r="I3" s="8" t="s">
        <v>701</v>
      </c>
      <c r="J3" s="8" t="s">
        <v>695</v>
      </c>
      <c r="K3" s="8" t="s">
        <v>702</v>
      </c>
      <c r="L3" s="8" t="s">
        <v>703</v>
      </c>
      <c r="M3" s="37" t="s">
        <v>93</v>
      </c>
      <c r="N3" s="37" t="s">
        <v>712</v>
      </c>
      <c r="O3" s="37" t="s">
        <v>93</v>
      </c>
      <c r="P3" s="37" t="s">
        <v>57</v>
      </c>
      <c r="Q3" s="37" t="s">
        <v>58</v>
      </c>
      <c r="R3" s="37" t="s">
        <v>57</v>
      </c>
      <c r="S3" s="36"/>
      <c r="T3" s="38">
        <v>0.52900000000000003</v>
      </c>
      <c r="U3" s="36"/>
      <c r="V3" s="36"/>
      <c r="W3" s="36"/>
      <c r="X3" s="36"/>
      <c r="Y3" s="8" t="s">
        <v>736</v>
      </c>
      <c r="Z3" s="8"/>
      <c r="AA3" s="8"/>
      <c r="AB3" s="8" t="s">
        <v>395</v>
      </c>
      <c r="AC3" s="8"/>
      <c r="AD3" s="8"/>
      <c r="AE3" s="8"/>
      <c r="AF3" s="8"/>
      <c r="AG3" s="8"/>
      <c r="AH3" s="8"/>
      <c r="AI3" s="8"/>
      <c r="AJ3" s="8"/>
      <c r="AK3" s="13" t="s">
        <v>656</v>
      </c>
      <c r="AL3" s="13" t="s">
        <v>755</v>
      </c>
      <c r="AM3" s="13" t="s">
        <v>67</v>
      </c>
      <c r="AN3" s="42">
        <v>15.02</v>
      </c>
      <c r="AO3" s="43">
        <v>51</v>
      </c>
      <c r="AP3" s="42">
        <v>1.82</v>
      </c>
      <c r="AQ3" s="40">
        <v>9.31</v>
      </c>
      <c r="AR3" s="41">
        <v>51</v>
      </c>
      <c r="AS3" s="40">
        <v>1.52</v>
      </c>
      <c r="AT3" s="42"/>
      <c r="AU3" s="42"/>
      <c r="AV3" s="44" t="s">
        <v>189</v>
      </c>
      <c r="AW3" s="44">
        <v>365</v>
      </c>
      <c r="AX3" s="44">
        <v>365</v>
      </c>
    </row>
    <row r="4" spans="1:53" x14ac:dyDescent="0.2">
      <c r="A4" t="s">
        <v>789</v>
      </c>
      <c r="B4" s="8" t="s">
        <v>698</v>
      </c>
      <c r="C4" s="8">
        <v>2020</v>
      </c>
      <c r="D4" s="8" t="s">
        <v>699</v>
      </c>
      <c r="E4" s="36" t="s">
        <v>49</v>
      </c>
      <c r="F4" s="8" t="s">
        <v>75</v>
      </c>
      <c r="G4" s="8" t="s">
        <v>175</v>
      </c>
      <c r="H4" s="8" t="s">
        <v>700</v>
      </c>
      <c r="I4" s="8" t="s">
        <v>701</v>
      </c>
      <c r="J4" s="8" t="s">
        <v>695</v>
      </c>
      <c r="K4" s="8" t="s">
        <v>702</v>
      </c>
      <c r="L4" s="8" t="s">
        <v>703</v>
      </c>
      <c r="M4" s="37" t="s">
        <v>93</v>
      </c>
      <c r="N4" s="37" t="s">
        <v>712</v>
      </c>
      <c r="O4" s="37" t="s">
        <v>93</v>
      </c>
      <c r="P4" s="37" t="s">
        <v>57</v>
      </c>
      <c r="Q4" s="37" t="s">
        <v>58</v>
      </c>
      <c r="R4" s="37" t="s">
        <v>57</v>
      </c>
      <c r="S4" s="36"/>
      <c r="T4" s="38">
        <v>0.52800000000000002</v>
      </c>
      <c r="U4" s="36"/>
      <c r="V4" s="36"/>
      <c r="W4" s="36"/>
      <c r="X4" s="36"/>
      <c r="Y4" s="8" t="s">
        <v>736</v>
      </c>
      <c r="Z4" s="8"/>
      <c r="AA4" s="8"/>
      <c r="AB4" s="8" t="s">
        <v>395</v>
      </c>
      <c r="AC4" s="8"/>
      <c r="AD4" s="8"/>
      <c r="AE4" s="8"/>
      <c r="AF4" s="8"/>
      <c r="AG4" s="8"/>
      <c r="AH4" s="8"/>
      <c r="AI4" s="8"/>
      <c r="AJ4" s="8"/>
      <c r="AK4" s="13" t="s">
        <v>188</v>
      </c>
      <c r="AL4" s="13" t="s">
        <v>752</v>
      </c>
      <c r="AM4" s="13" t="s">
        <v>67</v>
      </c>
      <c r="AN4" s="42">
        <v>17.760000000000002</v>
      </c>
      <c r="AO4" s="43">
        <v>51</v>
      </c>
      <c r="AP4" s="42">
        <v>3.68</v>
      </c>
      <c r="AQ4" s="40">
        <v>14.64</v>
      </c>
      <c r="AR4" s="41">
        <v>51</v>
      </c>
      <c r="AS4" s="40">
        <v>2.38</v>
      </c>
      <c r="AT4" s="42"/>
      <c r="AU4" s="42"/>
      <c r="AV4" s="44" t="s">
        <v>189</v>
      </c>
      <c r="AW4" s="44">
        <v>365</v>
      </c>
      <c r="AX4" s="44">
        <v>365</v>
      </c>
    </row>
    <row r="5" spans="1:53" x14ac:dyDescent="0.2">
      <c r="A5" t="s">
        <v>789</v>
      </c>
      <c r="B5" s="8" t="s">
        <v>698</v>
      </c>
      <c r="C5" s="8">
        <v>2020</v>
      </c>
      <c r="D5" s="8" t="s">
        <v>548</v>
      </c>
      <c r="E5" s="36" t="s">
        <v>88</v>
      </c>
      <c r="F5" s="8" t="s">
        <v>88</v>
      </c>
      <c r="G5" s="8" t="s">
        <v>175</v>
      </c>
      <c r="H5" s="8" t="s">
        <v>700</v>
      </c>
      <c r="I5" s="8" t="s">
        <v>701</v>
      </c>
      <c r="J5" s="8" t="s">
        <v>695</v>
      </c>
      <c r="K5" s="8" t="s">
        <v>702</v>
      </c>
      <c r="L5" s="8" t="s">
        <v>703</v>
      </c>
      <c r="M5" s="37" t="s">
        <v>93</v>
      </c>
      <c r="N5" s="37" t="s">
        <v>712</v>
      </c>
      <c r="O5" s="37" t="s">
        <v>93</v>
      </c>
      <c r="P5" s="37" t="s">
        <v>57</v>
      </c>
      <c r="Q5" s="37" t="s">
        <v>58</v>
      </c>
      <c r="R5" s="37" t="s">
        <v>57</v>
      </c>
      <c r="S5" s="36"/>
      <c r="T5" s="38">
        <v>0.52900000000000003</v>
      </c>
      <c r="U5" s="36"/>
      <c r="V5" s="36"/>
      <c r="W5" s="36"/>
      <c r="X5" s="36"/>
      <c r="Y5" s="8" t="s">
        <v>736</v>
      </c>
      <c r="Z5" s="8"/>
      <c r="AA5" s="8"/>
      <c r="AB5" s="8" t="s">
        <v>395</v>
      </c>
      <c r="AC5" s="8"/>
      <c r="AD5" s="8"/>
      <c r="AE5" s="8"/>
      <c r="AF5" s="8"/>
      <c r="AG5" s="8"/>
      <c r="AH5" s="8"/>
      <c r="AI5" s="8"/>
      <c r="AJ5" s="8"/>
      <c r="AK5" s="13" t="s">
        <v>188</v>
      </c>
      <c r="AL5" s="13" t="s">
        <v>752</v>
      </c>
      <c r="AM5" s="13" t="s">
        <v>67</v>
      </c>
      <c r="AN5" s="42">
        <v>17.04</v>
      </c>
      <c r="AO5" s="43">
        <v>51</v>
      </c>
      <c r="AP5" s="42">
        <v>3.52</v>
      </c>
      <c r="AQ5" s="40">
        <v>12.59</v>
      </c>
      <c r="AR5" s="41">
        <v>51</v>
      </c>
      <c r="AS5" s="40">
        <v>2.7</v>
      </c>
      <c r="AT5" s="42"/>
      <c r="AU5" s="42"/>
      <c r="AV5" s="44" t="s">
        <v>189</v>
      </c>
      <c r="AW5" s="44">
        <v>365</v>
      </c>
      <c r="AX5" s="44">
        <v>365</v>
      </c>
    </row>
    <row r="6" spans="1:53" x14ac:dyDescent="0.2">
      <c r="A6" t="s">
        <v>789</v>
      </c>
      <c r="B6" s="8" t="s">
        <v>698</v>
      </c>
      <c r="C6" s="8">
        <v>2020</v>
      </c>
      <c r="D6" s="8" t="s">
        <v>699</v>
      </c>
      <c r="E6" s="36" t="s">
        <v>49</v>
      </c>
      <c r="F6" s="8" t="s">
        <v>75</v>
      </c>
      <c r="G6" s="8" t="s">
        <v>175</v>
      </c>
      <c r="H6" s="8" t="s">
        <v>700</v>
      </c>
      <c r="I6" s="8" t="s">
        <v>701</v>
      </c>
      <c r="J6" s="8" t="s">
        <v>695</v>
      </c>
      <c r="K6" s="8" t="s">
        <v>702</v>
      </c>
      <c r="L6" s="8" t="s">
        <v>703</v>
      </c>
      <c r="M6" s="37" t="s">
        <v>93</v>
      </c>
      <c r="N6" s="37" t="s">
        <v>712</v>
      </c>
      <c r="O6" s="37" t="s">
        <v>93</v>
      </c>
      <c r="P6" s="37" t="s">
        <v>57</v>
      </c>
      <c r="Q6" s="37" t="s">
        <v>58</v>
      </c>
      <c r="R6" s="37" t="s">
        <v>57</v>
      </c>
      <c r="S6" s="36"/>
      <c r="T6" s="38">
        <v>0.52800000000000002</v>
      </c>
      <c r="U6" s="36"/>
      <c r="V6" s="36"/>
      <c r="W6" s="36"/>
      <c r="X6" s="36"/>
      <c r="Y6" s="8" t="s">
        <v>736</v>
      </c>
      <c r="Z6" s="8"/>
      <c r="AA6" s="8"/>
      <c r="AB6" s="8" t="s">
        <v>395</v>
      </c>
      <c r="AC6" s="8"/>
      <c r="AD6" s="8"/>
      <c r="AE6" s="8"/>
      <c r="AF6" s="8"/>
      <c r="AG6" s="8"/>
      <c r="AH6" s="8"/>
      <c r="AI6" s="8"/>
      <c r="AJ6" s="8"/>
      <c r="AK6" s="13" t="s">
        <v>753</v>
      </c>
      <c r="AL6" s="13" t="s">
        <v>754</v>
      </c>
      <c r="AM6" s="13" t="s">
        <v>67</v>
      </c>
      <c r="AN6" s="42">
        <v>19.32</v>
      </c>
      <c r="AO6" s="43">
        <v>51</v>
      </c>
      <c r="AP6" s="42">
        <v>3.53</v>
      </c>
      <c r="AQ6" s="40">
        <v>7.21</v>
      </c>
      <c r="AR6" s="41">
        <v>51</v>
      </c>
      <c r="AS6" s="40">
        <v>2.88</v>
      </c>
      <c r="AT6" s="42"/>
      <c r="AU6" s="42"/>
      <c r="AV6" s="44" t="s">
        <v>189</v>
      </c>
      <c r="AW6" s="44">
        <v>365</v>
      </c>
      <c r="AX6" s="44">
        <v>365</v>
      </c>
    </row>
    <row r="7" spans="1:53" x14ac:dyDescent="0.2">
      <c r="A7" t="s">
        <v>789</v>
      </c>
      <c r="B7" s="8" t="s">
        <v>698</v>
      </c>
      <c r="C7" s="8">
        <v>2020</v>
      </c>
      <c r="D7" s="8" t="s">
        <v>548</v>
      </c>
      <c r="E7" s="36" t="s">
        <v>88</v>
      </c>
      <c r="F7" s="8" t="s">
        <v>88</v>
      </c>
      <c r="G7" s="8" t="s">
        <v>175</v>
      </c>
      <c r="H7" s="8" t="s">
        <v>700</v>
      </c>
      <c r="I7" s="8" t="s">
        <v>701</v>
      </c>
      <c r="J7" s="8" t="s">
        <v>695</v>
      </c>
      <c r="K7" s="8" t="s">
        <v>702</v>
      </c>
      <c r="L7" s="8" t="s">
        <v>703</v>
      </c>
      <c r="M7" s="37" t="s">
        <v>93</v>
      </c>
      <c r="N7" s="37" t="s">
        <v>712</v>
      </c>
      <c r="O7" s="37" t="s">
        <v>93</v>
      </c>
      <c r="P7" s="37" t="s">
        <v>57</v>
      </c>
      <c r="Q7" s="37" t="s">
        <v>58</v>
      </c>
      <c r="R7" s="37" t="s">
        <v>57</v>
      </c>
      <c r="S7" s="36"/>
      <c r="T7" s="38">
        <v>0.52900000000000003</v>
      </c>
      <c r="U7" s="36"/>
      <c r="V7" s="36"/>
      <c r="W7" s="36"/>
      <c r="X7" s="36"/>
      <c r="Y7" s="8" t="s">
        <v>736</v>
      </c>
      <c r="Z7" s="8"/>
      <c r="AA7" s="8"/>
      <c r="AB7" s="8" t="s">
        <v>395</v>
      </c>
      <c r="AC7" s="8"/>
      <c r="AD7" s="8"/>
      <c r="AE7" s="8"/>
      <c r="AF7" s="8"/>
      <c r="AG7" s="8"/>
      <c r="AH7" s="8"/>
      <c r="AI7" s="8"/>
      <c r="AJ7" s="8"/>
      <c r="AK7" s="13" t="s">
        <v>753</v>
      </c>
      <c r="AL7" s="13" t="s">
        <v>754</v>
      </c>
      <c r="AM7" s="13" t="s">
        <v>67</v>
      </c>
      <c r="AN7" s="42">
        <v>19.47</v>
      </c>
      <c r="AO7" s="43">
        <v>51</v>
      </c>
      <c r="AP7" s="42">
        <v>3.37</v>
      </c>
      <c r="AQ7" s="40">
        <v>10.37</v>
      </c>
      <c r="AR7" s="41">
        <v>51</v>
      </c>
      <c r="AS7" s="40">
        <v>2.17</v>
      </c>
      <c r="AT7" s="42"/>
      <c r="AU7" s="42"/>
      <c r="AV7" s="44" t="s">
        <v>189</v>
      </c>
      <c r="AW7" s="44">
        <v>365</v>
      </c>
      <c r="AX7" s="44">
        <v>365</v>
      </c>
    </row>
    <row r="8" spans="1:53" x14ac:dyDescent="0.2">
      <c r="A8" t="s">
        <v>789</v>
      </c>
      <c r="B8" s="8" t="s">
        <v>713</v>
      </c>
      <c r="C8" s="8">
        <v>2019</v>
      </c>
      <c r="D8" s="8" t="s">
        <v>118</v>
      </c>
      <c r="E8" s="36" t="s">
        <v>49</v>
      </c>
      <c r="F8" s="8" t="s">
        <v>75</v>
      </c>
      <c r="G8" s="8" t="s">
        <v>279</v>
      </c>
      <c r="H8" s="8" t="s">
        <v>714</v>
      </c>
      <c r="I8" s="8" t="s">
        <v>715</v>
      </c>
      <c r="J8" s="8" t="s">
        <v>716</v>
      </c>
      <c r="K8" s="8" t="s">
        <v>452</v>
      </c>
      <c r="L8" s="8" t="s">
        <v>56</v>
      </c>
      <c r="M8" s="37" t="s">
        <v>57</v>
      </c>
      <c r="N8" s="37" t="s">
        <v>57</v>
      </c>
      <c r="O8" s="37" t="s">
        <v>57</v>
      </c>
      <c r="P8" s="37" t="s">
        <v>57</v>
      </c>
      <c r="Q8" s="37" t="s">
        <v>58</v>
      </c>
      <c r="R8" s="37" t="s">
        <v>57</v>
      </c>
      <c r="S8" s="36" t="s">
        <v>724</v>
      </c>
      <c r="T8" s="36"/>
      <c r="U8" s="36" t="s">
        <v>730</v>
      </c>
      <c r="V8" s="39">
        <v>0.88</v>
      </c>
      <c r="W8" s="36"/>
      <c r="X8" s="36"/>
      <c r="Y8" s="8" t="s">
        <v>741</v>
      </c>
      <c r="Z8" s="8"/>
      <c r="AA8" s="8"/>
      <c r="AB8" s="8" t="s">
        <v>395</v>
      </c>
      <c r="AC8" s="8"/>
      <c r="AD8" s="8"/>
      <c r="AE8" s="8"/>
      <c r="AF8" s="8"/>
      <c r="AG8" s="8"/>
      <c r="AH8" s="8"/>
      <c r="AI8" s="8"/>
      <c r="AJ8" s="8"/>
      <c r="AK8" s="20" t="s">
        <v>765</v>
      </c>
      <c r="AL8" s="20" t="s">
        <v>756</v>
      </c>
      <c r="AM8" s="20" t="s">
        <v>67</v>
      </c>
      <c r="AN8" s="24">
        <v>11.6</v>
      </c>
      <c r="AO8" s="25">
        <v>27</v>
      </c>
      <c r="AP8" s="24">
        <v>2.8</v>
      </c>
      <c r="AQ8" s="28">
        <v>3.4</v>
      </c>
      <c r="AR8" s="29">
        <v>25</v>
      </c>
      <c r="AS8" s="28">
        <v>1.5</v>
      </c>
      <c r="AT8" s="42"/>
      <c r="AU8" s="42"/>
      <c r="AV8" s="44" t="s">
        <v>774</v>
      </c>
      <c r="AW8" s="44">
        <v>91</v>
      </c>
      <c r="AX8" s="44">
        <v>56</v>
      </c>
    </row>
    <row r="9" spans="1:53" x14ac:dyDescent="0.2">
      <c r="A9" t="s">
        <v>789</v>
      </c>
      <c r="B9" s="8" t="s">
        <v>713</v>
      </c>
      <c r="C9" s="8">
        <v>2019</v>
      </c>
      <c r="D9" s="8" t="s">
        <v>87</v>
      </c>
      <c r="E9" s="36" t="s">
        <v>88</v>
      </c>
      <c r="F9" s="8" t="s">
        <v>88</v>
      </c>
      <c r="G9" s="8" t="s">
        <v>279</v>
      </c>
      <c r="H9" s="8" t="s">
        <v>714</v>
      </c>
      <c r="I9" s="8" t="s">
        <v>715</v>
      </c>
      <c r="J9" s="8" t="s">
        <v>716</v>
      </c>
      <c r="K9" s="8" t="s">
        <v>452</v>
      </c>
      <c r="L9" s="8" t="s">
        <v>56</v>
      </c>
      <c r="M9" s="37" t="s">
        <v>57</v>
      </c>
      <c r="N9" s="37" t="s">
        <v>57</v>
      </c>
      <c r="O9" s="37" t="s">
        <v>57</v>
      </c>
      <c r="P9" s="37" t="s">
        <v>57</v>
      </c>
      <c r="Q9" s="37" t="s">
        <v>58</v>
      </c>
      <c r="R9" s="37" t="s">
        <v>57</v>
      </c>
      <c r="S9" s="36" t="s">
        <v>725</v>
      </c>
      <c r="T9" s="36"/>
      <c r="U9" s="36" t="s">
        <v>731</v>
      </c>
      <c r="V9" s="39">
        <v>0.72</v>
      </c>
      <c r="W9" s="36"/>
      <c r="X9" s="36"/>
      <c r="Y9" s="8" t="s">
        <v>742</v>
      </c>
      <c r="Z9" s="8"/>
      <c r="AA9" s="8"/>
      <c r="AB9" s="8" t="s">
        <v>395</v>
      </c>
      <c r="AC9" s="8"/>
      <c r="AD9" s="8"/>
      <c r="AE9" s="8"/>
      <c r="AF9" s="8"/>
      <c r="AG9" s="8"/>
      <c r="AH9" s="8"/>
      <c r="AI9" s="8"/>
      <c r="AJ9" s="8"/>
      <c r="AK9" s="20" t="s">
        <v>765</v>
      </c>
      <c r="AL9" s="20" t="s">
        <v>756</v>
      </c>
      <c r="AM9" s="20" t="s">
        <v>67</v>
      </c>
      <c r="AN9" s="24">
        <v>10.039999999999999</v>
      </c>
      <c r="AO9" s="25">
        <v>27</v>
      </c>
      <c r="AP9" s="24">
        <v>4.0199999999999996</v>
      </c>
      <c r="AQ9" s="28">
        <v>10.5</v>
      </c>
      <c r="AR9" s="29">
        <v>25</v>
      </c>
      <c r="AS9" s="28">
        <v>3.7</v>
      </c>
      <c r="AT9" s="42"/>
      <c r="AU9" s="42"/>
      <c r="AV9" s="44" t="s">
        <v>774</v>
      </c>
      <c r="AW9" s="44">
        <v>91</v>
      </c>
      <c r="AX9" s="44">
        <v>56</v>
      </c>
    </row>
    <row r="10" spans="1:53" x14ac:dyDescent="0.2">
      <c r="A10" t="s">
        <v>789</v>
      </c>
      <c r="B10" s="8" t="s">
        <v>713</v>
      </c>
      <c r="C10" s="8">
        <v>2019</v>
      </c>
      <c r="D10" s="8" t="s">
        <v>118</v>
      </c>
      <c r="E10" s="36" t="s">
        <v>49</v>
      </c>
      <c r="F10" s="8" t="s">
        <v>75</v>
      </c>
      <c r="G10" s="8" t="s">
        <v>279</v>
      </c>
      <c r="H10" s="8" t="s">
        <v>714</v>
      </c>
      <c r="I10" s="8" t="s">
        <v>715</v>
      </c>
      <c r="J10" s="8" t="s">
        <v>716</v>
      </c>
      <c r="K10" s="8" t="s">
        <v>452</v>
      </c>
      <c r="L10" s="8" t="s">
        <v>56</v>
      </c>
      <c r="M10" s="37" t="s">
        <v>57</v>
      </c>
      <c r="N10" s="37" t="s">
        <v>57</v>
      </c>
      <c r="O10" s="37" t="s">
        <v>57</v>
      </c>
      <c r="P10" s="37" t="s">
        <v>57</v>
      </c>
      <c r="Q10" s="37" t="s">
        <v>58</v>
      </c>
      <c r="R10" s="37" t="s">
        <v>57</v>
      </c>
      <c r="S10" s="36" t="s">
        <v>724</v>
      </c>
      <c r="T10" s="36"/>
      <c r="U10" s="36" t="s">
        <v>730</v>
      </c>
      <c r="V10" s="39">
        <v>0.88</v>
      </c>
      <c r="W10" s="36"/>
      <c r="X10" s="36"/>
      <c r="Y10" s="8" t="s">
        <v>741</v>
      </c>
      <c r="Z10" s="8"/>
      <c r="AA10" s="8"/>
      <c r="AB10" s="8" t="s">
        <v>395</v>
      </c>
      <c r="AC10" s="8"/>
      <c r="AD10" s="8"/>
      <c r="AE10" s="8"/>
      <c r="AF10" s="8"/>
      <c r="AG10" s="8"/>
      <c r="AH10" s="8"/>
      <c r="AI10" s="8"/>
      <c r="AJ10" s="8"/>
      <c r="AK10" s="20" t="s">
        <v>317</v>
      </c>
      <c r="AL10" s="20" t="s">
        <v>756</v>
      </c>
      <c r="AM10" s="20" t="s">
        <v>67</v>
      </c>
      <c r="AN10" s="24">
        <v>4.5</v>
      </c>
      <c r="AO10" s="25">
        <v>27</v>
      </c>
      <c r="AP10" s="24">
        <v>3.04</v>
      </c>
      <c r="AQ10" s="28">
        <v>0.4</v>
      </c>
      <c r="AR10" s="29">
        <v>25</v>
      </c>
      <c r="AS10" s="28">
        <v>0.7</v>
      </c>
      <c r="AT10" s="42"/>
      <c r="AU10" s="42"/>
      <c r="AV10" s="44" t="s">
        <v>774</v>
      </c>
      <c r="AW10" s="44">
        <v>91</v>
      </c>
      <c r="AX10" s="44">
        <v>56</v>
      </c>
    </row>
    <row r="11" spans="1:53" x14ac:dyDescent="0.2">
      <c r="A11" t="s">
        <v>789</v>
      </c>
      <c r="B11" s="8" t="s">
        <v>713</v>
      </c>
      <c r="C11" s="8">
        <v>2019</v>
      </c>
      <c r="D11" s="8" t="s">
        <v>87</v>
      </c>
      <c r="E11" s="36" t="s">
        <v>88</v>
      </c>
      <c r="F11" s="8" t="s">
        <v>88</v>
      </c>
      <c r="G11" s="8" t="s">
        <v>279</v>
      </c>
      <c r="H11" s="8" t="s">
        <v>714</v>
      </c>
      <c r="I11" s="8" t="s">
        <v>715</v>
      </c>
      <c r="J11" s="8" t="s">
        <v>716</v>
      </c>
      <c r="K11" s="8" t="s">
        <v>452</v>
      </c>
      <c r="L11" s="8" t="s">
        <v>56</v>
      </c>
      <c r="M11" s="37" t="s">
        <v>57</v>
      </c>
      <c r="N11" s="37" t="s">
        <v>57</v>
      </c>
      <c r="O11" s="37" t="s">
        <v>57</v>
      </c>
      <c r="P11" s="37" t="s">
        <v>57</v>
      </c>
      <c r="Q11" s="37" t="s">
        <v>58</v>
      </c>
      <c r="R11" s="37" t="s">
        <v>57</v>
      </c>
      <c r="S11" s="36" t="s">
        <v>725</v>
      </c>
      <c r="T11" s="36"/>
      <c r="U11" s="36" t="s">
        <v>731</v>
      </c>
      <c r="V11" s="39">
        <v>0.72</v>
      </c>
      <c r="W11" s="36"/>
      <c r="X11" s="36"/>
      <c r="Y11" s="8" t="s">
        <v>742</v>
      </c>
      <c r="Z11" s="8"/>
      <c r="AA11" s="8"/>
      <c r="AB11" s="8" t="s">
        <v>395</v>
      </c>
      <c r="AC11" s="8"/>
      <c r="AD11" s="8"/>
      <c r="AE11" s="8"/>
      <c r="AF11" s="8"/>
      <c r="AG11" s="8"/>
      <c r="AH11" s="8"/>
      <c r="AI11" s="8"/>
      <c r="AJ11" s="8"/>
      <c r="AK11" s="20" t="s">
        <v>317</v>
      </c>
      <c r="AL11" s="20" t="s">
        <v>756</v>
      </c>
      <c r="AM11" s="20" t="s">
        <v>67</v>
      </c>
      <c r="AN11" s="24">
        <v>4.8</v>
      </c>
      <c r="AO11" s="25">
        <v>27</v>
      </c>
      <c r="AP11" s="24">
        <v>3.6</v>
      </c>
      <c r="AQ11" s="28">
        <v>5.08</v>
      </c>
      <c r="AR11" s="29">
        <v>25</v>
      </c>
      <c r="AS11" s="28">
        <v>3.7</v>
      </c>
      <c r="AT11" s="42"/>
      <c r="AU11" s="42"/>
      <c r="AV11" s="44" t="s">
        <v>774</v>
      </c>
      <c r="AW11" s="44">
        <v>91</v>
      </c>
      <c r="AX11" s="44">
        <v>56</v>
      </c>
    </row>
    <row r="12" spans="1:53" x14ac:dyDescent="0.2">
      <c r="A12" t="s">
        <v>789</v>
      </c>
      <c r="B12" s="8" t="s">
        <v>713</v>
      </c>
      <c r="C12" s="8">
        <v>2019</v>
      </c>
      <c r="D12" s="8" t="s">
        <v>118</v>
      </c>
      <c r="E12" s="36" t="s">
        <v>49</v>
      </c>
      <c r="F12" s="8" t="s">
        <v>75</v>
      </c>
      <c r="G12" s="8" t="s">
        <v>279</v>
      </c>
      <c r="H12" s="8" t="s">
        <v>714</v>
      </c>
      <c r="I12" s="8" t="s">
        <v>715</v>
      </c>
      <c r="J12" s="8" t="s">
        <v>716</v>
      </c>
      <c r="K12" s="8" t="s">
        <v>452</v>
      </c>
      <c r="L12" s="8" t="s">
        <v>56</v>
      </c>
      <c r="M12" s="37" t="s">
        <v>57</v>
      </c>
      <c r="N12" s="37" t="s">
        <v>57</v>
      </c>
      <c r="O12" s="37" t="s">
        <v>57</v>
      </c>
      <c r="P12" s="37" t="s">
        <v>57</v>
      </c>
      <c r="Q12" s="37" t="s">
        <v>58</v>
      </c>
      <c r="R12" s="37" t="s">
        <v>57</v>
      </c>
      <c r="S12" s="36" t="s">
        <v>724</v>
      </c>
      <c r="T12" s="36"/>
      <c r="U12" s="36" t="s">
        <v>730</v>
      </c>
      <c r="V12" s="39">
        <v>0.88</v>
      </c>
      <c r="W12" s="36"/>
      <c r="X12" s="36"/>
      <c r="Y12" s="8" t="s">
        <v>741</v>
      </c>
      <c r="Z12" s="8"/>
      <c r="AA12" s="8"/>
      <c r="AB12" s="8" t="s">
        <v>395</v>
      </c>
      <c r="AC12" s="8"/>
      <c r="AD12" s="8"/>
      <c r="AE12" s="8"/>
      <c r="AF12" s="8"/>
      <c r="AG12" s="8"/>
      <c r="AH12" s="8"/>
      <c r="AI12" s="8"/>
      <c r="AJ12" s="8"/>
      <c r="AK12" s="20" t="s">
        <v>751</v>
      </c>
      <c r="AL12" s="20" t="s">
        <v>756</v>
      </c>
      <c r="AM12" s="20" t="s">
        <v>67</v>
      </c>
      <c r="AN12" s="24">
        <v>39.9</v>
      </c>
      <c r="AO12" s="25">
        <v>27</v>
      </c>
      <c r="AP12" s="24">
        <v>8.4</v>
      </c>
      <c r="AQ12" s="28">
        <v>16.079999999999998</v>
      </c>
      <c r="AR12" s="29">
        <v>25</v>
      </c>
      <c r="AS12" s="28">
        <v>3.7</v>
      </c>
      <c r="AT12" s="42"/>
      <c r="AU12" s="42"/>
      <c r="AV12" s="44" t="s">
        <v>774</v>
      </c>
      <c r="AW12" s="44">
        <v>91</v>
      </c>
      <c r="AX12" s="44">
        <v>56</v>
      </c>
    </row>
    <row r="13" spans="1:53" x14ac:dyDescent="0.2">
      <c r="A13" t="s">
        <v>789</v>
      </c>
      <c r="B13" s="8" t="s">
        <v>713</v>
      </c>
      <c r="C13" s="8">
        <v>2019</v>
      </c>
      <c r="D13" s="8" t="s">
        <v>87</v>
      </c>
      <c r="E13" s="36" t="s">
        <v>88</v>
      </c>
      <c r="F13" s="8" t="s">
        <v>88</v>
      </c>
      <c r="G13" s="8" t="s">
        <v>279</v>
      </c>
      <c r="H13" s="8" t="s">
        <v>714</v>
      </c>
      <c r="I13" s="8" t="s">
        <v>715</v>
      </c>
      <c r="J13" s="8" t="s">
        <v>716</v>
      </c>
      <c r="K13" s="8" t="s">
        <v>452</v>
      </c>
      <c r="L13" s="8" t="s">
        <v>56</v>
      </c>
      <c r="M13" s="37" t="s">
        <v>57</v>
      </c>
      <c r="N13" s="37" t="s">
        <v>57</v>
      </c>
      <c r="O13" s="37" t="s">
        <v>57</v>
      </c>
      <c r="P13" s="37" t="s">
        <v>57</v>
      </c>
      <c r="Q13" s="37" t="s">
        <v>58</v>
      </c>
      <c r="R13" s="37" t="s">
        <v>57</v>
      </c>
      <c r="S13" s="36" t="s">
        <v>725</v>
      </c>
      <c r="T13" s="36"/>
      <c r="U13" s="36" t="s">
        <v>731</v>
      </c>
      <c r="V13" s="39">
        <v>0.72</v>
      </c>
      <c r="W13" s="36"/>
      <c r="X13" s="36"/>
      <c r="Y13" s="8" t="s">
        <v>742</v>
      </c>
      <c r="Z13" s="8"/>
      <c r="AA13" s="8"/>
      <c r="AB13" s="8" t="s">
        <v>395</v>
      </c>
      <c r="AC13" s="8"/>
      <c r="AD13" s="8"/>
      <c r="AE13" s="8"/>
      <c r="AF13" s="8"/>
      <c r="AG13" s="8"/>
      <c r="AH13" s="8"/>
      <c r="AI13" s="8"/>
      <c r="AJ13" s="8"/>
      <c r="AK13" s="20" t="s">
        <v>751</v>
      </c>
      <c r="AL13" s="20" t="s">
        <v>756</v>
      </c>
      <c r="AM13" s="20" t="s">
        <v>67</v>
      </c>
      <c r="AN13" s="24">
        <v>32.04</v>
      </c>
      <c r="AO13" s="25">
        <v>27</v>
      </c>
      <c r="AP13" s="24">
        <v>7.02</v>
      </c>
      <c r="AQ13" s="28">
        <v>32.9</v>
      </c>
      <c r="AR13" s="29">
        <v>25</v>
      </c>
      <c r="AS13" s="28">
        <v>7.2</v>
      </c>
      <c r="AT13" s="42"/>
      <c r="AU13" s="42"/>
      <c r="AV13" s="44" t="s">
        <v>774</v>
      </c>
      <c r="AW13" s="44">
        <v>91</v>
      </c>
      <c r="AX13" s="44">
        <v>56</v>
      </c>
    </row>
    <row r="14" spans="1:53" x14ac:dyDescent="0.2">
      <c r="A14" t="s">
        <v>789</v>
      </c>
      <c r="B14" s="8" t="s">
        <v>708</v>
      </c>
      <c r="C14" s="8">
        <v>2020</v>
      </c>
      <c r="D14" s="8" t="s">
        <v>312</v>
      </c>
      <c r="E14" s="36" t="s">
        <v>105</v>
      </c>
      <c r="F14" s="8" t="s">
        <v>106</v>
      </c>
      <c r="G14" s="8" t="s">
        <v>89</v>
      </c>
      <c r="H14" s="8" t="s">
        <v>709</v>
      </c>
      <c r="I14" s="8" t="s">
        <v>710</v>
      </c>
      <c r="J14" s="8" t="s">
        <v>711</v>
      </c>
      <c r="K14" s="8" t="s">
        <v>452</v>
      </c>
      <c r="L14" s="8" t="s">
        <v>56</v>
      </c>
      <c r="M14" s="37" t="s">
        <v>712</v>
      </c>
      <c r="N14" s="37" t="s">
        <v>57</v>
      </c>
      <c r="O14" s="37" t="s">
        <v>57</v>
      </c>
      <c r="P14" s="37" t="s">
        <v>57</v>
      </c>
      <c r="Q14" s="37" t="s">
        <v>58</v>
      </c>
      <c r="R14" s="37" t="s">
        <v>57</v>
      </c>
      <c r="S14" s="36"/>
      <c r="T14" s="36"/>
      <c r="U14" s="36"/>
      <c r="V14" s="36"/>
      <c r="W14" s="36"/>
      <c r="X14" s="36"/>
      <c r="Y14" s="8" t="s">
        <v>739</v>
      </c>
      <c r="Z14" s="8"/>
      <c r="AA14" s="8"/>
      <c r="AB14" s="8" t="s">
        <v>395</v>
      </c>
      <c r="AC14" s="8"/>
      <c r="AD14" s="8"/>
      <c r="AE14" s="8"/>
      <c r="AF14" s="8"/>
      <c r="AG14" s="8"/>
      <c r="AH14" s="8"/>
      <c r="AI14" s="8"/>
      <c r="AJ14" s="8"/>
      <c r="AK14" s="13" t="s">
        <v>65</v>
      </c>
      <c r="AL14" s="13" t="s">
        <v>234</v>
      </c>
      <c r="AM14" s="13" t="s">
        <v>67</v>
      </c>
      <c r="AN14" s="42">
        <v>55.36</v>
      </c>
      <c r="AO14" s="43">
        <v>157</v>
      </c>
      <c r="AP14" s="42">
        <f>0.45*SQRT(AO14)</f>
        <v>5.6384838387637508</v>
      </c>
      <c r="AQ14" s="40">
        <v>53.87</v>
      </c>
      <c r="AR14" s="41">
        <v>157</v>
      </c>
      <c r="AS14" s="40">
        <f>0.49*SQRT(AR14)</f>
        <v>6.1396824022094174</v>
      </c>
      <c r="AT14" s="42"/>
      <c r="AU14" s="42"/>
      <c r="AV14" s="44" t="s">
        <v>749</v>
      </c>
      <c r="AW14" s="44">
        <v>30</v>
      </c>
      <c r="AX14" s="44">
        <v>30</v>
      </c>
    </row>
    <row r="15" spans="1:53" x14ac:dyDescent="0.2">
      <c r="A15" t="s">
        <v>789</v>
      </c>
      <c r="B15" s="8" t="s">
        <v>708</v>
      </c>
      <c r="C15" s="8">
        <v>2020</v>
      </c>
      <c r="D15" s="8" t="s">
        <v>87</v>
      </c>
      <c r="E15" s="36" t="s">
        <v>88</v>
      </c>
      <c r="F15" s="8" t="s">
        <v>88</v>
      </c>
      <c r="G15" s="8" t="s">
        <v>89</v>
      </c>
      <c r="H15" s="8" t="s">
        <v>709</v>
      </c>
      <c r="I15" s="8" t="s">
        <v>710</v>
      </c>
      <c r="J15" s="8" t="s">
        <v>711</v>
      </c>
      <c r="K15" s="8" t="s">
        <v>452</v>
      </c>
      <c r="L15" s="8" t="s">
        <v>56</v>
      </c>
      <c r="M15" s="37" t="s">
        <v>712</v>
      </c>
      <c r="N15" s="37" t="s">
        <v>57</v>
      </c>
      <c r="O15" s="37" t="s">
        <v>57</v>
      </c>
      <c r="P15" s="37" t="s">
        <v>57</v>
      </c>
      <c r="Q15" s="37" t="s">
        <v>58</v>
      </c>
      <c r="R15" s="37" t="s">
        <v>57</v>
      </c>
      <c r="S15" s="36"/>
      <c r="T15" s="36"/>
      <c r="U15" s="36"/>
      <c r="V15" s="36"/>
      <c r="W15" s="36"/>
      <c r="X15" s="36"/>
      <c r="Y15" s="8" t="s">
        <v>740</v>
      </c>
      <c r="Z15" s="8"/>
      <c r="AA15" s="8"/>
      <c r="AB15" s="8" t="s">
        <v>395</v>
      </c>
      <c r="AC15" s="8"/>
      <c r="AD15" s="8"/>
      <c r="AE15" s="8"/>
      <c r="AF15" s="8"/>
      <c r="AG15" s="8"/>
      <c r="AH15" s="8"/>
      <c r="AI15" s="8"/>
      <c r="AJ15" s="8"/>
      <c r="AK15" s="13" t="s">
        <v>65</v>
      </c>
      <c r="AL15" s="13" t="s">
        <v>234</v>
      </c>
      <c r="AM15" s="13" t="s">
        <v>67</v>
      </c>
      <c r="AN15" s="42">
        <v>54.14</v>
      </c>
      <c r="AO15" s="43">
        <v>157</v>
      </c>
      <c r="AP15" s="42">
        <f>0.45*SQRT(AO15)</f>
        <v>5.6384838387637508</v>
      </c>
      <c r="AQ15" s="40">
        <v>19.61</v>
      </c>
      <c r="AR15" s="41">
        <v>157</v>
      </c>
      <c r="AS15" s="40">
        <f>0.49*SQRT(AR15)</f>
        <v>6.1396824022094174</v>
      </c>
      <c r="AT15" s="42"/>
      <c r="AU15" s="42"/>
      <c r="AV15" s="44" t="s">
        <v>749</v>
      </c>
      <c r="AW15" s="44">
        <v>30</v>
      </c>
      <c r="AX15" s="44">
        <v>30</v>
      </c>
    </row>
    <row r="16" spans="1:53" x14ac:dyDescent="0.2">
      <c r="A16" t="s">
        <v>789</v>
      </c>
      <c r="B16" s="8" t="s">
        <v>708</v>
      </c>
      <c r="C16" s="8">
        <v>2020</v>
      </c>
      <c r="D16" s="8" t="s">
        <v>312</v>
      </c>
      <c r="E16" s="36" t="s">
        <v>105</v>
      </c>
      <c r="F16" s="8" t="s">
        <v>106</v>
      </c>
      <c r="G16" s="8" t="s">
        <v>89</v>
      </c>
      <c r="H16" s="8" t="s">
        <v>709</v>
      </c>
      <c r="I16" s="8" t="s">
        <v>710</v>
      </c>
      <c r="J16" s="8" t="s">
        <v>711</v>
      </c>
      <c r="K16" s="8" t="s">
        <v>452</v>
      </c>
      <c r="L16" s="8" t="s">
        <v>56</v>
      </c>
      <c r="M16" s="37" t="s">
        <v>712</v>
      </c>
      <c r="N16" s="37" t="s">
        <v>57</v>
      </c>
      <c r="O16" s="37" t="s">
        <v>57</v>
      </c>
      <c r="P16" s="37" t="s">
        <v>57</v>
      </c>
      <c r="Q16" s="37" t="s">
        <v>58</v>
      </c>
      <c r="R16" s="37" t="s">
        <v>57</v>
      </c>
      <c r="S16" s="36"/>
      <c r="T16" s="36"/>
      <c r="U16" s="36"/>
      <c r="V16" s="36"/>
      <c r="W16" s="36"/>
      <c r="X16" s="36"/>
      <c r="Y16" s="8" t="s">
        <v>739</v>
      </c>
      <c r="Z16" s="8"/>
      <c r="AA16" s="8"/>
      <c r="AB16" s="8" t="s">
        <v>395</v>
      </c>
      <c r="AC16" s="8"/>
      <c r="AD16" s="8"/>
      <c r="AE16" s="8"/>
      <c r="AF16" s="8"/>
      <c r="AG16" s="8"/>
      <c r="AH16" s="8"/>
      <c r="AI16" s="8"/>
      <c r="AJ16" s="8"/>
      <c r="AK16" s="20" t="s">
        <v>168</v>
      </c>
      <c r="AL16" s="20" t="s">
        <v>234</v>
      </c>
      <c r="AM16" s="20" t="s">
        <v>67</v>
      </c>
      <c r="AN16" s="24">
        <v>180.88</v>
      </c>
      <c r="AO16" s="25">
        <v>157</v>
      </c>
      <c r="AP16" s="24">
        <f>1.67*SQRT(AO16)</f>
        <v>20.925040023856585</v>
      </c>
      <c r="AQ16" s="28">
        <v>182.36</v>
      </c>
      <c r="AR16" s="29">
        <v>157</v>
      </c>
      <c r="AS16" s="28">
        <f>1.82*SQRT(AR16)</f>
        <v>22.804534636777834</v>
      </c>
      <c r="AT16" s="42"/>
      <c r="AU16" s="42"/>
      <c r="AV16" s="44" t="s">
        <v>749</v>
      </c>
      <c r="AW16" s="44">
        <v>30</v>
      </c>
      <c r="AX16" s="44">
        <v>30</v>
      </c>
    </row>
    <row r="17" spans="1:50" x14ac:dyDescent="0.2">
      <c r="A17" t="s">
        <v>789</v>
      </c>
      <c r="B17" s="8" t="s">
        <v>708</v>
      </c>
      <c r="C17" s="8">
        <v>2020</v>
      </c>
      <c r="D17" s="8" t="s">
        <v>87</v>
      </c>
      <c r="E17" s="36" t="s">
        <v>88</v>
      </c>
      <c r="F17" s="8" t="s">
        <v>88</v>
      </c>
      <c r="G17" s="8" t="s">
        <v>89</v>
      </c>
      <c r="H17" s="8" t="s">
        <v>709</v>
      </c>
      <c r="I17" s="8" t="s">
        <v>710</v>
      </c>
      <c r="J17" s="8" t="s">
        <v>711</v>
      </c>
      <c r="K17" s="8" t="s">
        <v>452</v>
      </c>
      <c r="L17" s="8" t="s">
        <v>56</v>
      </c>
      <c r="M17" s="37" t="s">
        <v>712</v>
      </c>
      <c r="N17" s="37" t="s">
        <v>57</v>
      </c>
      <c r="O17" s="37" t="s">
        <v>57</v>
      </c>
      <c r="P17" s="37" t="s">
        <v>57</v>
      </c>
      <c r="Q17" s="37" t="s">
        <v>58</v>
      </c>
      <c r="R17" s="37" t="s">
        <v>57</v>
      </c>
      <c r="S17" s="36"/>
      <c r="T17" s="36"/>
      <c r="U17" s="36"/>
      <c r="V17" s="36"/>
      <c r="W17" s="36"/>
      <c r="X17" s="36"/>
      <c r="Y17" s="8" t="s">
        <v>740</v>
      </c>
      <c r="Z17" s="8"/>
      <c r="AA17" s="8"/>
      <c r="AB17" s="8" t="s">
        <v>395</v>
      </c>
      <c r="AC17" s="8"/>
      <c r="AD17" s="8"/>
      <c r="AE17" s="8"/>
      <c r="AF17" s="8"/>
      <c r="AG17" s="8"/>
      <c r="AH17" s="8"/>
      <c r="AI17" s="8"/>
      <c r="AJ17" s="8"/>
      <c r="AK17" s="20" t="s">
        <v>168</v>
      </c>
      <c r="AL17" s="20" t="s">
        <v>234</v>
      </c>
      <c r="AM17" s="20" t="s">
        <v>67</v>
      </c>
      <c r="AN17" s="24">
        <v>180.24</v>
      </c>
      <c r="AO17" s="25">
        <v>157</v>
      </c>
      <c r="AP17" s="24">
        <f>1.67*SQRT(AO17)</f>
        <v>20.925040023856585</v>
      </c>
      <c r="AQ17" s="28">
        <v>279.73</v>
      </c>
      <c r="AR17" s="29">
        <v>157</v>
      </c>
      <c r="AS17" s="28">
        <f>1.82*SQRT(AR17)</f>
        <v>22.804534636777834</v>
      </c>
      <c r="AT17" s="42"/>
      <c r="AU17" s="42"/>
      <c r="AV17" s="44" t="s">
        <v>749</v>
      </c>
      <c r="AW17" s="44">
        <v>30</v>
      </c>
      <c r="AX17" s="44">
        <v>30</v>
      </c>
    </row>
    <row r="18" spans="1:50" x14ac:dyDescent="0.2">
      <c r="A18" t="s">
        <v>789</v>
      </c>
      <c r="B18" s="8" t="s">
        <v>691</v>
      </c>
      <c r="C18" s="8">
        <v>2020</v>
      </c>
      <c r="D18" s="8" t="s">
        <v>692</v>
      </c>
      <c r="E18" s="36" t="s">
        <v>105</v>
      </c>
      <c r="F18" s="8" t="s">
        <v>106</v>
      </c>
      <c r="G18" s="8" t="s">
        <v>747</v>
      </c>
      <c r="H18" s="8" t="s">
        <v>693</v>
      </c>
      <c r="I18" s="8" t="s">
        <v>694</v>
      </c>
      <c r="J18" s="8" t="s">
        <v>695</v>
      </c>
      <c r="K18" s="8" t="s">
        <v>696</v>
      </c>
      <c r="L18" s="8" t="s">
        <v>56</v>
      </c>
      <c r="M18" s="37" t="s">
        <v>93</v>
      </c>
      <c r="N18" s="37" t="s">
        <v>712</v>
      </c>
      <c r="O18" s="37" t="s">
        <v>58</v>
      </c>
      <c r="P18" s="37" t="s">
        <v>93</v>
      </c>
      <c r="Q18" s="37" t="s">
        <v>93</v>
      </c>
      <c r="R18" s="37" t="s">
        <v>58</v>
      </c>
      <c r="S18" s="36"/>
      <c r="T18" s="39">
        <v>0.76</v>
      </c>
      <c r="U18" s="36" t="s">
        <v>726</v>
      </c>
      <c r="V18" s="39">
        <v>0.92</v>
      </c>
      <c r="W18" s="36"/>
      <c r="X18" s="36"/>
      <c r="Y18" s="8" t="s">
        <v>734</v>
      </c>
      <c r="Z18" s="8"/>
      <c r="AA18" s="8"/>
      <c r="AB18" s="8" t="s">
        <v>395</v>
      </c>
      <c r="AC18" s="8"/>
      <c r="AD18" s="8"/>
      <c r="AE18" s="8"/>
      <c r="AF18" s="8"/>
      <c r="AG18" s="8"/>
      <c r="AH18" s="8"/>
      <c r="AI18" s="8"/>
      <c r="AJ18" s="8"/>
      <c r="AK18" s="13" t="s">
        <v>65</v>
      </c>
      <c r="AL18" s="13" t="s">
        <v>66</v>
      </c>
      <c r="AM18" s="13" t="s">
        <v>67</v>
      </c>
      <c r="AN18" s="42">
        <v>6.7</v>
      </c>
      <c r="AO18" s="43">
        <v>25</v>
      </c>
      <c r="AP18" s="42">
        <v>2.1</v>
      </c>
      <c r="AQ18" s="40">
        <v>2.9</v>
      </c>
      <c r="AR18" s="41">
        <v>25</v>
      </c>
      <c r="AS18" s="40">
        <v>2.4</v>
      </c>
      <c r="AT18" s="42"/>
      <c r="AU18" s="42"/>
      <c r="AV18" s="44" t="s">
        <v>238</v>
      </c>
      <c r="AW18" s="44">
        <v>90</v>
      </c>
      <c r="AX18" s="44">
        <v>35</v>
      </c>
    </row>
    <row r="19" spans="1:50" x14ac:dyDescent="0.2">
      <c r="A19" t="s">
        <v>789</v>
      </c>
      <c r="B19" s="8" t="s">
        <v>691</v>
      </c>
      <c r="C19" s="8">
        <v>2020</v>
      </c>
      <c r="D19" s="8" t="s">
        <v>697</v>
      </c>
      <c r="E19" s="36" t="s">
        <v>88</v>
      </c>
      <c r="F19" s="8" t="s">
        <v>88</v>
      </c>
      <c r="G19" s="8" t="s">
        <v>747</v>
      </c>
      <c r="H19" s="8" t="s">
        <v>693</v>
      </c>
      <c r="I19" s="8" t="s">
        <v>694</v>
      </c>
      <c r="J19" s="8" t="s">
        <v>695</v>
      </c>
      <c r="K19" s="8" t="s">
        <v>696</v>
      </c>
      <c r="L19" s="8" t="s">
        <v>56</v>
      </c>
      <c r="M19" s="37" t="s">
        <v>93</v>
      </c>
      <c r="N19" s="37" t="s">
        <v>712</v>
      </c>
      <c r="O19" s="37" t="s">
        <v>58</v>
      </c>
      <c r="P19" s="37" t="s">
        <v>93</v>
      </c>
      <c r="Q19" s="37" t="s">
        <v>93</v>
      </c>
      <c r="R19" s="37" t="s">
        <v>58</v>
      </c>
      <c r="S19" s="36"/>
      <c r="T19" s="38">
        <v>0.76900000000000002</v>
      </c>
      <c r="U19" s="36" t="s">
        <v>727</v>
      </c>
      <c r="V19" s="38">
        <v>0.80800000000000005</v>
      </c>
      <c r="W19" s="36"/>
      <c r="X19" s="36"/>
      <c r="Y19" s="8" t="s">
        <v>735</v>
      </c>
      <c r="Z19" s="8"/>
      <c r="AA19" s="8"/>
      <c r="AB19" s="8" t="s">
        <v>395</v>
      </c>
      <c r="AC19" s="8"/>
      <c r="AD19" s="8"/>
      <c r="AE19" s="8"/>
      <c r="AF19" s="8"/>
      <c r="AG19" s="8"/>
      <c r="AH19" s="8"/>
      <c r="AI19" s="8"/>
      <c r="AJ19" s="8"/>
      <c r="AK19" s="13" t="s">
        <v>65</v>
      </c>
      <c r="AL19" s="13" t="s">
        <v>66</v>
      </c>
      <c r="AM19" s="13" t="s">
        <v>67</v>
      </c>
      <c r="AN19" s="42">
        <v>6.8</v>
      </c>
      <c r="AO19" s="43">
        <v>26</v>
      </c>
      <c r="AP19" s="42">
        <v>2.2999999999999998</v>
      </c>
      <c r="AQ19" s="40">
        <v>5.5</v>
      </c>
      <c r="AR19" s="41">
        <v>26</v>
      </c>
      <c r="AS19" s="40">
        <v>3.4</v>
      </c>
      <c r="AT19" s="42"/>
      <c r="AU19" s="42"/>
      <c r="AV19" s="44" t="s">
        <v>238</v>
      </c>
      <c r="AW19" s="44">
        <v>90</v>
      </c>
      <c r="AX19" s="44">
        <v>35</v>
      </c>
    </row>
    <row r="20" spans="1:50" x14ac:dyDescent="0.2">
      <c r="A20" t="s">
        <v>789</v>
      </c>
      <c r="B20" s="8" t="s">
        <v>691</v>
      </c>
      <c r="C20" s="8">
        <v>2020</v>
      </c>
      <c r="D20" s="8" t="s">
        <v>692</v>
      </c>
      <c r="E20" s="36" t="s">
        <v>105</v>
      </c>
      <c r="F20" s="8" t="s">
        <v>106</v>
      </c>
      <c r="G20" s="8" t="s">
        <v>747</v>
      </c>
      <c r="H20" s="8" t="s">
        <v>693</v>
      </c>
      <c r="I20" s="8" t="s">
        <v>694</v>
      </c>
      <c r="J20" s="8" t="s">
        <v>695</v>
      </c>
      <c r="K20" s="8" t="s">
        <v>696</v>
      </c>
      <c r="L20" s="8" t="s">
        <v>56</v>
      </c>
      <c r="M20" s="37" t="s">
        <v>93</v>
      </c>
      <c r="N20" s="37" t="s">
        <v>712</v>
      </c>
      <c r="O20" s="37" t="s">
        <v>58</v>
      </c>
      <c r="P20" s="37" t="s">
        <v>93</v>
      </c>
      <c r="Q20" s="37" t="s">
        <v>93</v>
      </c>
      <c r="R20" s="37" t="s">
        <v>58</v>
      </c>
      <c r="S20" s="36"/>
      <c r="T20" s="39">
        <v>0.76</v>
      </c>
      <c r="U20" s="36" t="s">
        <v>726</v>
      </c>
      <c r="V20" s="39">
        <v>0.92</v>
      </c>
      <c r="W20" s="36"/>
      <c r="X20" s="36"/>
      <c r="Y20" s="8" t="s">
        <v>734</v>
      </c>
      <c r="Z20" s="8"/>
      <c r="AA20" s="8"/>
      <c r="AB20" s="8" t="s">
        <v>395</v>
      </c>
      <c r="AC20" s="8"/>
      <c r="AD20" s="8"/>
      <c r="AE20" s="8"/>
      <c r="AF20" s="8"/>
      <c r="AG20" s="8"/>
      <c r="AH20" s="8"/>
      <c r="AI20" s="8"/>
      <c r="AJ20" s="8"/>
      <c r="AK20" s="13" t="s">
        <v>751</v>
      </c>
      <c r="AL20" s="20" t="s">
        <v>750</v>
      </c>
      <c r="AM20" s="20" t="s">
        <v>67</v>
      </c>
      <c r="AN20" s="24">
        <v>4.0999999999999996</v>
      </c>
      <c r="AO20" s="25">
        <v>25</v>
      </c>
      <c r="AP20" s="24">
        <v>3</v>
      </c>
      <c r="AQ20" s="28">
        <v>0.9</v>
      </c>
      <c r="AR20" s="29">
        <v>25</v>
      </c>
      <c r="AS20" s="28">
        <v>1</v>
      </c>
      <c r="AT20" s="24"/>
      <c r="AU20" s="42"/>
      <c r="AV20" s="44" t="s">
        <v>238</v>
      </c>
      <c r="AW20" s="44">
        <v>90</v>
      </c>
      <c r="AX20" s="44">
        <v>35</v>
      </c>
    </row>
    <row r="21" spans="1:50" x14ac:dyDescent="0.2">
      <c r="A21" t="s">
        <v>789</v>
      </c>
      <c r="B21" s="8" t="s">
        <v>691</v>
      </c>
      <c r="C21" s="8">
        <v>2020</v>
      </c>
      <c r="D21" s="8" t="s">
        <v>697</v>
      </c>
      <c r="E21" s="36" t="s">
        <v>88</v>
      </c>
      <c r="F21" s="8" t="s">
        <v>88</v>
      </c>
      <c r="G21" s="8" t="s">
        <v>747</v>
      </c>
      <c r="H21" s="8" t="s">
        <v>693</v>
      </c>
      <c r="I21" s="8" t="s">
        <v>694</v>
      </c>
      <c r="J21" s="8" t="s">
        <v>695</v>
      </c>
      <c r="K21" s="8" t="s">
        <v>696</v>
      </c>
      <c r="L21" s="8" t="s">
        <v>56</v>
      </c>
      <c r="M21" s="37" t="s">
        <v>93</v>
      </c>
      <c r="N21" s="37" t="s">
        <v>712</v>
      </c>
      <c r="O21" s="37" t="s">
        <v>58</v>
      </c>
      <c r="P21" s="37" t="s">
        <v>93</v>
      </c>
      <c r="Q21" s="37" t="s">
        <v>93</v>
      </c>
      <c r="R21" s="37" t="s">
        <v>58</v>
      </c>
      <c r="S21" s="36"/>
      <c r="T21" s="38">
        <v>0.76900000000000002</v>
      </c>
      <c r="U21" s="36" t="s">
        <v>727</v>
      </c>
      <c r="V21" s="38">
        <v>0.80800000000000005</v>
      </c>
      <c r="W21" s="36"/>
      <c r="X21" s="36"/>
      <c r="Y21" s="8" t="s">
        <v>735</v>
      </c>
      <c r="Z21" s="8"/>
      <c r="AA21" s="8"/>
      <c r="AB21" s="8" t="s">
        <v>395</v>
      </c>
      <c r="AC21" s="8"/>
      <c r="AD21" s="8"/>
      <c r="AE21" s="8"/>
      <c r="AF21" s="8"/>
      <c r="AG21" s="8"/>
      <c r="AH21" s="8"/>
      <c r="AI21" s="8"/>
      <c r="AJ21" s="8"/>
      <c r="AK21" s="13" t="s">
        <v>751</v>
      </c>
      <c r="AL21" s="20" t="s">
        <v>750</v>
      </c>
      <c r="AM21" s="20" t="s">
        <v>67</v>
      </c>
      <c r="AN21" s="24">
        <v>4.5999999999999996</v>
      </c>
      <c r="AO21" s="25">
        <v>26</v>
      </c>
      <c r="AP21" s="24">
        <v>2.8</v>
      </c>
      <c r="AQ21" s="28">
        <v>2.9</v>
      </c>
      <c r="AR21" s="29">
        <v>26</v>
      </c>
      <c r="AS21" s="28">
        <v>2.8</v>
      </c>
      <c r="AT21" s="24"/>
      <c r="AU21" s="42"/>
      <c r="AV21" s="44" t="s">
        <v>238</v>
      </c>
      <c r="AW21" s="44">
        <v>90</v>
      </c>
      <c r="AX21" s="44">
        <v>35</v>
      </c>
    </row>
    <row r="22" spans="1:50" x14ac:dyDescent="0.2">
      <c r="A22" t="s">
        <v>789</v>
      </c>
      <c r="B22" s="8" t="s">
        <v>717</v>
      </c>
      <c r="C22" s="8">
        <v>2019</v>
      </c>
      <c r="D22" s="8" t="s">
        <v>118</v>
      </c>
      <c r="E22" s="36" t="s">
        <v>49</v>
      </c>
      <c r="F22" s="8" t="s">
        <v>75</v>
      </c>
      <c r="G22" s="8" t="s">
        <v>175</v>
      </c>
      <c r="H22" s="8" t="s">
        <v>718</v>
      </c>
      <c r="I22" s="8" t="s">
        <v>719</v>
      </c>
      <c r="J22" s="8" t="s">
        <v>54</v>
      </c>
      <c r="K22" s="8" t="s">
        <v>121</v>
      </c>
      <c r="L22" s="8" t="s">
        <v>56</v>
      </c>
      <c r="M22" s="37" t="s">
        <v>93</v>
      </c>
      <c r="N22" s="37" t="s">
        <v>57</v>
      </c>
      <c r="O22" s="37" t="s">
        <v>57</v>
      </c>
      <c r="P22" s="37" t="s">
        <v>57</v>
      </c>
      <c r="Q22" s="37" t="s">
        <v>58</v>
      </c>
      <c r="R22" s="37" t="s">
        <v>57</v>
      </c>
      <c r="S22" s="36"/>
      <c r="T22" s="38">
        <v>0.71430000000000005</v>
      </c>
      <c r="U22" s="36" t="s">
        <v>732</v>
      </c>
      <c r="V22" s="38">
        <v>0.55359999999999998</v>
      </c>
      <c r="W22" s="36"/>
      <c r="X22" s="36"/>
      <c r="Y22" s="8" t="s">
        <v>743</v>
      </c>
      <c r="Z22" s="8"/>
      <c r="AA22" s="8"/>
      <c r="AB22" s="8" t="s">
        <v>395</v>
      </c>
      <c r="AC22" s="8"/>
      <c r="AD22" s="8"/>
      <c r="AE22" s="8"/>
      <c r="AF22" s="8"/>
      <c r="AG22" s="8"/>
      <c r="AH22" s="8"/>
      <c r="AI22" s="8"/>
      <c r="AJ22" s="8"/>
      <c r="AK22" s="20" t="s">
        <v>317</v>
      </c>
      <c r="AL22" s="20" t="s">
        <v>764</v>
      </c>
      <c r="AM22" s="20" t="s">
        <v>67</v>
      </c>
      <c r="AN22" s="24">
        <v>13.93</v>
      </c>
      <c r="AO22" s="25">
        <v>56</v>
      </c>
      <c r="AP22" s="24">
        <v>3.45</v>
      </c>
      <c r="AQ22" s="28">
        <v>10.19</v>
      </c>
      <c r="AR22" s="29">
        <v>47</v>
      </c>
      <c r="AS22" s="28">
        <v>2.78</v>
      </c>
      <c r="AT22" s="42"/>
      <c r="AU22" s="42"/>
      <c r="AV22" s="44" t="s">
        <v>773</v>
      </c>
      <c r="AW22" s="44">
        <v>210</v>
      </c>
      <c r="AX22" s="44">
        <v>150</v>
      </c>
    </row>
    <row r="23" spans="1:50" x14ac:dyDescent="0.2">
      <c r="A23" t="s">
        <v>789</v>
      </c>
      <c r="B23" s="8" t="s">
        <v>717</v>
      </c>
      <c r="C23" s="8">
        <v>2019</v>
      </c>
      <c r="D23" s="8" t="s">
        <v>548</v>
      </c>
      <c r="E23" s="36" t="s">
        <v>88</v>
      </c>
      <c r="F23" s="8" t="s">
        <v>88</v>
      </c>
      <c r="G23" s="8" t="s">
        <v>175</v>
      </c>
      <c r="H23" s="8" t="s">
        <v>718</v>
      </c>
      <c r="I23" s="8" t="s">
        <v>719</v>
      </c>
      <c r="J23" s="8" t="s">
        <v>54</v>
      </c>
      <c r="K23" s="8" t="s">
        <v>121</v>
      </c>
      <c r="L23" s="8" t="s">
        <v>56</v>
      </c>
      <c r="M23" s="37" t="s">
        <v>93</v>
      </c>
      <c r="N23" s="37" t="s">
        <v>57</v>
      </c>
      <c r="O23" s="37" t="s">
        <v>57</v>
      </c>
      <c r="P23" s="37" t="s">
        <v>57</v>
      </c>
      <c r="Q23" s="37" t="s">
        <v>58</v>
      </c>
      <c r="R23" s="37" t="s">
        <v>57</v>
      </c>
      <c r="S23" s="36"/>
      <c r="T23" s="38">
        <v>0.63390000000000002</v>
      </c>
      <c r="U23" s="36" t="s">
        <v>733</v>
      </c>
      <c r="V23" s="38">
        <v>0.69640000000000002</v>
      </c>
      <c r="W23" s="36"/>
      <c r="X23" s="36"/>
      <c r="Y23" s="8" t="s">
        <v>744</v>
      </c>
      <c r="Z23" s="8"/>
      <c r="AA23" s="8"/>
      <c r="AB23" s="8" t="s">
        <v>395</v>
      </c>
      <c r="AC23" s="8"/>
      <c r="AD23" s="8"/>
      <c r="AE23" s="8"/>
      <c r="AF23" s="8"/>
      <c r="AG23" s="8"/>
      <c r="AH23" s="8"/>
      <c r="AI23" s="8"/>
      <c r="AJ23" s="8"/>
      <c r="AK23" s="20" t="s">
        <v>317</v>
      </c>
      <c r="AL23" s="20" t="s">
        <v>764</v>
      </c>
      <c r="AM23" s="20" t="s">
        <v>67</v>
      </c>
      <c r="AN23" s="24">
        <v>13.21</v>
      </c>
      <c r="AO23" s="25">
        <v>56</v>
      </c>
      <c r="AP23" s="24">
        <v>3.11</v>
      </c>
      <c r="AQ23" s="28">
        <v>12.21</v>
      </c>
      <c r="AR23" s="29">
        <v>35</v>
      </c>
      <c r="AS23" s="28">
        <v>3.56</v>
      </c>
      <c r="AT23" s="42"/>
      <c r="AU23" s="42"/>
      <c r="AV23" s="44" t="s">
        <v>773</v>
      </c>
      <c r="AW23" s="44">
        <v>210</v>
      </c>
      <c r="AX23" s="44">
        <v>150</v>
      </c>
    </row>
    <row r="24" spans="1:50" x14ac:dyDescent="0.2">
      <c r="A24" t="s">
        <v>789</v>
      </c>
      <c r="B24" s="8" t="s">
        <v>717</v>
      </c>
      <c r="C24" s="8">
        <v>2019</v>
      </c>
      <c r="D24" s="8" t="s">
        <v>118</v>
      </c>
      <c r="E24" s="36" t="s">
        <v>49</v>
      </c>
      <c r="F24" s="8" t="s">
        <v>75</v>
      </c>
      <c r="G24" s="8" t="s">
        <v>175</v>
      </c>
      <c r="H24" s="8" t="s">
        <v>718</v>
      </c>
      <c r="I24" s="8" t="s">
        <v>719</v>
      </c>
      <c r="J24" s="8" t="s">
        <v>54</v>
      </c>
      <c r="K24" s="8" t="s">
        <v>121</v>
      </c>
      <c r="L24" s="8" t="s">
        <v>56</v>
      </c>
      <c r="M24" s="37" t="s">
        <v>93</v>
      </c>
      <c r="N24" s="37" t="s">
        <v>57</v>
      </c>
      <c r="O24" s="37" t="s">
        <v>57</v>
      </c>
      <c r="P24" s="37" t="s">
        <v>57</v>
      </c>
      <c r="Q24" s="37" t="s">
        <v>58</v>
      </c>
      <c r="R24" s="37" t="s">
        <v>57</v>
      </c>
      <c r="S24" s="36"/>
      <c r="T24" s="38">
        <v>0.71430000000000005</v>
      </c>
      <c r="U24" s="36" t="s">
        <v>732</v>
      </c>
      <c r="V24" s="38">
        <v>0.55359999999999998</v>
      </c>
      <c r="W24" s="36"/>
      <c r="X24" s="36"/>
      <c r="Y24" s="8" t="s">
        <v>743</v>
      </c>
      <c r="Z24" s="8"/>
      <c r="AA24" s="8"/>
      <c r="AB24" s="8" t="s">
        <v>395</v>
      </c>
      <c r="AC24" s="8"/>
      <c r="AD24" s="8"/>
      <c r="AE24" s="8"/>
      <c r="AF24" s="8"/>
      <c r="AG24" s="8"/>
      <c r="AH24" s="8"/>
      <c r="AI24" s="8"/>
      <c r="AJ24" s="8"/>
      <c r="AK24" s="20" t="s">
        <v>317</v>
      </c>
      <c r="AL24" s="20" t="s">
        <v>764</v>
      </c>
      <c r="AM24" s="20" t="s">
        <v>67</v>
      </c>
      <c r="AN24" s="24">
        <v>13.93</v>
      </c>
      <c r="AO24" s="25">
        <v>56</v>
      </c>
      <c r="AP24" s="24">
        <v>3.45</v>
      </c>
      <c r="AQ24" s="28">
        <v>9.4</v>
      </c>
      <c r="AR24" s="29">
        <v>54</v>
      </c>
      <c r="AS24" s="28">
        <v>3.39</v>
      </c>
      <c r="AT24" s="42"/>
      <c r="AU24" s="42"/>
      <c r="AV24" s="44" t="s">
        <v>772</v>
      </c>
      <c r="AW24" s="44">
        <v>150</v>
      </c>
      <c r="AX24" s="44">
        <v>150</v>
      </c>
    </row>
    <row r="25" spans="1:50" x14ac:dyDescent="0.2">
      <c r="A25" t="s">
        <v>789</v>
      </c>
      <c r="B25" s="8" t="s">
        <v>717</v>
      </c>
      <c r="C25" s="8">
        <v>2019</v>
      </c>
      <c r="D25" s="8" t="s">
        <v>548</v>
      </c>
      <c r="E25" s="36" t="s">
        <v>88</v>
      </c>
      <c r="F25" s="8" t="s">
        <v>88</v>
      </c>
      <c r="G25" s="8" t="s">
        <v>175</v>
      </c>
      <c r="H25" s="8" t="s">
        <v>718</v>
      </c>
      <c r="I25" s="8" t="s">
        <v>719</v>
      </c>
      <c r="J25" s="8" t="s">
        <v>54</v>
      </c>
      <c r="K25" s="8" t="s">
        <v>121</v>
      </c>
      <c r="L25" s="8" t="s">
        <v>56</v>
      </c>
      <c r="M25" s="37" t="s">
        <v>93</v>
      </c>
      <c r="N25" s="37" t="s">
        <v>57</v>
      </c>
      <c r="O25" s="37" t="s">
        <v>57</v>
      </c>
      <c r="P25" s="37" t="s">
        <v>57</v>
      </c>
      <c r="Q25" s="37" t="s">
        <v>58</v>
      </c>
      <c r="R25" s="37" t="s">
        <v>57</v>
      </c>
      <c r="S25" s="36"/>
      <c r="T25" s="38">
        <v>0.63390000000000002</v>
      </c>
      <c r="U25" s="36" t="s">
        <v>733</v>
      </c>
      <c r="V25" s="38">
        <v>0.69640000000000002</v>
      </c>
      <c r="W25" s="36"/>
      <c r="X25" s="36"/>
      <c r="Y25" s="8" t="s">
        <v>744</v>
      </c>
      <c r="Z25" s="8"/>
      <c r="AA25" s="8"/>
      <c r="AB25" s="8" t="s">
        <v>395</v>
      </c>
      <c r="AC25" s="8"/>
      <c r="AD25" s="8"/>
      <c r="AE25" s="8"/>
      <c r="AF25" s="8"/>
      <c r="AG25" s="8"/>
      <c r="AH25" s="8"/>
      <c r="AI25" s="8"/>
      <c r="AJ25" s="8"/>
      <c r="AK25" s="20" t="s">
        <v>317</v>
      </c>
      <c r="AL25" s="20" t="s">
        <v>764</v>
      </c>
      <c r="AM25" s="20" t="s">
        <v>67</v>
      </c>
      <c r="AN25" s="24">
        <v>13.21</v>
      </c>
      <c r="AO25" s="25">
        <v>56</v>
      </c>
      <c r="AP25" s="24">
        <v>3.11</v>
      </c>
      <c r="AQ25" s="28">
        <v>11.96</v>
      </c>
      <c r="AR25" s="29">
        <v>45</v>
      </c>
      <c r="AS25" s="28">
        <v>3.4</v>
      </c>
      <c r="AT25" s="42"/>
      <c r="AU25" s="42"/>
      <c r="AV25" s="44" t="s">
        <v>772</v>
      </c>
      <c r="AW25" s="44">
        <v>150</v>
      </c>
      <c r="AX25" s="44">
        <v>150</v>
      </c>
    </row>
    <row r="26" spans="1:50" x14ac:dyDescent="0.2">
      <c r="A26" t="s">
        <v>789</v>
      </c>
      <c r="B26" s="8" t="s">
        <v>704</v>
      </c>
      <c r="C26" s="8">
        <v>2019</v>
      </c>
      <c r="D26" s="8" t="s">
        <v>118</v>
      </c>
      <c r="E26" s="36" t="s">
        <v>191</v>
      </c>
      <c r="F26" s="8" t="s">
        <v>192</v>
      </c>
      <c r="G26" s="8" t="s">
        <v>258</v>
      </c>
      <c r="H26" s="8" t="s">
        <v>705</v>
      </c>
      <c r="I26" s="8" t="s">
        <v>706</v>
      </c>
      <c r="J26" s="8" t="s">
        <v>706</v>
      </c>
      <c r="K26" s="8" t="s">
        <v>707</v>
      </c>
      <c r="L26" s="8" t="s">
        <v>56</v>
      </c>
      <c r="M26" s="37" t="s">
        <v>57</v>
      </c>
      <c r="N26" s="37" t="s">
        <v>57</v>
      </c>
      <c r="O26" s="37" t="s">
        <v>93</v>
      </c>
      <c r="P26" s="37" t="s">
        <v>57</v>
      </c>
      <c r="Q26" s="37" t="s">
        <v>57</v>
      </c>
      <c r="R26" s="37" t="s">
        <v>57</v>
      </c>
      <c r="S26" s="36" t="s">
        <v>722</v>
      </c>
      <c r="T26" s="38">
        <v>0.76700000000000002</v>
      </c>
      <c r="U26" s="36" t="s">
        <v>728</v>
      </c>
      <c r="V26" s="38">
        <v>0.83330000000000004</v>
      </c>
      <c r="W26" s="36"/>
      <c r="X26" s="36"/>
      <c r="Y26" s="8" t="s">
        <v>737</v>
      </c>
      <c r="Z26" s="8"/>
      <c r="AA26" s="8"/>
      <c r="AB26" s="8" t="s">
        <v>395</v>
      </c>
      <c r="AC26" s="8"/>
      <c r="AD26" s="8"/>
      <c r="AE26" s="8"/>
      <c r="AF26" s="8"/>
      <c r="AG26" s="8"/>
      <c r="AH26" s="8"/>
      <c r="AI26" s="8"/>
      <c r="AJ26" s="8"/>
      <c r="AK26" s="20" t="s">
        <v>765</v>
      </c>
      <c r="AL26" s="20" t="s">
        <v>763</v>
      </c>
      <c r="AM26" s="20" t="s">
        <v>67</v>
      </c>
      <c r="AN26" s="24">
        <v>10.06</v>
      </c>
      <c r="AO26" s="25">
        <v>30</v>
      </c>
      <c r="AP26" s="24">
        <v>8.89</v>
      </c>
      <c r="AQ26" s="28">
        <v>6.18</v>
      </c>
      <c r="AR26" s="29">
        <v>26</v>
      </c>
      <c r="AS26" s="28">
        <v>7.26</v>
      </c>
      <c r="AT26" s="24"/>
      <c r="AU26" s="42"/>
      <c r="AV26" s="44" t="s">
        <v>748</v>
      </c>
      <c r="AW26" s="44">
        <v>112</v>
      </c>
      <c r="AX26" s="44">
        <v>112</v>
      </c>
    </row>
    <row r="27" spans="1:50" x14ac:dyDescent="0.2">
      <c r="A27" t="s">
        <v>789</v>
      </c>
      <c r="B27" s="8" t="s">
        <v>704</v>
      </c>
      <c r="C27" s="8">
        <v>2019</v>
      </c>
      <c r="D27" s="8" t="s">
        <v>87</v>
      </c>
      <c r="E27" s="36" t="s">
        <v>88</v>
      </c>
      <c r="F27" s="8" t="s">
        <v>88</v>
      </c>
      <c r="G27" s="8" t="s">
        <v>258</v>
      </c>
      <c r="H27" s="8" t="s">
        <v>705</v>
      </c>
      <c r="I27" s="8" t="s">
        <v>706</v>
      </c>
      <c r="J27" s="8" t="s">
        <v>706</v>
      </c>
      <c r="K27" s="8" t="s">
        <v>707</v>
      </c>
      <c r="L27" s="8" t="s">
        <v>56</v>
      </c>
      <c r="M27" s="37" t="s">
        <v>57</v>
      </c>
      <c r="N27" s="37" t="s">
        <v>57</v>
      </c>
      <c r="O27" s="37" t="s">
        <v>93</v>
      </c>
      <c r="P27" s="37" t="s">
        <v>57</v>
      </c>
      <c r="Q27" s="37" t="s">
        <v>57</v>
      </c>
      <c r="R27" s="37" t="s">
        <v>57</v>
      </c>
      <c r="S27" s="36" t="s">
        <v>723</v>
      </c>
      <c r="T27" s="38">
        <v>0.67700000000000005</v>
      </c>
      <c r="U27" s="36" t="s">
        <v>729</v>
      </c>
      <c r="V27" s="38">
        <v>0.74229999999999996</v>
      </c>
      <c r="W27" s="36"/>
      <c r="X27" s="36"/>
      <c r="Y27" s="8" t="s">
        <v>738</v>
      </c>
      <c r="Z27" s="8"/>
      <c r="AA27" s="8"/>
      <c r="AB27" s="8" t="s">
        <v>395</v>
      </c>
      <c r="AC27" s="8"/>
      <c r="AD27" s="8"/>
      <c r="AE27" s="8"/>
      <c r="AF27" s="8"/>
      <c r="AG27" s="8"/>
      <c r="AH27" s="8"/>
      <c r="AI27" s="8"/>
      <c r="AJ27" s="8"/>
      <c r="AK27" s="20" t="s">
        <v>765</v>
      </c>
      <c r="AL27" s="20" t="s">
        <v>763</v>
      </c>
      <c r="AM27" s="20" t="s">
        <v>67</v>
      </c>
      <c r="AN27" s="24">
        <v>12.23</v>
      </c>
      <c r="AO27" s="25">
        <v>31</v>
      </c>
      <c r="AP27" s="24">
        <v>8.0500000000000007</v>
      </c>
      <c r="AQ27" s="28">
        <v>15.47</v>
      </c>
      <c r="AR27" s="29">
        <v>28</v>
      </c>
      <c r="AS27" s="28">
        <v>9.2799999999999994</v>
      </c>
      <c r="AT27" s="24"/>
      <c r="AU27" s="42"/>
      <c r="AV27" s="44" t="s">
        <v>748</v>
      </c>
      <c r="AW27" s="44">
        <v>112</v>
      </c>
      <c r="AX27" s="44">
        <v>112</v>
      </c>
    </row>
    <row r="28" spans="1:50" x14ac:dyDescent="0.2">
      <c r="A28" t="s">
        <v>789</v>
      </c>
      <c r="B28" s="8" t="s">
        <v>704</v>
      </c>
      <c r="C28" s="8">
        <v>2019</v>
      </c>
      <c r="D28" s="8" t="s">
        <v>118</v>
      </c>
      <c r="E28" s="36" t="s">
        <v>191</v>
      </c>
      <c r="F28" s="8" t="s">
        <v>192</v>
      </c>
      <c r="G28" s="8" t="s">
        <v>258</v>
      </c>
      <c r="H28" s="8" t="s">
        <v>705</v>
      </c>
      <c r="I28" s="8" t="s">
        <v>706</v>
      </c>
      <c r="J28" s="8" t="s">
        <v>706</v>
      </c>
      <c r="K28" s="8" t="s">
        <v>707</v>
      </c>
      <c r="L28" s="8" t="s">
        <v>56</v>
      </c>
      <c r="M28" s="37" t="s">
        <v>57</v>
      </c>
      <c r="N28" s="37" t="s">
        <v>57</v>
      </c>
      <c r="O28" s="37" t="s">
        <v>93</v>
      </c>
      <c r="P28" s="37" t="s">
        <v>57</v>
      </c>
      <c r="Q28" s="37" t="s">
        <v>57</v>
      </c>
      <c r="R28" s="37" t="s">
        <v>57</v>
      </c>
      <c r="S28" s="36" t="s">
        <v>722</v>
      </c>
      <c r="T28" s="38">
        <v>0.76700000000000002</v>
      </c>
      <c r="U28" s="36" t="s">
        <v>728</v>
      </c>
      <c r="V28" s="38">
        <v>0.83330000000000004</v>
      </c>
      <c r="W28" s="36"/>
      <c r="X28" s="36"/>
      <c r="Y28" s="8" t="s">
        <v>737</v>
      </c>
      <c r="Z28" s="8"/>
      <c r="AA28" s="8"/>
      <c r="AB28" s="8" t="s">
        <v>395</v>
      </c>
      <c r="AC28" s="8"/>
      <c r="AD28" s="8"/>
      <c r="AE28" s="8"/>
      <c r="AF28" s="8"/>
      <c r="AG28" s="8"/>
      <c r="AH28" s="8"/>
      <c r="AI28" s="8"/>
      <c r="AJ28" s="8"/>
      <c r="AK28" s="13" t="s">
        <v>65</v>
      </c>
      <c r="AL28" s="13" t="s">
        <v>66</v>
      </c>
      <c r="AM28" s="13" t="s">
        <v>67</v>
      </c>
      <c r="AN28" s="42">
        <v>31.43</v>
      </c>
      <c r="AO28" s="43">
        <v>30</v>
      </c>
      <c r="AP28" s="42">
        <v>18.18</v>
      </c>
      <c r="AQ28" s="40">
        <v>27.87</v>
      </c>
      <c r="AR28" s="41">
        <v>26</v>
      </c>
      <c r="AS28" s="40">
        <v>18.39</v>
      </c>
      <c r="AT28" s="42"/>
      <c r="AU28" s="42"/>
      <c r="AV28" s="44" t="s">
        <v>748</v>
      </c>
      <c r="AW28" s="44">
        <v>112</v>
      </c>
      <c r="AX28" s="44">
        <v>112</v>
      </c>
    </row>
    <row r="29" spans="1:50" x14ac:dyDescent="0.2">
      <c r="A29" t="s">
        <v>789</v>
      </c>
      <c r="B29" s="8" t="s">
        <v>704</v>
      </c>
      <c r="C29" s="8">
        <v>2019</v>
      </c>
      <c r="D29" s="8" t="s">
        <v>87</v>
      </c>
      <c r="E29" s="36" t="s">
        <v>88</v>
      </c>
      <c r="F29" s="8" t="s">
        <v>88</v>
      </c>
      <c r="G29" s="8" t="s">
        <v>258</v>
      </c>
      <c r="H29" s="8" t="s">
        <v>705</v>
      </c>
      <c r="I29" s="8" t="s">
        <v>706</v>
      </c>
      <c r="J29" s="8" t="s">
        <v>706</v>
      </c>
      <c r="K29" s="8" t="s">
        <v>707</v>
      </c>
      <c r="L29" s="8" t="s">
        <v>56</v>
      </c>
      <c r="M29" s="37" t="s">
        <v>57</v>
      </c>
      <c r="N29" s="37" t="s">
        <v>57</v>
      </c>
      <c r="O29" s="37" t="s">
        <v>93</v>
      </c>
      <c r="P29" s="37" t="s">
        <v>57</v>
      </c>
      <c r="Q29" s="37" t="s">
        <v>57</v>
      </c>
      <c r="R29" s="37" t="s">
        <v>57</v>
      </c>
      <c r="S29" s="36" t="s">
        <v>723</v>
      </c>
      <c r="T29" s="38">
        <v>0.67700000000000005</v>
      </c>
      <c r="U29" s="36" t="s">
        <v>729</v>
      </c>
      <c r="V29" s="38">
        <v>0.74229999999999996</v>
      </c>
      <c r="W29" s="36"/>
      <c r="X29" s="36"/>
      <c r="Y29" s="8" t="s">
        <v>738</v>
      </c>
      <c r="Z29" s="8"/>
      <c r="AA29" s="8"/>
      <c r="AB29" s="8" t="s">
        <v>395</v>
      </c>
      <c r="AC29" s="8"/>
      <c r="AD29" s="8"/>
      <c r="AE29" s="8"/>
      <c r="AF29" s="8"/>
      <c r="AG29" s="8"/>
      <c r="AH29" s="8"/>
      <c r="AI29" s="8"/>
      <c r="AJ29" s="8"/>
      <c r="AK29" s="13" t="s">
        <v>65</v>
      </c>
      <c r="AL29" s="13" t="s">
        <v>66</v>
      </c>
      <c r="AM29" s="13" t="s">
        <v>67</v>
      </c>
      <c r="AN29" s="42">
        <v>40.17</v>
      </c>
      <c r="AO29" s="43">
        <v>31</v>
      </c>
      <c r="AP29" s="42">
        <v>18.100000000000001</v>
      </c>
      <c r="AQ29" s="40">
        <v>40.700000000000003</v>
      </c>
      <c r="AR29" s="41">
        <v>28</v>
      </c>
      <c r="AS29" s="40">
        <v>17.66</v>
      </c>
      <c r="AT29" s="42"/>
      <c r="AU29" s="42"/>
      <c r="AV29" s="44" t="s">
        <v>748</v>
      </c>
      <c r="AW29" s="44">
        <v>112</v>
      </c>
      <c r="AX29" s="44">
        <v>112</v>
      </c>
    </row>
    <row r="30" spans="1:50" x14ac:dyDescent="0.2">
      <c r="A30" t="s">
        <v>789</v>
      </c>
      <c r="B30" s="8" t="s">
        <v>704</v>
      </c>
      <c r="C30" s="8">
        <v>2019</v>
      </c>
      <c r="D30" s="8" t="s">
        <v>118</v>
      </c>
      <c r="E30" s="36" t="s">
        <v>191</v>
      </c>
      <c r="F30" s="8" t="s">
        <v>192</v>
      </c>
      <c r="G30" s="8" t="s">
        <v>258</v>
      </c>
      <c r="H30" s="8" t="s">
        <v>705</v>
      </c>
      <c r="I30" s="8" t="s">
        <v>706</v>
      </c>
      <c r="J30" s="8" t="s">
        <v>706</v>
      </c>
      <c r="K30" s="8" t="s">
        <v>707</v>
      </c>
      <c r="L30" s="8" t="s">
        <v>56</v>
      </c>
      <c r="M30" s="37" t="s">
        <v>57</v>
      </c>
      <c r="N30" s="37" t="s">
        <v>57</v>
      </c>
      <c r="O30" s="37" t="s">
        <v>93</v>
      </c>
      <c r="P30" s="37" t="s">
        <v>57</v>
      </c>
      <c r="Q30" s="37" t="s">
        <v>57</v>
      </c>
      <c r="R30" s="37" t="s">
        <v>57</v>
      </c>
      <c r="S30" s="36" t="s">
        <v>722</v>
      </c>
      <c r="T30" s="38">
        <v>0.76700000000000002</v>
      </c>
      <c r="U30" s="36" t="s">
        <v>728</v>
      </c>
      <c r="V30" s="38">
        <v>0.83330000000000004</v>
      </c>
      <c r="W30" s="36"/>
      <c r="X30" s="36"/>
      <c r="Y30" s="8" t="s">
        <v>737</v>
      </c>
      <c r="Z30" s="8"/>
      <c r="AA30" s="8"/>
      <c r="AB30" s="8" t="s">
        <v>395</v>
      </c>
      <c r="AC30" s="8"/>
      <c r="AD30" s="8"/>
      <c r="AE30" s="8"/>
      <c r="AF30" s="8"/>
      <c r="AG30" s="8"/>
      <c r="AH30" s="8"/>
      <c r="AI30" s="8"/>
      <c r="AJ30" s="8"/>
      <c r="AK30" s="20" t="s">
        <v>317</v>
      </c>
      <c r="AL30" s="20" t="s">
        <v>762</v>
      </c>
      <c r="AM30" s="20" t="s">
        <v>67</v>
      </c>
      <c r="AN30" s="24">
        <v>11.62</v>
      </c>
      <c r="AO30" s="25">
        <v>30</v>
      </c>
      <c r="AP30" s="24">
        <v>8.34</v>
      </c>
      <c r="AQ30" s="28">
        <v>9.68</v>
      </c>
      <c r="AR30" s="29">
        <v>26</v>
      </c>
      <c r="AS30" s="28">
        <v>8.4499999999999993</v>
      </c>
      <c r="AT30" s="24"/>
      <c r="AU30" s="42"/>
      <c r="AV30" s="44" t="s">
        <v>748</v>
      </c>
      <c r="AW30" s="44">
        <v>112</v>
      </c>
      <c r="AX30" s="44">
        <v>112</v>
      </c>
    </row>
    <row r="31" spans="1:50" x14ac:dyDescent="0.2">
      <c r="A31" t="s">
        <v>789</v>
      </c>
      <c r="B31" s="8" t="s">
        <v>704</v>
      </c>
      <c r="C31" s="8">
        <v>2019</v>
      </c>
      <c r="D31" s="8" t="s">
        <v>87</v>
      </c>
      <c r="E31" s="36" t="s">
        <v>88</v>
      </c>
      <c r="F31" s="8" t="s">
        <v>88</v>
      </c>
      <c r="G31" s="8" t="s">
        <v>258</v>
      </c>
      <c r="H31" s="8" t="s">
        <v>705</v>
      </c>
      <c r="I31" s="8" t="s">
        <v>706</v>
      </c>
      <c r="J31" s="8" t="s">
        <v>706</v>
      </c>
      <c r="K31" s="8" t="s">
        <v>707</v>
      </c>
      <c r="L31" s="8" t="s">
        <v>56</v>
      </c>
      <c r="M31" s="37" t="s">
        <v>57</v>
      </c>
      <c r="N31" s="37" t="s">
        <v>57</v>
      </c>
      <c r="O31" s="37" t="s">
        <v>93</v>
      </c>
      <c r="P31" s="37" t="s">
        <v>57</v>
      </c>
      <c r="Q31" s="37" t="s">
        <v>57</v>
      </c>
      <c r="R31" s="37" t="s">
        <v>57</v>
      </c>
      <c r="S31" s="36" t="s">
        <v>723</v>
      </c>
      <c r="T31" s="38">
        <v>0.67700000000000005</v>
      </c>
      <c r="U31" s="36" t="s">
        <v>729</v>
      </c>
      <c r="V31" s="38">
        <v>0.74229999999999996</v>
      </c>
      <c r="W31" s="36"/>
      <c r="X31" s="36"/>
      <c r="Y31" s="8" t="s">
        <v>738</v>
      </c>
      <c r="Z31" s="8"/>
      <c r="AA31" s="8"/>
      <c r="AB31" s="8" t="s">
        <v>395</v>
      </c>
      <c r="AC31" s="8"/>
      <c r="AD31" s="8"/>
      <c r="AE31" s="8"/>
      <c r="AF31" s="8"/>
      <c r="AG31" s="8"/>
      <c r="AH31" s="8"/>
      <c r="AI31" s="8"/>
      <c r="AJ31" s="8"/>
      <c r="AK31" s="20" t="s">
        <v>317</v>
      </c>
      <c r="AL31" s="20" t="s">
        <v>762</v>
      </c>
      <c r="AM31" s="20" t="s">
        <v>67</v>
      </c>
      <c r="AN31" s="24">
        <v>15.23</v>
      </c>
      <c r="AO31" s="25">
        <v>31</v>
      </c>
      <c r="AP31" s="24">
        <v>7.7</v>
      </c>
      <c r="AQ31" s="28">
        <v>20.64</v>
      </c>
      <c r="AR31" s="29">
        <v>28</v>
      </c>
      <c r="AS31" s="28">
        <v>8.94</v>
      </c>
      <c r="AT31" s="24"/>
      <c r="AU31" s="42"/>
      <c r="AV31" s="44" t="s">
        <v>748</v>
      </c>
      <c r="AW31" s="44">
        <v>112</v>
      </c>
      <c r="AX31" s="44">
        <v>112</v>
      </c>
    </row>
    <row r="32" spans="1:50" x14ac:dyDescent="0.2">
      <c r="A32" t="s">
        <v>789</v>
      </c>
      <c r="B32" s="8" t="s">
        <v>704</v>
      </c>
      <c r="C32" s="8">
        <v>2019</v>
      </c>
      <c r="D32" s="8" t="s">
        <v>118</v>
      </c>
      <c r="E32" s="36" t="s">
        <v>191</v>
      </c>
      <c r="F32" s="8" t="s">
        <v>192</v>
      </c>
      <c r="G32" s="8" t="s">
        <v>258</v>
      </c>
      <c r="H32" s="8" t="s">
        <v>705</v>
      </c>
      <c r="I32" s="8" t="s">
        <v>706</v>
      </c>
      <c r="J32" s="8" t="s">
        <v>706</v>
      </c>
      <c r="K32" s="8" t="s">
        <v>707</v>
      </c>
      <c r="L32" s="8" t="s">
        <v>56</v>
      </c>
      <c r="M32" s="37" t="s">
        <v>57</v>
      </c>
      <c r="N32" s="37" t="s">
        <v>57</v>
      </c>
      <c r="O32" s="37" t="s">
        <v>93</v>
      </c>
      <c r="P32" s="37" t="s">
        <v>57</v>
      </c>
      <c r="Q32" s="37" t="s">
        <v>57</v>
      </c>
      <c r="R32" s="37" t="s">
        <v>57</v>
      </c>
      <c r="S32" s="36" t="s">
        <v>722</v>
      </c>
      <c r="T32" s="38">
        <v>0.76700000000000002</v>
      </c>
      <c r="U32" s="36" t="s">
        <v>728</v>
      </c>
      <c r="V32" s="38">
        <v>0.83330000000000004</v>
      </c>
      <c r="W32" s="36"/>
      <c r="X32" s="36"/>
      <c r="Y32" s="8" t="s">
        <v>737</v>
      </c>
      <c r="Z32" s="8"/>
      <c r="AA32" s="8"/>
      <c r="AB32" s="8" t="s">
        <v>395</v>
      </c>
      <c r="AC32" s="8"/>
      <c r="AD32" s="8"/>
      <c r="AE32" s="8"/>
      <c r="AF32" s="8"/>
      <c r="AG32" s="8"/>
      <c r="AH32" s="8"/>
      <c r="AI32" s="8"/>
      <c r="AJ32" s="8"/>
      <c r="AK32" s="20" t="s">
        <v>165</v>
      </c>
      <c r="AL32" s="20" t="s">
        <v>776</v>
      </c>
      <c r="AM32" s="20" t="s">
        <v>67</v>
      </c>
      <c r="AN32" s="24">
        <v>11.87</v>
      </c>
      <c r="AO32" s="25">
        <v>30</v>
      </c>
      <c r="AP32" s="24">
        <v>9.73</v>
      </c>
      <c r="AQ32" s="28">
        <v>10.5</v>
      </c>
      <c r="AR32" s="29">
        <v>26</v>
      </c>
      <c r="AS32" s="28">
        <v>8.6999999999999993</v>
      </c>
      <c r="AT32" s="24"/>
      <c r="AU32" s="42"/>
      <c r="AV32" s="44" t="s">
        <v>748</v>
      </c>
      <c r="AW32" s="44">
        <v>112</v>
      </c>
      <c r="AX32" s="44">
        <v>112</v>
      </c>
    </row>
    <row r="33" spans="1:50" x14ac:dyDescent="0.2">
      <c r="A33" t="s">
        <v>789</v>
      </c>
      <c r="B33" s="8" t="s">
        <v>704</v>
      </c>
      <c r="C33" s="8">
        <v>2019</v>
      </c>
      <c r="D33" s="8" t="s">
        <v>87</v>
      </c>
      <c r="E33" s="36" t="s">
        <v>88</v>
      </c>
      <c r="F33" s="8" t="s">
        <v>88</v>
      </c>
      <c r="G33" s="8" t="s">
        <v>258</v>
      </c>
      <c r="H33" s="8" t="s">
        <v>705</v>
      </c>
      <c r="I33" s="8" t="s">
        <v>706</v>
      </c>
      <c r="J33" s="8" t="s">
        <v>706</v>
      </c>
      <c r="K33" s="8" t="s">
        <v>707</v>
      </c>
      <c r="L33" s="8" t="s">
        <v>56</v>
      </c>
      <c r="M33" s="37" t="s">
        <v>57</v>
      </c>
      <c r="N33" s="37" t="s">
        <v>57</v>
      </c>
      <c r="O33" s="37" t="s">
        <v>93</v>
      </c>
      <c r="P33" s="37" t="s">
        <v>57</v>
      </c>
      <c r="Q33" s="37" t="s">
        <v>57</v>
      </c>
      <c r="R33" s="37" t="s">
        <v>57</v>
      </c>
      <c r="S33" s="36" t="s">
        <v>723</v>
      </c>
      <c r="T33" s="38">
        <v>0.67700000000000005</v>
      </c>
      <c r="U33" s="36" t="s">
        <v>729</v>
      </c>
      <c r="V33" s="38">
        <v>0.74229999999999996</v>
      </c>
      <c r="W33" s="36"/>
      <c r="X33" s="36"/>
      <c r="Y33" s="8" t="s">
        <v>738</v>
      </c>
      <c r="Z33" s="8"/>
      <c r="AA33" s="8"/>
      <c r="AB33" s="8" t="s">
        <v>395</v>
      </c>
      <c r="AC33" s="8"/>
      <c r="AD33" s="8"/>
      <c r="AE33" s="8"/>
      <c r="AF33" s="8"/>
      <c r="AG33" s="8"/>
      <c r="AH33" s="8"/>
      <c r="AI33" s="8"/>
      <c r="AJ33" s="8"/>
      <c r="AK33" s="20" t="s">
        <v>165</v>
      </c>
      <c r="AL33" s="20" t="s">
        <v>776</v>
      </c>
      <c r="AM33" s="20" t="s">
        <v>67</v>
      </c>
      <c r="AN33" s="24">
        <v>9.35</v>
      </c>
      <c r="AO33" s="25">
        <v>31</v>
      </c>
      <c r="AP33" s="24">
        <v>8.06</v>
      </c>
      <c r="AQ33" s="28">
        <v>14.64</v>
      </c>
      <c r="AR33" s="29">
        <v>28</v>
      </c>
      <c r="AS33" s="28">
        <v>10.06</v>
      </c>
      <c r="AT33" s="24"/>
      <c r="AU33" s="42"/>
      <c r="AV33" s="44" t="s">
        <v>748</v>
      </c>
      <c r="AW33" s="44">
        <v>112</v>
      </c>
      <c r="AX33" s="44">
        <v>112</v>
      </c>
    </row>
    <row r="34" spans="1:50" x14ac:dyDescent="0.2">
      <c r="A34" t="s">
        <v>789</v>
      </c>
      <c r="B34" s="8" t="s">
        <v>704</v>
      </c>
      <c r="C34" s="8">
        <v>2019</v>
      </c>
      <c r="D34" s="8" t="s">
        <v>118</v>
      </c>
      <c r="E34" s="36" t="s">
        <v>191</v>
      </c>
      <c r="F34" s="8" t="s">
        <v>192</v>
      </c>
      <c r="G34" s="8" t="s">
        <v>258</v>
      </c>
      <c r="H34" s="8" t="s">
        <v>705</v>
      </c>
      <c r="I34" s="8" t="s">
        <v>706</v>
      </c>
      <c r="J34" s="8" t="s">
        <v>706</v>
      </c>
      <c r="K34" s="8" t="s">
        <v>707</v>
      </c>
      <c r="L34" s="8" t="s">
        <v>56</v>
      </c>
      <c r="M34" s="37" t="s">
        <v>57</v>
      </c>
      <c r="N34" s="37" t="s">
        <v>57</v>
      </c>
      <c r="O34" s="37" t="s">
        <v>93</v>
      </c>
      <c r="P34" s="37" t="s">
        <v>57</v>
      </c>
      <c r="Q34" s="37" t="s">
        <v>57</v>
      </c>
      <c r="R34" s="37" t="s">
        <v>57</v>
      </c>
      <c r="S34" s="36" t="s">
        <v>722</v>
      </c>
      <c r="T34" s="38">
        <v>0.76700000000000002</v>
      </c>
      <c r="U34" s="36" t="s">
        <v>728</v>
      </c>
      <c r="V34" s="38">
        <v>0.83330000000000004</v>
      </c>
      <c r="W34" s="36"/>
      <c r="X34" s="36"/>
      <c r="Y34" s="8" t="s">
        <v>737</v>
      </c>
      <c r="Z34" s="8"/>
      <c r="AA34" s="8"/>
      <c r="AB34" s="8" t="s">
        <v>395</v>
      </c>
      <c r="AC34" s="8"/>
      <c r="AD34" s="8"/>
      <c r="AE34" s="8"/>
      <c r="AF34" s="8"/>
      <c r="AG34" s="8"/>
      <c r="AH34" s="8"/>
      <c r="AI34" s="8"/>
      <c r="AJ34" s="8"/>
      <c r="AK34" s="20" t="s">
        <v>766</v>
      </c>
      <c r="AL34" s="20" t="s">
        <v>778</v>
      </c>
      <c r="AM34" s="20" t="s">
        <v>67</v>
      </c>
      <c r="AN34" s="24">
        <v>41.79</v>
      </c>
      <c r="AO34" s="25">
        <v>30</v>
      </c>
      <c r="AP34" s="24">
        <v>9.0239999999999991</v>
      </c>
      <c r="AQ34" s="28">
        <v>44.87</v>
      </c>
      <c r="AR34" s="29">
        <v>26</v>
      </c>
      <c r="AS34" s="28">
        <v>8.94</v>
      </c>
      <c r="AT34" s="24"/>
      <c r="AU34" s="42"/>
      <c r="AV34" s="44" t="s">
        <v>748</v>
      </c>
      <c r="AW34" s="44">
        <v>112</v>
      </c>
      <c r="AX34" s="44">
        <v>112</v>
      </c>
    </row>
    <row r="35" spans="1:50" x14ac:dyDescent="0.2">
      <c r="A35" t="s">
        <v>789</v>
      </c>
      <c r="B35" s="8" t="s">
        <v>704</v>
      </c>
      <c r="C35" s="8">
        <v>2019</v>
      </c>
      <c r="D35" s="8" t="s">
        <v>87</v>
      </c>
      <c r="E35" s="36" t="s">
        <v>88</v>
      </c>
      <c r="F35" s="8" t="s">
        <v>88</v>
      </c>
      <c r="G35" s="8" t="s">
        <v>258</v>
      </c>
      <c r="H35" s="8" t="s">
        <v>705</v>
      </c>
      <c r="I35" s="8" t="s">
        <v>706</v>
      </c>
      <c r="J35" s="8" t="s">
        <v>706</v>
      </c>
      <c r="K35" s="8" t="s">
        <v>707</v>
      </c>
      <c r="L35" s="8" t="s">
        <v>56</v>
      </c>
      <c r="M35" s="37" t="s">
        <v>57</v>
      </c>
      <c r="N35" s="37" t="s">
        <v>57</v>
      </c>
      <c r="O35" s="37" t="s">
        <v>93</v>
      </c>
      <c r="P35" s="37" t="s">
        <v>57</v>
      </c>
      <c r="Q35" s="37" t="s">
        <v>57</v>
      </c>
      <c r="R35" s="37" t="s">
        <v>57</v>
      </c>
      <c r="S35" s="36" t="s">
        <v>723</v>
      </c>
      <c r="T35" s="38">
        <v>0.67700000000000005</v>
      </c>
      <c r="U35" s="36" t="s">
        <v>729</v>
      </c>
      <c r="V35" s="38">
        <v>0.74229999999999996</v>
      </c>
      <c r="W35" s="36"/>
      <c r="X35" s="36"/>
      <c r="Y35" s="8" t="s">
        <v>738</v>
      </c>
      <c r="Z35" s="8"/>
      <c r="AA35" s="8"/>
      <c r="AB35" s="8" t="s">
        <v>395</v>
      </c>
      <c r="AC35" s="8"/>
      <c r="AD35" s="8"/>
      <c r="AE35" s="8"/>
      <c r="AF35" s="8"/>
      <c r="AG35" s="8"/>
      <c r="AH35" s="8"/>
      <c r="AI35" s="8"/>
      <c r="AJ35" s="8"/>
      <c r="AK35" s="20" t="s">
        <v>766</v>
      </c>
      <c r="AL35" s="20" t="s">
        <v>778</v>
      </c>
      <c r="AM35" s="20" t="s">
        <v>67</v>
      </c>
      <c r="AN35" s="24">
        <v>42.18</v>
      </c>
      <c r="AO35" s="25">
        <v>31</v>
      </c>
      <c r="AP35" s="24">
        <v>10.52</v>
      </c>
      <c r="AQ35" s="28">
        <v>39.47</v>
      </c>
      <c r="AR35" s="29">
        <v>28</v>
      </c>
      <c r="AS35" s="28">
        <v>9.39</v>
      </c>
      <c r="AT35" s="24"/>
      <c r="AU35" s="42"/>
      <c r="AV35" s="44" t="s">
        <v>748</v>
      </c>
      <c r="AW35" s="44">
        <v>112</v>
      </c>
      <c r="AX35" s="44">
        <v>112</v>
      </c>
    </row>
    <row r="36" spans="1:50" x14ac:dyDescent="0.2">
      <c r="A36" t="s">
        <v>789</v>
      </c>
      <c r="B36" s="8" t="s">
        <v>704</v>
      </c>
      <c r="C36" s="8">
        <v>2019</v>
      </c>
      <c r="D36" s="8" t="s">
        <v>118</v>
      </c>
      <c r="E36" s="36" t="s">
        <v>191</v>
      </c>
      <c r="F36" s="8" t="s">
        <v>192</v>
      </c>
      <c r="G36" s="8" t="s">
        <v>258</v>
      </c>
      <c r="H36" s="8" t="s">
        <v>705</v>
      </c>
      <c r="I36" s="8" t="s">
        <v>706</v>
      </c>
      <c r="J36" s="8" t="s">
        <v>706</v>
      </c>
      <c r="K36" s="8" t="s">
        <v>707</v>
      </c>
      <c r="L36" s="8" t="s">
        <v>56</v>
      </c>
      <c r="M36" s="37" t="s">
        <v>57</v>
      </c>
      <c r="N36" s="37" t="s">
        <v>57</v>
      </c>
      <c r="O36" s="37" t="s">
        <v>93</v>
      </c>
      <c r="P36" s="37" t="s">
        <v>57</v>
      </c>
      <c r="Q36" s="37" t="s">
        <v>57</v>
      </c>
      <c r="R36" s="37" t="s">
        <v>57</v>
      </c>
      <c r="S36" s="36" t="s">
        <v>722</v>
      </c>
      <c r="T36" s="38">
        <v>0.76700000000000002</v>
      </c>
      <c r="U36" s="36" t="s">
        <v>728</v>
      </c>
      <c r="V36" s="38">
        <v>0.83330000000000004</v>
      </c>
      <c r="W36" s="36"/>
      <c r="X36" s="36"/>
      <c r="Y36" s="8" t="s">
        <v>737</v>
      </c>
      <c r="Z36" s="8"/>
      <c r="AA36" s="8"/>
      <c r="AB36" s="8" t="s">
        <v>395</v>
      </c>
      <c r="AC36" s="8"/>
      <c r="AD36" s="8"/>
      <c r="AE36" s="8"/>
      <c r="AF36" s="8"/>
      <c r="AG36" s="8"/>
      <c r="AH36" s="8"/>
      <c r="AI36" s="8"/>
      <c r="AJ36" s="8"/>
      <c r="AK36" s="20" t="s">
        <v>147</v>
      </c>
      <c r="AL36" s="20" t="s">
        <v>759</v>
      </c>
      <c r="AM36" s="20" t="s">
        <v>67</v>
      </c>
      <c r="AN36" s="24">
        <v>41.75</v>
      </c>
      <c r="AO36" s="25">
        <v>30</v>
      </c>
      <c r="AP36" s="24">
        <v>10</v>
      </c>
      <c r="AQ36" s="28">
        <v>45.41</v>
      </c>
      <c r="AR36" s="29">
        <v>26</v>
      </c>
      <c r="AS36" s="28">
        <v>7.94</v>
      </c>
      <c r="AT36" s="24"/>
      <c r="AU36" s="42"/>
      <c r="AV36" s="44" t="s">
        <v>748</v>
      </c>
      <c r="AW36" s="44">
        <v>112</v>
      </c>
      <c r="AX36" s="44">
        <v>112</v>
      </c>
    </row>
    <row r="37" spans="1:50" x14ac:dyDescent="0.2">
      <c r="A37" t="s">
        <v>789</v>
      </c>
      <c r="B37" s="8" t="s">
        <v>704</v>
      </c>
      <c r="C37" s="8">
        <v>2019</v>
      </c>
      <c r="D37" s="8" t="s">
        <v>87</v>
      </c>
      <c r="E37" s="36" t="s">
        <v>88</v>
      </c>
      <c r="F37" s="8" t="s">
        <v>88</v>
      </c>
      <c r="G37" s="8" t="s">
        <v>258</v>
      </c>
      <c r="H37" s="8" t="s">
        <v>705</v>
      </c>
      <c r="I37" s="8" t="s">
        <v>706</v>
      </c>
      <c r="J37" s="8" t="s">
        <v>706</v>
      </c>
      <c r="K37" s="8" t="s">
        <v>707</v>
      </c>
      <c r="L37" s="8" t="s">
        <v>56</v>
      </c>
      <c r="M37" s="37" t="s">
        <v>57</v>
      </c>
      <c r="N37" s="37" t="s">
        <v>57</v>
      </c>
      <c r="O37" s="37" t="s">
        <v>93</v>
      </c>
      <c r="P37" s="37" t="s">
        <v>57</v>
      </c>
      <c r="Q37" s="37" t="s">
        <v>57</v>
      </c>
      <c r="R37" s="37" t="s">
        <v>57</v>
      </c>
      <c r="S37" s="36" t="s">
        <v>723</v>
      </c>
      <c r="T37" s="38">
        <v>0.67700000000000005</v>
      </c>
      <c r="U37" s="36" t="s">
        <v>729</v>
      </c>
      <c r="V37" s="38">
        <v>0.74229999999999996</v>
      </c>
      <c r="W37" s="36"/>
      <c r="X37" s="36"/>
      <c r="Y37" s="8" t="s">
        <v>738</v>
      </c>
      <c r="Z37" s="8"/>
      <c r="AA37" s="8"/>
      <c r="AB37" s="8" t="s">
        <v>395</v>
      </c>
      <c r="AC37" s="8"/>
      <c r="AD37" s="8"/>
      <c r="AE37" s="8"/>
      <c r="AF37" s="8"/>
      <c r="AG37" s="8"/>
      <c r="AH37" s="8"/>
      <c r="AI37" s="8"/>
      <c r="AJ37" s="8"/>
      <c r="AK37" s="20" t="s">
        <v>147</v>
      </c>
      <c r="AL37" s="20" t="s">
        <v>759</v>
      </c>
      <c r="AM37" s="20" t="s">
        <v>67</v>
      </c>
      <c r="AN37" s="24">
        <v>41.59</v>
      </c>
      <c r="AO37" s="25">
        <v>31</v>
      </c>
      <c r="AP37" s="24">
        <v>9.7799999999999994</v>
      </c>
      <c r="AQ37" s="28">
        <v>37.74</v>
      </c>
      <c r="AR37" s="29">
        <v>28</v>
      </c>
      <c r="AS37" s="28">
        <v>10.77</v>
      </c>
      <c r="AT37" s="24"/>
      <c r="AU37" s="42"/>
      <c r="AV37" s="44" t="s">
        <v>748</v>
      </c>
      <c r="AW37" s="44">
        <v>112</v>
      </c>
      <c r="AX37" s="44">
        <v>112</v>
      </c>
    </row>
    <row r="38" spans="1:50" x14ac:dyDescent="0.2">
      <c r="A38" t="s">
        <v>789</v>
      </c>
      <c r="B38" s="8" t="s">
        <v>704</v>
      </c>
      <c r="C38" s="8">
        <v>2019</v>
      </c>
      <c r="D38" s="8" t="s">
        <v>118</v>
      </c>
      <c r="E38" s="36" t="s">
        <v>191</v>
      </c>
      <c r="F38" s="8" t="s">
        <v>192</v>
      </c>
      <c r="G38" s="8" t="s">
        <v>258</v>
      </c>
      <c r="H38" s="8" t="s">
        <v>705</v>
      </c>
      <c r="I38" s="8" t="s">
        <v>706</v>
      </c>
      <c r="J38" s="8" t="s">
        <v>706</v>
      </c>
      <c r="K38" s="8" t="s">
        <v>707</v>
      </c>
      <c r="L38" s="8" t="s">
        <v>56</v>
      </c>
      <c r="M38" s="37" t="s">
        <v>57</v>
      </c>
      <c r="N38" s="37" t="s">
        <v>57</v>
      </c>
      <c r="O38" s="37" t="s">
        <v>93</v>
      </c>
      <c r="P38" s="37" t="s">
        <v>57</v>
      </c>
      <c r="Q38" s="37" t="s">
        <v>57</v>
      </c>
      <c r="R38" s="37" t="s">
        <v>57</v>
      </c>
      <c r="S38" s="36" t="s">
        <v>722</v>
      </c>
      <c r="T38" s="38">
        <v>0.76700000000000002</v>
      </c>
      <c r="U38" s="36" t="s">
        <v>728</v>
      </c>
      <c r="V38" s="38">
        <v>0.83330000000000004</v>
      </c>
      <c r="W38" s="36"/>
      <c r="X38" s="36"/>
      <c r="Y38" s="8" t="s">
        <v>737</v>
      </c>
      <c r="Z38" s="8"/>
      <c r="AA38" s="8"/>
      <c r="AB38" s="8" t="s">
        <v>395</v>
      </c>
      <c r="AC38" s="8"/>
      <c r="AD38" s="8"/>
      <c r="AE38" s="8"/>
      <c r="AF38" s="8"/>
      <c r="AG38" s="8"/>
      <c r="AH38" s="8"/>
      <c r="AI38" s="8"/>
      <c r="AJ38" s="8"/>
      <c r="AK38" s="20" t="s">
        <v>753</v>
      </c>
      <c r="AL38" s="20" t="s">
        <v>166</v>
      </c>
      <c r="AM38" s="20" t="s">
        <v>67</v>
      </c>
      <c r="AN38" s="24">
        <v>31.18</v>
      </c>
      <c r="AO38" s="25">
        <v>30</v>
      </c>
      <c r="AP38" s="24">
        <v>23.79</v>
      </c>
      <c r="AQ38" s="28">
        <v>26.5</v>
      </c>
      <c r="AR38" s="29">
        <v>26</v>
      </c>
      <c r="AS38" s="28">
        <v>21.99</v>
      </c>
      <c r="AT38" s="24"/>
      <c r="AU38" s="42"/>
      <c r="AV38" s="44" t="s">
        <v>748</v>
      </c>
      <c r="AW38" s="44">
        <v>112</v>
      </c>
      <c r="AX38" s="44">
        <v>112</v>
      </c>
    </row>
    <row r="39" spans="1:50" x14ac:dyDescent="0.2">
      <c r="A39" t="s">
        <v>789</v>
      </c>
      <c r="B39" s="8" t="s">
        <v>704</v>
      </c>
      <c r="C39" s="8">
        <v>2019</v>
      </c>
      <c r="D39" s="8" t="s">
        <v>87</v>
      </c>
      <c r="E39" s="36" t="s">
        <v>88</v>
      </c>
      <c r="F39" s="8" t="s">
        <v>88</v>
      </c>
      <c r="G39" s="8" t="s">
        <v>258</v>
      </c>
      <c r="H39" s="8" t="s">
        <v>705</v>
      </c>
      <c r="I39" s="8" t="s">
        <v>706</v>
      </c>
      <c r="J39" s="8" t="s">
        <v>706</v>
      </c>
      <c r="K39" s="8" t="s">
        <v>707</v>
      </c>
      <c r="L39" s="8" t="s">
        <v>56</v>
      </c>
      <c r="M39" s="37" t="s">
        <v>57</v>
      </c>
      <c r="N39" s="37" t="s">
        <v>57</v>
      </c>
      <c r="O39" s="37" t="s">
        <v>93</v>
      </c>
      <c r="P39" s="37" t="s">
        <v>57</v>
      </c>
      <c r="Q39" s="37" t="s">
        <v>57</v>
      </c>
      <c r="R39" s="37" t="s">
        <v>57</v>
      </c>
      <c r="S39" s="36" t="s">
        <v>723</v>
      </c>
      <c r="T39" s="38">
        <v>0.67700000000000005</v>
      </c>
      <c r="U39" s="36" t="s">
        <v>729</v>
      </c>
      <c r="V39" s="38">
        <v>0.74229999999999996</v>
      </c>
      <c r="W39" s="36"/>
      <c r="X39" s="36"/>
      <c r="Y39" s="8" t="s">
        <v>738</v>
      </c>
      <c r="Z39" s="8"/>
      <c r="AA39" s="8"/>
      <c r="AB39" s="8" t="s">
        <v>395</v>
      </c>
      <c r="AC39" s="8"/>
      <c r="AD39" s="8"/>
      <c r="AE39" s="8"/>
      <c r="AF39" s="8"/>
      <c r="AG39" s="8"/>
      <c r="AH39" s="8"/>
      <c r="AI39" s="8"/>
      <c r="AJ39" s="8"/>
      <c r="AK39" s="20" t="s">
        <v>753</v>
      </c>
      <c r="AL39" s="20" t="s">
        <v>166</v>
      </c>
      <c r="AM39" s="20" t="s">
        <v>67</v>
      </c>
      <c r="AN39" s="24">
        <v>19.41</v>
      </c>
      <c r="AO39" s="25">
        <v>31</v>
      </c>
      <c r="AP39" s="24">
        <v>16.09</v>
      </c>
      <c r="AQ39" s="28">
        <v>30.7</v>
      </c>
      <c r="AR39" s="29">
        <v>28</v>
      </c>
      <c r="AS39" s="28">
        <v>23.78</v>
      </c>
      <c r="AT39" s="24"/>
      <c r="AU39" s="42"/>
      <c r="AV39" s="44" t="s">
        <v>748</v>
      </c>
      <c r="AW39" s="44">
        <v>112</v>
      </c>
      <c r="AX39" s="44">
        <v>112</v>
      </c>
    </row>
    <row r="40" spans="1:50" x14ac:dyDescent="0.2">
      <c r="A40" t="s">
        <v>789</v>
      </c>
      <c r="B40" s="8" t="s">
        <v>704</v>
      </c>
      <c r="C40" s="8">
        <v>2019</v>
      </c>
      <c r="D40" s="8" t="s">
        <v>118</v>
      </c>
      <c r="E40" s="36" t="s">
        <v>191</v>
      </c>
      <c r="F40" s="8" t="s">
        <v>192</v>
      </c>
      <c r="G40" s="8" t="s">
        <v>258</v>
      </c>
      <c r="H40" s="8" t="s">
        <v>705</v>
      </c>
      <c r="I40" s="8" t="s">
        <v>706</v>
      </c>
      <c r="J40" s="8" t="s">
        <v>706</v>
      </c>
      <c r="K40" s="8" t="s">
        <v>707</v>
      </c>
      <c r="L40" s="8" t="s">
        <v>56</v>
      </c>
      <c r="M40" s="37" t="s">
        <v>57</v>
      </c>
      <c r="N40" s="37" t="s">
        <v>57</v>
      </c>
      <c r="O40" s="37" t="s">
        <v>93</v>
      </c>
      <c r="P40" s="37" t="s">
        <v>57</v>
      </c>
      <c r="Q40" s="37" t="s">
        <v>57</v>
      </c>
      <c r="R40" s="37" t="s">
        <v>57</v>
      </c>
      <c r="S40" s="36" t="s">
        <v>722</v>
      </c>
      <c r="T40" s="38">
        <v>0.76700000000000002</v>
      </c>
      <c r="U40" s="36" t="s">
        <v>728</v>
      </c>
      <c r="V40" s="38">
        <v>0.83330000000000004</v>
      </c>
      <c r="W40" s="36"/>
      <c r="X40" s="36"/>
      <c r="Y40" s="8" t="s">
        <v>737</v>
      </c>
      <c r="Z40" s="8"/>
      <c r="AA40" s="8"/>
      <c r="AB40" s="8" t="s">
        <v>395</v>
      </c>
      <c r="AC40" s="8"/>
      <c r="AD40" s="8"/>
      <c r="AE40" s="8"/>
      <c r="AF40" s="8"/>
      <c r="AG40" s="8"/>
      <c r="AH40" s="8"/>
      <c r="AI40" s="8"/>
      <c r="AJ40" s="8"/>
      <c r="AK40" s="20" t="s">
        <v>168</v>
      </c>
      <c r="AL40" s="20" t="s">
        <v>767</v>
      </c>
      <c r="AM40" s="20" t="s">
        <v>67</v>
      </c>
      <c r="AN40" s="24">
        <v>31.18</v>
      </c>
      <c r="AO40" s="25">
        <v>22</v>
      </c>
      <c r="AP40" s="24">
        <v>6.14</v>
      </c>
      <c r="AQ40" s="28">
        <v>31.79</v>
      </c>
      <c r="AR40" s="29">
        <v>17</v>
      </c>
      <c r="AS40" s="28">
        <v>5.41</v>
      </c>
      <c r="AT40" s="24"/>
      <c r="AU40" s="42"/>
      <c r="AV40" s="44" t="s">
        <v>748</v>
      </c>
      <c r="AW40" s="44">
        <v>112</v>
      </c>
      <c r="AX40" s="44">
        <v>112</v>
      </c>
    </row>
    <row r="41" spans="1:50" x14ac:dyDescent="0.2">
      <c r="A41" t="s">
        <v>789</v>
      </c>
      <c r="B41" s="8" t="s">
        <v>704</v>
      </c>
      <c r="C41" s="8">
        <v>2019</v>
      </c>
      <c r="D41" s="8" t="s">
        <v>87</v>
      </c>
      <c r="E41" s="36" t="s">
        <v>88</v>
      </c>
      <c r="F41" s="8" t="s">
        <v>88</v>
      </c>
      <c r="G41" s="8" t="s">
        <v>258</v>
      </c>
      <c r="H41" s="8" t="s">
        <v>705</v>
      </c>
      <c r="I41" s="8" t="s">
        <v>706</v>
      </c>
      <c r="J41" s="8" t="s">
        <v>706</v>
      </c>
      <c r="K41" s="8" t="s">
        <v>707</v>
      </c>
      <c r="L41" s="8" t="s">
        <v>56</v>
      </c>
      <c r="M41" s="37" t="s">
        <v>57</v>
      </c>
      <c r="N41" s="37" t="s">
        <v>57</v>
      </c>
      <c r="O41" s="37" t="s">
        <v>93</v>
      </c>
      <c r="P41" s="37" t="s">
        <v>57</v>
      </c>
      <c r="Q41" s="37" t="s">
        <v>57</v>
      </c>
      <c r="R41" s="37" t="s">
        <v>57</v>
      </c>
      <c r="S41" s="36" t="s">
        <v>723</v>
      </c>
      <c r="T41" s="38">
        <v>0.67700000000000005</v>
      </c>
      <c r="U41" s="36" t="s">
        <v>729</v>
      </c>
      <c r="V41" s="38">
        <v>0.74229999999999996</v>
      </c>
      <c r="W41" s="36"/>
      <c r="X41" s="36"/>
      <c r="Y41" s="8" t="s">
        <v>738</v>
      </c>
      <c r="Z41" s="8"/>
      <c r="AA41" s="8"/>
      <c r="AB41" s="8" t="s">
        <v>395</v>
      </c>
      <c r="AC41" s="8"/>
      <c r="AD41" s="8"/>
      <c r="AE41" s="8"/>
      <c r="AF41" s="8"/>
      <c r="AG41" s="8"/>
      <c r="AH41" s="8"/>
      <c r="AI41" s="8"/>
      <c r="AJ41" s="8"/>
      <c r="AK41" s="20" t="s">
        <v>168</v>
      </c>
      <c r="AL41" s="20" t="s">
        <v>767</v>
      </c>
      <c r="AM41" s="20" t="s">
        <v>67</v>
      </c>
      <c r="AN41" s="24">
        <v>33.29</v>
      </c>
      <c r="AO41" s="25">
        <v>20</v>
      </c>
      <c r="AP41" s="24">
        <v>4.96</v>
      </c>
      <c r="AQ41" s="28">
        <v>32.39</v>
      </c>
      <c r="AR41" s="29">
        <v>17</v>
      </c>
      <c r="AS41" s="28">
        <v>4.33</v>
      </c>
      <c r="AT41" s="24"/>
      <c r="AU41" s="42"/>
      <c r="AV41" s="44" t="s">
        <v>748</v>
      </c>
      <c r="AW41" s="44">
        <v>112</v>
      </c>
      <c r="AX41" s="44">
        <v>112</v>
      </c>
    </row>
    <row r="42" spans="1:50" x14ac:dyDescent="0.2">
      <c r="A42" t="s">
        <v>789</v>
      </c>
      <c r="B42" s="8" t="s">
        <v>720</v>
      </c>
      <c r="C42" s="8">
        <v>2020</v>
      </c>
      <c r="D42" s="8" t="s">
        <v>118</v>
      </c>
      <c r="E42" s="36" t="s">
        <v>49</v>
      </c>
      <c r="F42" s="8" t="s">
        <v>75</v>
      </c>
      <c r="G42" s="8" t="s">
        <v>279</v>
      </c>
      <c r="H42" s="8" t="s">
        <v>721</v>
      </c>
      <c r="I42" s="8"/>
      <c r="J42" s="8"/>
      <c r="K42" s="8"/>
      <c r="L42" s="8" t="s">
        <v>56</v>
      </c>
      <c r="M42" s="37" t="s">
        <v>93</v>
      </c>
      <c r="N42" s="37" t="s">
        <v>93</v>
      </c>
      <c r="O42" s="37" t="s">
        <v>93</v>
      </c>
      <c r="P42" s="37" t="s">
        <v>57</v>
      </c>
      <c r="Q42" s="37" t="s">
        <v>93</v>
      </c>
      <c r="R42" s="37" t="s">
        <v>57</v>
      </c>
      <c r="S42" s="36"/>
      <c r="T42" s="36"/>
      <c r="U42" s="36"/>
      <c r="V42" s="36"/>
      <c r="W42" s="36"/>
      <c r="X42" s="36"/>
      <c r="Y42" s="8" t="s">
        <v>745</v>
      </c>
      <c r="Z42" s="8"/>
      <c r="AA42" s="8"/>
      <c r="AB42" s="8" t="s">
        <v>395</v>
      </c>
      <c r="AC42" s="8"/>
      <c r="AD42" s="8"/>
      <c r="AE42" s="8"/>
      <c r="AF42" s="8"/>
      <c r="AG42" s="8"/>
      <c r="AH42" s="8"/>
      <c r="AI42" s="8"/>
      <c r="AJ42" s="8"/>
      <c r="AK42" s="20" t="s">
        <v>765</v>
      </c>
      <c r="AL42" s="20" t="s">
        <v>769</v>
      </c>
      <c r="AM42" s="20" t="s">
        <v>67</v>
      </c>
      <c r="AN42" s="24">
        <v>74.11</v>
      </c>
      <c r="AO42" s="25">
        <v>35</v>
      </c>
      <c r="AP42" s="24">
        <v>4.7300000000000004</v>
      </c>
      <c r="AQ42" s="28">
        <v>70.510000000000005</v>
      </c>
      <c r="AR42" s="29">
        <v>35</v>
      </c>
      <c r="AS42" s="28">
        <v>3.78</v>
      </c>
      <c r="AT42" s="42"/>
      <c r="AU42" s="42"/>
      <c r="AV42" s="44" t="s">
        <v>770</v>
      </c>
      <c r="AW42" s="44">
        <v>58</v>
      </c>
      <c r="AX42" s="44">
        <v>28</v>
      </c>
    </row>
    <row r="43" spans="1:50" x14ac:dyDescent="0.2">
      <c r="A43" t="s">
        <v>789</v>
      </c>
      <c r="B43" s="8" t="s">
        <v>720</v>
      </c>
      <c r="C43" s="8">
        <v>2020</v>
      </c>
      <c r="D43" s="8" t="s">
        <v>548</v>
      </c>
      <c r="E43" s="36" t="s">
        <v>88</v>
      </c>
      <c r="F43" s="8" t="s">
        <v>88</v>
      </c>
      <c r="G43" s="8" t="s">
        <v>279</v>
      </c>
      <c r="H43" s="8" t="s">
        <v>721</v>
      </c>
      <c r="I43" s="8"/>
      <c r="J43" s="8"/>
      <c r="K43" s="8"/>
      <c r="L43" s="8" t="s">
        <v>56</v>
      </c>
      <c r="M43" s="37" t="s">
        <v>93</v>
      </c>
      <c r="N43" s="37" t="s">
        <v>93</v>
      </c>
      <c r="O43" s="37" t="s">
        <v>93</v>
      </c>
      <c r="P43" s="37" t="s">
        <v>57</v>
      </c>
      <c r="Q43" s="37" t="s">
        <v>93</v>
      </c>
      <c r="R43" s="37" t="s">
        <v>57</v>
      </c>
      <c r="S43" s="36"/>
      <c r="T43" s="36"/>
      <c r="U43" s="36"/>
      <c r="V43" s="36"/>
      <c r="W43" s="36"/>
      <c r="X43" s="36"/>
      <c r="Y43" s="8" t="s">
        <v>746</v>
      </c>
      <c r="Z43" s="8"/>
      <c r="AA43" s="8"/>
      <c r="AB43" s="8" t="s">
        <v>395</v>
      </c>
      <c r="AC43" s="8"/>
      <c r="AD43" s="8"/>
      <c r="AE43" s="8"/>
      <c r="AF43" s="8"/>
      <c r="AG43" s="8"/>
      <c r="AH43" s="8"/>
      <c r="AI43" s="8"/>
      <c r="AJ43" s="8"/>
      <c r="AK43" s="20" t="s">
        <v>765</v>
      </c>
      <c r="AL43" s="20" t="s">
        <v>769</v>
      </c>
      <c r="AM43" s="20" t="s">
        <v>67</v>
      </c>
      <c r="AN43" s="24">
        <v>75.63</v>
      </c>
      <c r="AO43" s="25">
        <v>35</v>
      </c>
      <c r="AP43" s="24">
        <v>3.08</v>
      </c>
      <c r="AQ43" s="28">
        <v>76.45</v>
      </c>
      <c r="AR43" s="29">
        <v>35</v>
      </c>
      <c r="AS43" s="28">
        <v>3.45</v>
      </c>
      <c r="AT43" s="42"/>
      <c r="AU43" s="42"/>
      <c r="AV43" s="44" t="s">
        <v>770</v>
      </c>
      <c r="AW43" s="44">
        <v>58</v>
      </c>
      <c r="AX43" s="44">
        <v>28</v>
      </c>
    </row>
    <row r="44" spans="1:50" x14ac:dyDescent="0.2">
      <c r="A44" t="s">
        <v>789</v>
      </c>
      <c r="B44" s="8" t="s">
        <v>720</v>
      </c>
      <c r="C44" s="8">
        <v>2020</v>
      </c>
      <c r="D44" s="8" t="s">
        <v>118</v>
      </c>
      <c r="E44" s="36" t="s">
        <v>49</v>
      </c>
      <c r="F44" s="8" t="s">
        <v>75</v>
      </c>
      <c r="G44" s="8" t="s">
        <v>279</v>
      </c>
      <c r="H44" s="8" t="s">
        <v>721</v>
      </c>
      <c r="I44" s="8"/>
      <c r="J44" s="8"/>
      <c r="K44" s="8"/>
      <c r="L44" s="8" t="s">
        <v>56</v>
      </c>
      <c r="M44" s="37" t="s">
        <v>93</v>
      </c>
      <c r="N44" s="37" t="s">
        <v>93</v>
      </c>
      <c r="O44" s="37" t="s">
        <v>93</v>
      </c>
      <c r="P44" s="37" t="s">
        <v>57</v>
      </c>
      <c r="Q44" s="37" t="s">
        <v>93</v>
      </c>
      <c r="R44" s="37" t="s">
        <v>57</v>
      </c>
      <c r="S44" s="36"/>
      <c r="T44" s="36"/>
      <c r="U44" s="36"/>
      <c r="V44" s="36"/>
      <c r="W44" s="36"/>
      <c r="X44" s="36"/>
      <c r="Y44" s="8" t="s">
        <v>745</v>
      </c>
      <c r="Z44" s="8"/>
      <c r="AA44" s="8"/>
      <c r="AB44" s="8" t="s">
        <v>395</v>
      </c>
      <c r="AC44" s="8"/>
      <c r="AD44" s="8"/>
      <c r="AE44" s="8"/>
      <c r="AF44" s="8"/>
      <c r="AG44" s="8"/>
      <c r="AH44" s="8"/>
      <c r="AI44" s="8"/>
      <c r="AJ44" s="8"/>
      <c r="AK44" s="20" t="s">
        <v>765</v>
      </c>
      <c r="AL44" s="20" t="s">
        <v>769</v>
      </c>
      <c r="AM44" s="20" t="s">
        <v>67</v>
      </c>
      <c r="AN44" s="24">
        <v>74.11</v>
      </c>
      <c r="AO44" s="25">
        <v>35</v>
      </c>
      <c r="AP44" s="24">
        <v>4.7300000000000004</v>
      </c>
      <c r="AQ44" s="28">
        <v>70.31</v>
      </c>
      <c r="AR44" s="29">
        <v>35</v>
      </c>
      <c r="AS44" s="28">
        <v>3.78</v>
      </c>
      <c r="AT44" s="42"/>
      <c r="AU44" s="42"/>
      <c r="AV44" s="44" t="s">
        <v>771</v>
      </c>
      <c r="AW44" s="44">
        <v>118</v>
      </c>
      <c r="AX44" s="44">
        <v>28</v>
      </c>
    </row>
    <row r="45" spans="1:50" x14ac:dyDescent="0.2">
      <c r="A45" t="s">
        <v>789</v>
      </c>
      <c r="B45" s="8" t="s">
        <v>720</v>
      </c>
      <c r="C45" s="8">
        <v>2020</v>
      </c>
      <c r="D45" s="8" t="s">
        <v>548</v>
      </c>
      <c r="E45" s="36" t="s">
        <v>88</v>
      </c>
      <c r="F45" s="8" t="s">
        <v>88</v>
      </c>
      <c r="G45" s="8" t="s">
        <v>279</v>
      </c>
      <c r="H45" s="8" t="s">
        <v>721</v>
      </c>
      <c r="I45" s="8"/>
      <c r="J45" s="8"/>
      <c r="K45" s="8"/>
      <c r="L45" s="8" t="s">
        <v>56</v>
      </c>
      <c r="M45" s="37" t="s">
        <v>93</v>
      </c>
      <c r="N45" s="37" t="s">
        <v>93</v>
      </c>
      <c r="O45" s="37" t="s">
        <v>93</v>
      </c>
      <c r="P45" s="37" t="s">
        <v>57</v>
      </c>
      <c r="Q45" s="37" t="s">
        <v>93</v>
      </c>
      <c r="R45" s="37" t="s">
        <v>57</v>
      </c>
      <c r="S45" s="36"/>
      <c r="T45" s="36"/>
      <c r="U45" s="36"/>
      <c r="V45" s="36"/>
      <c r="W45" s="36"/>
      <c r="X45" s="36"/>
      <c r="Y45" s="8" t="s">
        <v>746</v>
      </c>
      <c r="Z45" s="8"/>
      <c r="AA45" s="8"/>
      <c r="AB45" s="8" t="s">
        <v>395</v>
      </c>
      <c r="AC45" s="8"/>
      <c r="AD45" s="8"/>
      <c r="AE45" s="8"/>
      <c r="AF45" s="8"/>
      <c r="AG45" s="8"/>
      <c r="AH45" s="8"/>
      <c r="AI45" s="8"/>
      <c r="AJ45" s="8"/>
      <c r="AK45" s="20" t="s">
        <v>765</v>
      </c>
      <c r="AL45" s="20" t="s">
        <v>769</v>
      </c>
      <c r="AM45" s="20" t="s">
        <v>67</v>
      </c>
      <c r="AN45" s="24">
        <v>75.63</v>
      </c>
      <c r="AO45" s="25">
        <v>35</v>
      </c>
      <c r="AP45" s="24">
        <v>3.08</v>
      </c>
      <c r="AQ45" s="28">
        <v>76.22</v>
      </c>
      <c r="AR45" s="29">
        <v>35</v>
      </c>
      <c r="AS45" s="28">
        <v>5.08</v>
      </c>
      <c r="AT45" s="42"/>
      <c r="AU45" s="42"/>
      <c r="AV45" s="44" t="s">
        <v>771</v>
      </c>
      <c r="AW45" s="44">
        <v>118</v>
      </c>
      <c r="AX45" s="44">
        <v>28</v>
      </c>
    </row>
    <row r="46" spans="1:50" hidden="1" x14ac:dyDescent="0.2">
      <c r="A46" t="s">
        <v>790</v>
      </c>
      <c r="B46" s="17" t="s">
        <v>86</v>
      </c>
      <c r="C46" s="17">
        <v>2008</v>
      </c>
      <c r="D46" s="17" t="s">
        <v>87</v>
      </c>
      <c r="E46" s="32" t="s">
        <v>88</v>
      </c>
      <c r="F46" s="17" t="s">
        <v>88</v>
      </c>
      <c r="G46" s="17" t="s">
        <v>89</v>
      </c>
      <c r="H46" s="17" t="s">
        <v>90</v>
      </c>
      <c r="I46" s="17" t="s">
        <v>91</v>
      </c>
      <c r="J46" s="17" t="s">
        <v>54</v>
      </c>
      <c r="K46" s="17" t="s">
        <v>92</v>
      </c>
      <c r="L46" s="17" t="s">
        <v>56</v>
      </c>
      <c r="M46" s="34" t="s">
        <v>93</v>
      </c>
      <c r="N46" s="34" t="s">
        <v>58</v>
      </c>
      <c r="O46" s="34" t="s">
        <v>93</v>
      </c>
      <c r="P46" s="34" t="s">
        <v>57</v>
      </c>
      <c r="Q46" s="34" t="s">
        <v>58</v>
      </c>
      <c r="R46" s="34" t="s">
        <v>57</v>
      </c>
      <c r="S46" s="32" t="s">
        <v>94</v>
      </c>
      <c r="T46" s="32" t="s">
        <v>95</v>
      </c>
      <c r="U46" s="32" t="s">
        <v>96</v>
      </c>
      <c r="V46" s="32" t="s">
        <v>97</v>
      </c>
      <c r="W46" s="32"/>
      <c r="X46" s="32"/>
      <c r="Y46" s="17" t="s">
        <v>98</v>
      </c>
      <c r="Z46" s="17"/>
      <c r="AA46" s="17"/>
      <c r="AB46" s="17"/>
      <c r="AC46" s="17" t="s">
        <v>99</v>
      </c>
      <c r="AD46" s="17"/>
      <c r="AE46" s="17"/>
      <c r="AF46" s="17"/>
      <c r="AG46" s="17"/>
      <c r="AH46" s="17"/>
      <c r="AI46" s="17" t="s">
        <v>100</v>
      </c>
      <c r="AJ46" s="17"/>
      <c r="AK46" s="20" t="s">
        <v>65</v>
      </c>
      <c r="AL46" s="20" t="s">
        <v>66</v>
      </c>
      <c r="AM46" s="20" t="s">
        <v>101</v>
      </c>
      <c r="AN46" s="24"/>
      <c r="AO46" s="25"/>
      <c r="AP46" s="24"/>
      <c r="AQ46" s="28"/>
      <c r="AR46" s="29">
        <v>26</v>
      </c>
      <c r="AS46" s="28"/>
      <c r="AT46" s="24"/>
      <c r="AU46" s="24"/>
      <c r="AV46" s="22" t="s">
        <v>103</v>
      </c>
      <c r="AW46" s="22">
        <v>180</v>
      </c>
      <c r="AX46" s="22">
        <v>180</v>
      </c>
    </row>
    <row r="47" spans="1:50" hidden="1" x14ac:dyDescent="0.2">
      <c r="A47" t="s">
        <v>790</v>
      </c>
      <c r="B47" s="17" t="s">
        <v>86</v>
      </c>
      <c r="C47" s="17">
        <v>2008</v>
      </c>
      <c r="D47" s="17" t="s">
        <v>104</v>
      </c>
      <c r="E47" s="32" t="s">
        <v>105</v>
      </c>
      <c r="F47" s="8" t="s">
        <v>106</v>
      </c>
      <c r="G47" s="17" t="s">
        <v>89</v>
      </c>
      <c r="H47" s="17" t="s">
        <v>90</v>
      </c>
      <c r="I47" s="17" t="s">
        <v>91</v>
      </c>
      <c r="J47" s="17" t="s">
        <v>54</v>
      </c>
      <c r="K47" s="17" t="s">
        <v>92</v>
      </c>
      <c r="L47" s="17" t="s">
        <v>56</v>
      </c>
      <c r="M47" s="34" t="s">
        <v>93</v>
      </c>
      <c r="N47" s="34" t="s">
        <v>58</v>
      </c>
      <c r="O47" s="34" t="s">
        <v>93</v>
      </c>
      <c r="P47" s="34" t="s">
        <v>57</v>
      </c>
      <c r="Q47" s="34" t="s">
        <v>58</v>
      </c>
      <c r="R47" s="34" t="s">
        <v>57</v>
      </c>
      <c r="S47" s="32" t="s">
        <v>107</v>
      </c>
      <c r="T47" s="32" t="s">
        <v>108</v>
      </c>
      <c r="U47" s="32" t="s">
        <v>109</v>
      </c>
      <c r="V47" s="32" t="s">
        <v>110</v>
      </c>
      <c r="W47" s="32"/>
      <c r="X47" s="32"/>
      <c r="Y47" s="17" t="s">
        <v>111</v>
      </c>
      <c r="Z47" s="17"/>
      <c r="AA47" s="17"/>
      <c r="AB47" s="17"/>
      <c r="AC47" s="17" t="s">
        <v>112</v>
      </c>
      <c r="AD47" s="17"/>
      <c r="AE47" s="17"/>
      <c r="AF47" s="17"/>
      <c r="AG47" s="17"/>
      <c r="AH47" s="17"/>
      <c r="AI47" s="17" t="s">
        <v>64</v>
      </c>
      <c r="AJ47" s="17"/>
      <c r="AK47" s="20" t="s">
        <v>65</v>
      </c>
      <c r="AL47" s="20" t="s">
        <v>66</v>
      </c>
      <c r="AM47" s="20" t="s">
        <v>101</v>
      </c>
      <c r="AN47" s="24"/>
      <c r="AO47" s="25"/>
      <c r="AP47" s="24"/>
      <c r="AQ47" s="28">
        <v>-3.29</v>
      </c>
      <c r="AR47" s="29">
        <v>33</v>
      </c>
      <c r="AS47" s="28">
        <f>SQRT(AR47+AR46)*(AU47-AT47)/(2*TINV(1-0.95,AR47+AR46-1))</f>
        <v>13.39209897120349</v>
      </c>
      <c r="AT47" s="24">
        <v>-6.78</v>
      </c>
      <c r="AU47" s="24">
        <v>0.2</v>
      </c>
      <c r="AV47" s="22" t="s">
        <v>103</v>
      </c>
      <c r="AW47" s="22">
        <v>180</v>
      </c>
      <c r="AX47" s="22">
        <v>180</v>
      </c>
    </row>
    <row r="48" spans="1:50" hidden="1" x14ac:dyDescent="0.2">
      <c r="A48" t="s">
        <v>790</v>
      </c>
      <c r="B48" s="17" t="s">
        <v>117</v>
      </c>
      <c r="C48" s="17">
        <v>2011</v>
      </c>
      <c r="D48" s="17" t="s">
        <v>118</v>
      </c>
      <c r="E48" s="32" t="s">
        <v>105</v>
      </c>
      <c r="F48" s="8" t="s">
        <v>106</v>
      </c>
      <c r="G48" s="17" t="s">
        <v>119</v>
      </c>
      <c r="H48" s="17" t="s">
        <v>120</v>
      </c>
      <c r="I48" s="17" t="s">
        <v>91</v>
      </c>
      <c r="J48" s="17" t="s">
        <v>54</v>
      </c>
      <c r="K48" s="17" t="s">
        <v>121</v>
      </c>
      <c r="L48" s="17" t="s">
        <v>56</v>
      </c>
      <c r="M48" s="34" t="s">
        <v>93</v>
      </c>
      <c r="N48" s="34" t="s">
        <v>58</v>
      </c>
      <c r="O48" s="34" t="s">
        <v>93</v>
      </c>
      <c r="P48" s="34" t="s">
        <v>57</v>
      </c>
      <c r="Q48" s="34" t="s">
        <v>58</v>
      </c>
      <c r="R48" s="34" t="s">
        <v>57</v>
      </c>
      <c r="S48" s="32" t="s">
        <v>122</v>
      </c>
      <c r="T48" s="32" t="s">
        <v>123</v>
      </c>
      <c r="U48" s="32" t="s">
        <v>124</v>
      </c>
      <c r="V48" s="32" t="s">
        <v>125</v>
      </c>
      <c r="W48" s="32"/>
      <c r="X48" s="32"/>
      <c r="Y48" s="17" t="s">
        <v>126</v>
      </c>
      <c r="Z48" s="17"/>
      <c r="AA48" s="17"/>
      <c r="AB48" s="17"/>
      <c r="AC48" s="17" t="s">
        <v>127</v>
      </c>
      <c r="AD48" s="17"/>
      <c r="AE48" s="17"/>
      <c r="AF48" s="17"/>
      <c r="AG48" s="17"/>
      <c r="AH48" s="17"/>
      <c r="AI48" s="17" t="s">
        <v>64</v>
      </c>
      <c r="AJ48" s="17"/>
      <c r="AK48" s="20" t="s">
        <v>65</v>
      </c>
      <c r="AL48" s="20" t="s">
        <v>66</v>
      </c>
      <c r="AM48" s="20" t="s">
        <v>101</v>
      </c>
      <c r="AN48" s="24"/>
      <c r="AO48" s="25"/>
      <c r="AP48" s="24"/>
      <c r="AQ48" s="28">
        <v>-1.02</v>
      </c>
      <c r="AR48" s="29">
        <v>27</v>
      </c>
      <c r="AS48" s="28">
        <f>SQRT(AR48+AR49)*(AU48-AT48)*0.5/TINV(1-0.95,AR48+AR49-1)</f>
        <v>1.9043938370706426</v>
      </c>
      <c r="AT48" s="24">
        <v>-1.53</v>
      </c>
      <c r="AU48" s="24">
        <v>-0.51</v>
      </c>
      <c r="AV48" s="22" t="s">
        <v>690</v>
      </c>
      <c r="AW48" s="22">
        <v>180</v>
      </c>
      <c r="AX48" s="22">
        <v>35</v>
      </c>
    </row>
    <row r="49" spans="1:54" hidden="1" x14ac:dyDescent="0.2">
      <c r="A49" t="s">
        <v>790</v>
      </c>
      <c r="B49" s="17" t="s">
        <v>117</v>
      </c>
      <c r="C49" s="17">
        <v>2011</v>
      </c>
      <c r="D49" s="17" t="s">
        <v>134</v>
      </c>
      <c r="E49" s="32" t="s">
        <v>88</v>
      </c>
      <c r="F49" s="17" t="s">
        <v>88</v>
      </c>
      <c r="G49" s="17" t="s">
        <v>119</v>
      </c>
      <c r="H49" s="17" t="s">
        <v>120</v>
      </c>
      <c r="I49" s="17" t="s">
        <v>91</v>
      </c>
      <c r="J49" s="17" t="s">
        <v>54</v>
      </c>
      <c r="K49" s="17" t="s">
        <v>121</v>
      </c>
      <c r="L49" s="17" t="s">
        <v>56</v>
      </c>
      <c r="M49" s="34" t="s">
        <v>93</v>
      </c>
      <c r="N49" s="34" t="s">
        <v>58</v>
      </c>
      <c r="O49" s="34" t="s">
        <v>93</v>
      </c>
      <c r="P49" s="34" t="s">
        <v>57</v>
      </c>
      <c r="Q49" s="34" t="s">
        <v>58</v>
      </c>
      <c r="R49" s="34" t="s">
        <v>57</v>
      </c>
      <c r="S49" s="32" t="s">
        <v>135</v>
      </c>
      <c r="T49" s="32" t="s">
        <v>136</v>
      </c>
      <c r="U49" s="32" t="s">
        <v>137</v>
      </c>
      <c r="V49" s="32" t="s">
        <v>138</v>
      </c>
      <c r="W49" s="32"/>
      <c r="X49" s="32"/>
      <c r="Y49" s="17" t="s">
        <v>139</v>
      </c>
      <c r="Z49" s="17"/>
      <c r="AA49" s="17"/>
      <c r="AB49" s="17"/>
      <c r="AC49" s="17" t="s">
        <v>140</v>
      </c>
      <c r="AD49" s="17"/>
      <c r="AE49" s="17"/>
      <c r="AF49" s="17"/>
      <c r="AG49" s="17"/>
      <c r="AH49" s="17"/>
      <c r="AI49" s="17" t="s">
        <v>100</v>
      </c>
      <c r="AJ49" s="17"/>
      <c r="AK49" s="20" t="s">
        <v>65</v>
      </c>
      <c r="AL49" s="20" t="s">
        <v>66</v>
      </c>
      <c r="AM49" s="20" t="s">
        <v>101</v>
      </c>
      <c r="AN49" s="24"/>
      <c r="AO49" s="25"/>
      <c r="AP49" s="24"/>
      <c r="AQ49" s="28"/>
      <c r="AR49" s="29">
        <v>29</v>
      </c>
      <c r="AS49" s="28"/>
      <c r="AT49" s="24"/>
      <c r="AU49" s="24"/>
      <c r="AV49" s="22" t="s">
        <v>690</v>
      </c>
      <c r="AW49" s="22">
        <v>180</v>
      </c>
      <c r="AX49" s="22">
        <v>35</v>
      </c>
    </row>
    <row r="50" spans="1:54" s="23" customFormat="1" hidden="1" x14ac:dyDescent="0.2">
      <c r="A50" t="s">
        <v>790</v>
      </c>
      <c r="B50" s="17" t="s">
        <v>117</v>
      </c>
      <c r="C50" s="17">
        <v>2011</v>
      </c>
      <c r="D50" s="17" t="s">
        <v>118</v>
      </c>
      <c r="E50" s="32" t="s">
        <v>105</v>
      </c>
      <c r="F50" s="8" t="s">
        <v>106</v>
      </c>
      <c r="G50" s="17" t="s">
        <v>119</v>
      </c>
      <c r="H50" s="17" t="s">
        <v>120</v>
      </c>
      <c r="I50" s="17" t="s">
        <v>91</v>
      </c>
      <c r="J50" s="17" t="s">
        <v>54</v>
      </c>
      <c r="K50" s="17" t="s">
        <v>121</v>
      </c>
      <c r="L50" s="17" t="s">
        <v>56</v>
      </c>
      <c r="M50" s="34" t="s">
        <v>93</v>
      </c>
      <c r="N50" s="34" t="s">
        <v>58</v>
      </c>
      <c r="O50" s="34" t="s">
        <v>93</v>
      </c>
      <c r="P50" s="34" t="s">
        <v>57</v>
      </c>
      <c r="Q50" s="34" t="s">
        <v>58</v>
      </c>
      <c r="R50" s="34" t="s">
        <v>57</v>
      </c>
      <c r="S50" s="32" t="s">
        <v>122</v>
      </c>
      <c r="T50" s="32" t="s">
        <v>123</v>
      </c>
      <c r="U50" s="32" t="s">
        <v>124</v>
      </c>
      <c r="V50" s="32" t="s">
        <v>125</v>
      </c>
      <c r="W50" s="32"/>
      <c r="X50" s="32"/>
      <c r="Y50" s="17" t="s">
        <v>126</v>
      </c>
      <c r="Z50" s="17"/>
      <c r="AA50" s="17"/>
      <c r="AB50" s="17"/>
      <c r="AC50" s="17" t="s">
        <v>127</v>
      </c>
      <c r="AD50" s="17"/>
      <c r="AE50" s="17"/>
      <c r="AF50" s="17"/>
      <c r="AG50" s="17"/>
      <c r="AH50" s="17"/>
      <c r="AI50" s="17" t="s">
        <v>64</v>
      </c>
      <c r="AJ50" s="17"/>
      <c r="AK50" s="20" t="s">
        <v>142</v>
      </c>
      <c r="AL50" s="20" t="s">
        <v>143</v>
      </c>
      <c r="AM50" s="20" t="s">
        <v>101</v>
      </c>
      <c r="AN50" s="24"/>
      <c r="AO50" s="25"/>
      <c r="AP50" s="24"/>
      <c r="AQ50" s="28">
        <v>-0.22</v>
      </c>
      <c r="AR50" s="29">
        <v>27</v>
      </c>
      <c r="AS50" s="28">
        <f>SQRT(AR50+AR51)*(AU50-AT50)*0.5/TINV(1-0.95,AR50+AR51-1)</f>
        <v>1.9604054205138968</v>
      </c>
      <c r="AT50" s="24">
        <v>-0.75</v>
      </c>
      <c r="AU50" s="24">
        <v>0.3</v>
      </c>
      <c r="AV50" s="22" t="s">
        <v>690</v>
      </c>
      <c r="AW50" s="22">
        <v>180</v>
      </c>
      <c r="AX50" s="22">
        <v>35</v>
      </c>
      <c r="AY50" s="33"/>
      <c r="AZ50" s="33"/>
      <c r="BA50" s="33"/>
      <c r="BB50"/>
    </row>
    <row r="51" spans="1:54" s="23" customFormat="1" hidden="1" x14ac:dyDescent="0.2">
      <c r="A51" t="s">
        <v>790</v>
      </c>
      <c r="B51" s="17" t="s">
        <v>117</v>
      </c>
      <c r="C51" s="17">
        <v>2011</v>
      </c>
      <c r="D51" s="17" t="s">
        <v>134</v>
      </c>
      <c r="E51" s="32" t="s">
        <v>88</v>
      </c>
      <c r="F51" s="17" t="s">
        <v>88</v>
      </c>
      <c r="G51" s="17" t="s">
        <v>119</v>
      </c>
      <c r="H51" s="17" t="s">
        <v>120</v>
      </c>
      <c r="I51" s="17" t="s">
        <v>91</v>
      </c>
      <c r="J51" s="17" t="s">
        <v>54</v>
      </c>
      <c r="K51" s="17" t="s">
        <v>121</v>
      </c>
      <c r="L51" s="17" t="s">
        <v>56</v>
      </c>
      <c r="M51" s="34" t="s">
        <v>93</v>
      </c>
      <c r="N51" s="34" t="s">
        <v>58</v>
      </c>
      <c r="O51" s="34" t="s">
        <v>93</v>
      </c>
      <c r="P51" s="34" t="s">
        <v>57</v>
      </c>
      <c r="Q51" s="34" t="s">
        <v>58</v>
      </c>
      <c r="R51" s="34" t="s">
        <v>57</v>
      </c>
      <c r="S51" s="32" t="s">
        <v>135</v>
      </c>
      <c r="T51" s="32" t="s">
        <v>136</v>
      </c>
      <c r="U51" s="32" t="s">
        <v>137</v>
      </c>
      <c r="V51" s="32" t="s">
        <v>138</v>
      </c>
      <c r="W51" s="32"/>
      <c r="X51" s="32"/>
      <c r="Y51" s="17" t="s">
        <v>139</v>
      </c>
      <c r="Z51" s="17"/>
      <c r="AA51" s="17"/>
      <c r="AB51" s="17"/>
      <c r="AC51" s="17" t="s">
        <v>140</v>
      </c>
      <c r="AD51" s="17"/>
      <c r="AE51" s="17"/>
      <c r="AF51" s="17"/>
      <c r="AG51" s="17"/>
      <c r="AH51" s="17"/>
      <c r="AI51" s="17" t="s">
        <v>100</v>
      </c>
      <c r="AJ51" s="17"/>
      <c r="AK51" s="20" t="s">
        <v>142</v>
      </c>
      <c r="AL51" s="20" t="s">
        <v>143</v>
      </c>
      <c r="AM51" s="20" t="s">
        <v>101</v>
      </c>
      <c r="AN51" s="24"/>
      <c r="AO51" s="25"/>
      <c r="AP51" s="24"/>
      <c r="AQ51" s="28"/>
      <c r="AR51" s="29">
        <v>29</v>
      </c>
      <c r="AS51" s="28"/>
      <c r="AT51" s="24"/>
      <c r="AU51" s="24"/>
      <c r="AV51" s="22" t="s">
        <v>690</v>
      </c>
      <c r="AW51" s="22">
        <v>180</v>
      </c>
      <c r="AX51" s="22">
        <v>35</v>
      </c>
      <c r="AY51" s="33"/>
      <c r="AZ51" s="33"/>
      <c r="BA51" s="33"/>
      <c r="BB51"/>
    </row>
    <row r="52" spans="1:54" s="23" customFormat="1" hidden="1" x14ac:dyDescent="0.2">
      <c r="A52" t="s">
        <v>790</v>
      </c>
      <c r="B52" s="17" t="s">
        <v>117</v>
      </c>
      <c r="C52" s="17">
        <v>2011</v>
      </c>
      <c r="D52" s="17" t="s">
        <v>118</v>
      </c>
      <c r="E52" s="32" t="s">
        <v>105</v>
      </c>
      <c r="F52" s="8" t="s">
        <v>106</v>
      </c>
      <c r="G52" s="17" t="s">
        <v>119</v>
      </c>
      <c r="H52" s="17" t="s">
        <v>120</v>
      </c>
      <c r="I52" s="17" t="s">
        <v>91</v>
      </c>
      <c r="J52" s="17" t="s">
        <v>54</v>
      </c>
      <c r="K52" s="17" t="s">
        <v>121</v>
      </c>
      <c r="L52" s="17" t="s">
        <v>56</v>
      </c>
      <c r="M52" s="34" t="s">
        <v>93</v>
      </c>
      <c r="N52" s="34" t="s">
        <v>58</v>
      </c>
      <c r="O52" s="34" t="s">
        <v>93</v>
      </c>
      <c r="P52" s="34" t="s">
        <v>57</v>
      </c>
      <c r="Q52" s="34" t="s">
        <v>58</v>
      </c>
      <c r="R52" s="34" t="s">
        <v>57</v>
      </c>
      <c r="S52" s="32" t="s">
        <v>122</v>
      </c>
      <c r="T52" s="32" t="s">
        <v>123</v>
      </c>
      <c r="U52" s="32" t="s">
        <v>124</v>
      </c>
      <c r="V52" s="32" t="s">
        <v>125</v>
      </c>
      <c r="W52" s="32"/>
      <c r="X52" s="32"/>
      <c r="Y52" s="17" t="s">
        <v>126</v>
      </c>
      <c r="Z52" s="17"/>
      <c r="AA52" s="17"/>
      <c r="AB52" s="17"/>
      <c r="AC52" s="17" t="s">
        <v>127</v>
      </c>
      <c r="AD52" s="17"/>
      <c r="AE52" s="17"/>
      <c r="AF52" s="17"/>
      <c r="AG52" s="17"/>
      <c r="AH52" s="17"/>
      <c r="AI52" s="17" t="s">
        <v>64</v>
      </c>
      <c r="AJ52" s="17"/>
      <c r="AK52" s="20" t="s">
        <v>165</v>
      </c>
      <c r="AL52" s="20" t="s">
        <v>776</v>
      </c>
      <c r="AM52" s="20" t="s">
        <v>101</v>
      </c>
      <c r="AN52" s="24"/>
      <c r="AO52" s="25"/>
      <c r="AP52" s="24"/>
      <c r="AQ52" s="28">
        <v>-0.09</v>
      </c>
      <c r="AR52" s="29">
        <v>27</v>
      </c>
      <c r="AS52" s="28">
        <f>SQRT(AR52+AR53)*(AU52-AT52)*0.5/TINV(1-0.95,AR52+AR53-1)</f>
        <v>2.0910991152148237</v>
      </c>
      <c r="AT52" s="24">
        <v>-0.64</v>
      </c>
      <c r="AU52" s="24">
        <v>0.48</v>
      </c>
      <c r="AV52" s="22" t="s">
        <v>690</v>
      </c>
      <c r="AW52" s="22">
        <v>180</v>
      </c>
      <c r="AX52" s="22">
        <v>35</v>
      </c>
      <c r="AY52" s="33"/>
      <c r="AZ52" s="33"/>
      <c r="BA52" s="33"/>
      <c r="BB52"/>
    </row>
    <row r="53" spans="1:54" s="23" customFormat="1" hidden="1" x14ac:dyDescent="0.2">
      <c r="A53" t="s">
        <v>790</v>
      </c>
      <c r="B53" s="17" t="s">
        <v>117</v>
      </c>
      <c r="C53" s="17">
        <v>2011</v>
      </c>
      <c r="D53" s="17" t="s">
        <v>134</v>
      </c>
      <c r="E53" s="32" t="s">
        <v>88</v>
      </c>
      <c r="F53" s="17" t="s">
        <v>88</v>
      </c>
      <c r="G53" s="17" t="s">
        <v>119</v>
      </c>
      <c r="H53" s="17" t="s">
        <v>120</v>
      </c>
      <c r="I53" s="17" t="s">
        <v>91</v>
      </c>
      <c r="J53" s="17" t="s">
        <v>54</v>
      </c>
      <c r="K53" s="17" t="s">
        <v>121</v>
      </c>
      <c r="L53" s="17" t="s">
        <v>56</v>
      </c>
      <c r="M53" s="34" t="s">
        <v>93</v>
      </c>
      <c r="N53" s="34" t="s">
        <v>58</v>
      </c>
      <c r="O53" s="34" t="s">
        <v>93</v>
      </c>
      <c r="P53" s="34" t="s">
        <v>57</v>
      </c>
      <c r="Q53" s="34" t="s">
        <v>58</v>
      </c>
      <c r="R53" s="34" t="s">
        <v>57</v>
      </c>
      <c r="S53" s="32" t="s">
        <v>135</v>
      </c>
      <c r="T53" s="32" t="s">
        <v>136</v>
      </c>
      <c r="U53" s="32" t="s">
        <v>137</v>
      </c>
      <c r="V53" s="32" t="s">
        <v>138</v>
      </c>
      <c r="W53" s="32"/>
      <c r="X53" s="32"/>
      <c r="Y53" s="17" t="s">
        <v>139</v>
      </c>
      <c r="Z53" s="17"/>
      <c r="AA53" s="17"/>
      <c r="AB53" s="17"/>
      <c r="AC53" s="17" t="s">
        <v>140</v>
      </c>
      <c r="AD53" s="17"/>
      <c r="AE53" s="17"/>
      <c r="AF53" s="17"/>
      <c r="AG53" s="17"/>
      <c r="AH53" s="17"/>
      <c r="AI53" s="17" t="s">
        <v>100</v>
      </c>
      <c r="AJ53" s="17"/>
      <c r="AK53" s="20" t="s">
        <v>165</v>
      </c>
      <c r="AL53" s="20" t="s">
        <v>776</v>
      </c>
      <c r="AM53" s="20" t="s">
        <v>101</v>
      </c>
      <c r="AN53" s="24"/>
      <c r="AO53" s="25"/>
      <c r="AP53" s="24"/>
      <c r="AQ53" s="28"/>
      <c r="AR53" s="29">
        <v>29</v>
      </c>
      <c r="AS53" s="28"/>
      <c r="AT53" s="24"/>
      <c r="AU53" s="24"/>
      <c r="AV53" s="22" t="s">
        <v>690</v>
      </c>
      <c r="AW53" s="22">
        <v>180</v>
      </c>
      <c r="AX53" s="22">
        <v>35</v>
      </c>
      <c r="AY53" s="33"/>
      <c r="AZ53" s="33"/>
      <c r="BA53" s="33"/>
      <c r="BB53"/>
    </row>
    <row r="54" spans="1:54" s="23" customFormat="1" hidden="1" x14ac:dyDescent="0.2">
      <c r="A54" t="s">
        <v>790</v>
      </c>
      <c r="B54" s="17" t="s">
        <v>117</v>
      </c>
      <c r="C54" s="17">
        <v>2011</v>
      </c>
      <c r="D54" s="17" t="s">
        <v>118</v>
      </c>
      <c r="E54" s="32" t="s">
        <v>105</v>
      </c>
      <c r="F54" s="8" t="s">
        <v>106</v>
      </c>
      <c r="G54" s="17" t="s">
        <v>119</v>
      </c>
      <c r="H54" s="17" t="s">
        <v>120</v>
      </c>
      <c r="I54" s="17" t="s">
        <v>91</v>
      </c>
      <c r="J54" s="17" t="s">
        <v>54</v>
      </c>
      <c r="K54" s="17" t="s">
        <v>121</v>
      </c>
      <c r="L54" s="17" t="s">
        <v>56</v>
      </c>
      <c r="M54" s="34" t="s">
        <v>93</v>
      </c>
      <c r="N54" s="34" t="s">
        <v>58</v>
      </c>
      <c r="O54" s="34" t="s">
        <v>93</v>
      </c>
      <c r="P54" s="34" t="s">
        <v>57</v>
      </c>
      <c r="Q54" s="34" t="s">
        <v>58</v>
      </c>
      <c r="R54" s="34" t="s">
        <v>57</v>
      </c>
      <c r="S54" s="32" t="s">
        <v>122</v>
      </c>
      <c r="T54" s="32" t="s">
        <v>123</v>
      </c>
      <c r="U54" s="32" t="s">
        <v>124</v>
      </c>
      <c r="V54" s="32" t="s">
        <v>125</v>
      </c>
      <c r="W54" s="32"/>
      <c r="X54" s="32"/>
      <c r="Y54" s="17" t="s">
        <v>126</v>
      </c>
      <c r="Z54" s="17"/>
      <c r="AA54" s="17"/>
      <c r="AB54" s="17"/>
      <c r="AC54" s="17" t="s">
        <v>127</v>
      </c>
      <c r="AD54" s="17"/>
      <c r="AE54" s="17"/>
      <c r="AF54" s="17"/>
      <c r="AG54" s="17"/>
      <c r="AH54" s="17"/>
      <c r="AI54" s="17" t="s">
        <v>64</v>
      </c>
      <c r="AJ54" s="17"/>
      <c r="AK54" s="20" t="s">
        <v>165</v>
      </c>
      <c r="AL54" s="20" t="s">
        <v>166</v>
      </c>
      <c r="AM54" s="20" t="s">
        <v>101</v>
      </c>
      <c r="AN54" s="24"/>
      <c r="AO54" s="25"/>
      <c r="AP54" s="24"/>
      <c r="AQ54" s="28">
        <v>-0.1</v>
      </c>
      <c r="AR54" s="29">
        <v>27</v>
      </c>
      <c r="AS54" s="28">
        <f>SQRT(AR54+AR55)*(AU54-AT54)*0.5/TINV(1-0.95,AR54+AR55-1)</f>
        <v>2.12844017084366</v>
      </c>
      <c r="AT54" s="24">
        <v>-0.66</v>
      </c>
      <c r="AU54" s="24">
        <v>0.48</v>
      </c>
      <c r="AV54" s="22" t="s">
        <v>690</v>
      </c>
      <c r="AW54" s="22">
        <v>180</v>
      </c>
      <c r="AX54" s="22">
        <v>35</v>
      </c>
      <c r="AY54" s="33"/>
      <c r="AZ54" s="33"/>
      <c r="BA54" s="33"/>
      <c r="BB54"/>
    </row>
    <row r="55" spans="1:54" s="23" customFormat="1" hidden="1" x14ac:dyDescent="0.2">
      <c r="A55" t="s">
        <v>790</v>
      </c>
      <c r="B55" s="17" t="s">
        <v>117</v>
      </c>
      <c r="C55" s="17">
        <v>2011</v>
      </c>
      <c r="D55" s="17" t="s">
        <v>134</v>
      </c>
      <c r="E55" s="32" t="s">
        <v>88</v>
      </c>
      <c r="F55" s="17" t="s">
        <v>88</v>
      </c>
      <c r="G55" s="17" t="s">
        <v>119</v>
      </c>
      <c r="H55" s="17" t="s">
        <v>120</v>
      </c>
      <c r="I55" s="17" t="s">
        <v>91</v>
      </c>
      <c r="J55" s="17" t="s">
        <v>54</v>
      </c>
      <c r="K55" s="17" t="s">
        <v>121</v>
      </c>
      <c r="L55" s="17" t="s">
        <v>56</v>
      </c>
      <c r="M55" s="34" t="s">
        <v>93</v>
      </c>
      <c r="N55" s="34" t="s">
        <v>58</v>
      </c>
      <c r="O55" s="34" t="s">
        <v>93</v>
      </c>
      <c r="P55" s="34" t="s">
        <v>57</v>
      </c>
      <c r="Q55" s="34" t="s">
        <v>58</v>
      </c>
      <c r="R55" s="34" t="s">
        <v>57</v>
      </c>
      <c r="S55" s="32" t="s">
        <v>135</v>
      </c>
      <c r="T55" s="32" t="s">
        <v>136</v>
      </c>
      <c r="U55" s="32" t="s">
        <v>137</v>
      </c>
      <c r="V55" s="32" t="s">
        <v>138</v>
      </c>
      <c r="W55" s="32"/>
      <c r="X55" s="32"/>
      <c r="Y55" s="17" t="s">
        <v>139</v>
      </c>
      <c r="Z55" s="17"/>
      <c r="AA55" s="17"/>
      <c r="AB55" s="17"/>
      <c r="AC55" s="17" t="s">
        <v>140</v>
      </c>
      <c r="AD55" s="17"/>
      <c r="AE55" s="17"/>
      <c r="AF55" s="17"/>
      <c r="AG55" s="17"/>
      <c r="AH55" s="17"/>
      <c r="AI55" s="17" t="s">
        <v>100</v>
      </c>
      <c r="AJ55" s="17"/>
      <c r="AK55" s="20" t="s">
        <v>165</v>
      </c>
      <c r="AL55" s="20" t="s">
        <v>166</v>
      </c>
      <c r="AM55" s="20" t="s">
        <v>101</v>
      </c>
      <c r="AN55" s="24"/>
      <c r="AO55" s="25"/>
      <c r="AP55" s="24"/>
      <c r="AQ55" s="28"/>
      <c r="AR55" s="29">
        <v>29</v>
      </c>
      <c r="AS55" s="28"/>
      <c r="AT55" s="24"/>
      <c r="AU55" s="24"/>
      <c r="AV55" s="22" t="s">
        <v>690</v>
      </c>
      <c r="AW55" s="22">
        <v>180</v>
      </c>
      <c r="AX55" s="22">
        <v>35</v>
      </c>
      <c r="AY55" s="33"/>
      <c r="AZ55" s="33"/>
      <c r="BA55" s="33"/>
      <c r="BB55"/>
    </row>
    <row r="56" spans="1:54" hidden="1" x14ac:dyDescent="0.2">
      <c r="A56" t="s">
        <v>790</v>
      </c>
      <c r="B56" s="17" t="s">
        <v>117</v>
      </c>
      <c r="C56" s="17">
        <v>2011</v>
      </c>
      <c r="D56" s="17" t="s">
        <v>118</v>
      </c>
      <c r="E56" s="32" t="s">
        <v>105</v>
      </c>
      <c r="F56" s="8" t="s">
        <v>106</v>
      </c>
      <c r="G56" s="17" t="s">
        <v>119</v>
      </c>
      <c r="H56" s="17" t="s">
        <v>120</v>
      </c>
      <c r="I56" s="17" t="s">
        <v>91</v>
      </c>
      <c r="J56" s="17" t="s">
        <v>54</v>
      </c>
      <c r="K56" s="17" t="s">
        <v>121</v>
      </c>
      <c r="L56" s="17" t="s">
        <v>56</v>
      </c>
      <c r="M56" s="34" t="s">
        <v>93</v>
      </c>
      <c r="N56" s="34" t="s">
        <v>58</v>
      </c>
      <c r="O56" s="34" t="s">
        <v>93</v>
      </c>
      <c r="P56" s="34" t="s">
        <v>57</v>
      </c>
      <c r="Q56" s="34" t="s">
        <v>58</v>
      </c>
      <c r="R56" s="34" t="s">
        <v>57</v>
      </c>
      <c r="S56" s="32" t="s">
        <v>122</v>
      </c>
      <c r="T56" s="32" t="s">
        <v>123</v>
      </c>
      <c r="U56" s="32" t="s">
        <v>124</v>
      </c>
      <c r="V56" s="32" t="s">
        <v>125</v>
      </c>
      <c r="W56" s="32"/>
      <c r="X56" s="32"/>
      <c r="Y56" s="17" t="s">
        <v>126</v>
      </c>
      <c r="Z56" s="17"/>
      <c r="AA56" s="17"/>
      <c r="AB56" s="17"/>
      <c r="AC56" s="17" t="s">
        <v>127</v>
      </c>
      <c r="AD56" s="17"/>
      <c r="AE56" s="17"/>
      <c r="AF56" s="17"/>
      <c r="AG56" s="17"/>
      <c r="AH56" s="17"/>
      <c r="AI56" s="17" t="s">
        <v>64</v>
      </c>
      <c r="AJ56" s="17"/>
      <c r="AK56" s="20" t="s">
        <v>165</v>
      </c>
      <c r="AL56" s="20" t="s">
        <v>152</v>
      </c>
      <c r="AM56" s="20" t="s">
        <v>101</v>
      </c>
      <c r="AN56" s="24"/>
      <c r="AO56" s="25"/>
      <c r="AP56" s="24"/>
      <c r="AQ56" s="28">
        <v>-0.14000000000000001</v>
      </c>
      <c r="AR56" s="29">
        <v>27</v>
      </c>
      <c r="AS56" s="28">
        <f>SQRT(AR56+AR57)*(AU56-AT56)*0.5/TINV(1-0.95,AR56+AR57-1)</f>
        <v>1.9790759483283149</v>
      </c>
      <c r="AT56" s="24">
        <v>-0.66</v>
      </c>
      <c r="AU56" s="24">
        <v>0.4</v>
      </c>
      <c r="AV56" s="22" t="s">
        <v>690</v>
      </c>
      <c r="AW56" s="22">
        <v>180</v>
      </c>
      <c r="AX56" s="22">
        <v>35</v>
      </c>
    </row>
    <row r="57" spans="1:54" hidden="1" x14ac:dyDescent="0.2">
      <c r="A57" t="s">
        <v>790</v>
      </c>
      <c r="B57" s="17" t="s">
        <v>117</v>
      </c>
      <c r="C57" s="17">
        <v>2011</v>
      </c>
      <c r="D57" s="17" t="s">
        <v>134</v>
      </c>
      <c r="E57" s="32" t="s">
        <v>88</v>
      </c>
      <c r="F57" s="17" t="s">
        <v>88</v>
      </c>
      <c r="G57" s="17" t="s">
        <v>119</v>
      </c>
      <c r="H57" s="17" t="s">
        <v>120</v>
      </c>
      <c r="I57" s="17" t="s">
        <v>91</v>
      </c>
      <c r="J57" s="17" t="s">
        <v>54</v>
      </c>
      <c r="K57" s="17" t="s">
        <v>121</v>
      </c>
      <c r="L57" s="17" t="s">
        <v>56</v>
      </c>
      <c r="M57" s="34" t="s">
        <v>93</v>
      </c>
      <c r="N57" s="34" t="s">
        <v>58</v>
      </c>
      <c r="O57" s="34" t="s">
        <v>93</v>
      </c>
      <c r="P57" s="34" t="s">
        <v>57</v>
      </c>
      <c r="Q57" s="34" t="s">
        <v>58</v>
      </c>
      <c r="R57" s="34" t="s">
        <v>57</v>
      </c>
      <c r="S57" s="32" t="s">
        <v>135</v>
      </c>
      <c r="T57" s="32" t="s">
        <v>136</v>
      </c>
      <c r="U57" s="32" t="s">
        <v>137</v>
      </c>
      <c r="V57" s="32" t="s">
        <v>138</v>
      </c>
      <c r="W57" s="32"/>
      <c r="X57" s="32"/>
      <c r="Y57" s="17" t="s">
        <v>139</v>
      </c>
      <c r="Z57" s="17"/>
      <c r="AA57" s="17"/>
      <c r="AB57" s="17"/>
      <c r="AC57" s="17" t="s">
        <v>140</v>
      </c>
      <c r="AD57" s="17"/>
      <c r="AE57" s="17"/>
      <c r="AF57" s="17"/>
      <c r="AG57" s="17"/>
      <c r="AH57" s="17"/>
      <c r="AI57" s="17" t="s">
        <v>100</v>
      </c>
      <c r="AJ57" s="17"/>
      <c r="AK57" s="20" t="s">
        <v>165</v>
      </c>
      <c r="AL57" s="20" t="s">
        <v>152</v>
      </c>
      <c r="AM57" s="20" t="s">
        <v>101</v>
      </c>
      <c r="AN57" s="24"/>
      <c r="AO57" s="25"/>
      <c r="AP57" s="24"/>
      <c r="AQ57" s="28"/>
      <c r="AR57" s="29">
        <v>29</v>
      </c>
      <c r="AS57" s="28"/>
      <c r="AT57" s="24"/>
      <c r="AU57" s="24"/>
      <c r="AV57" s="22" t="s">
        <v>690</v>
      </c>
      <c r="AW57" s="22">
        <v>180</v>
      </c>
      <c r="AX57" s="22">
        <v>35</v>
      </c>
    </row>
    <row r="58" spans="1:54" hidden="1" x14ac:dyDescent="0.2">
      <c r="A58" t="s">
        <v>790</v>
      </c>
      <c r="B58" s="17" t="s">
        <v>117</v>
      </c>
      <c r="C58" s="17">
        <v>2011</v>
      </c>
      <c r="D58" s="17" t="s">
        <v>118</v>
      </c>
      <c r="E58" s="32" t="s">
        <v>105</v>
      </c>
      <c r="F58" s="8" t="s">
        <v>106</v>
      </c>
      <c r="G58" s="17" t="s">
        <v>119</v>
      </c>
      <c r="H58" s="17" t="s">
        <v>120</v>
      </c>
      <c r="I58" s="17" t="s">
        <v>91</v>
      </c>
      <c r="J58" s="17" t="s">
        <v>54</v>
      </c>
      <c r="K58" s="17" t="s">
        <v>121</v>
      </c>
      <c r="L58" s="17" t="s">
        <v>56</v>
      </c>
      <c r="M58" s="34" t="s">
        <v>93</v>
      </c>
      <c r="N58" s="34" t="s">
        <v>58</v>
      </c>
      <c r="O58" s="34" t="s">
        <v>93</v>
      </c>
      <c r="P58" s="34" t="s">
        <v>57</v>
      </c>
      <c r="Q58" s="34" t="s">
        <v>58</v>
      </c>
      <c r="R58" s="34" t="s">
        <v>57</v>
      </c>
      <c r="S58" s="32" t="s">
        <v>122</v>
      </c>
      <c r="T58" s="32" t="s">
        <v>123</v>
      </c>
      <c r="U58" s="32" t="s">
        <v>124</v>
      </c>
      <c r="V58" s="32" t="s">
        <v>125</v>
      </c>
      <c r="W58" s="32"/>
      <c r="X58" s="32"/>
      <c r="Y58" s="17" t="s">
        <v>126</v>
      </c>
      <c r="Z58" s="17"/>
      <c r="AA58" s="17"/>
      <c r="AB58" s="17"/>
      <c r="AC58" s="17" t="s">
        <v>127</v>
      </c>
      <c r="AD58" s="17"/>
      <c r="AE58" s="17"/>
      <c r="AF58" s="17"/>
      <c r="AG58" s="17"/>
      <c r="AH58" s="17"/>
      <c r="AI58" s="17" t="s">
        <v>64</v>
      </c>
      <c r="AJ58" s="17"/>
      <c r="AK58" s="20" t="s">
        <v>165</v>
      </c>
      <c r="AL58" s="20" t="s">
        <v>152</v>
      </c>
      <c r="AM58" s="20" t="s">
        <v>101</v>
      </c>
      <c r="AN58" s="24"/>
      <c r="AO58" s="25"/>
      <c r="AP58" s="24"/>
      <c r="AQ58" s="28">
        <v>0.1</v>
      </c>
      <c r="AR58" s="29">
        <v>27</v>
      </c>
      <c r="AS58" s="28">
        <f>SQRT(AR58+AR59)*(AU58-AT58)*0.5/TINV(1-0.95,AR58+AR59-1)</f>
        <v>2.1471106986580772</v>
      </c>
      <c r="AT58" s="24">
        <v>-0.47</v>
      </c>
      <c r="AU58" s="24">
        <v>0.68</v>
      </c>
      <c r="AV58" s="22" t="s">
        <v>690</v>
      </c>
      <c r="AW58" s="22">
        <v>180</v>
      </c>
      <c r="AX58" s="22">
        <v>35</v>
      </c>
    </row>
    <row r="59" spans="1:54" hidden="1" x14ac:dyDescent="0.2">
      <c r="A59" t="s">
        <v>790</v>
      </c>
      <c r="B59" s="17" t="s">
        <v>117</v>
      </c>
      <c r="C59" s="17">
        <v>2011</v>
      </c>
      <c r="D59" s="17" t="s">
        <v>134</v>
      </c>
      <c r="E59" s="32" t="s">
        <v>88</v>
      </c>
      <c r="F59" s="17" t="s">
        <v>88</v>
      </c>
      <c r="G59" s="17" t="s">
        <v>119</v>
      </c>
      <c r="H59" s="17" t="s">
        <v>120</v>
      </c>
      <c r="I59" s="17" t="s">
        <v>91</v>
      </c>
      <c r="J59" s="17" t="s">
        <v>54</v>
      </c>
      <c r="K59" s="17" t="s">
        <v>121</v>
      </c>
      <c r="L59" s="17" t="s">
        <v>56</v>
      </c>
      <c r="M59" s="34" t="s">
        <v>93</v>
      </c>
      <c r="N59" s="34" t="s">
        <v>58</v>
      </c>
      <c r="O59" s="34" t="s">
        <v>93</v>
      </c>
      <c r="P59" s="34" t="s">
        <v>57</v>
      </c>
      <c r="Q59" s="34" t="s">
        <v>58</v>
      </c>
      <c r="R59" s="34" t="s">
        <v>57</v>
      </c>
      <c r="S59" s="32" t="s">
        <v>135</v>
      </c>
      <c r="T59" s="32" t="s">
        <v>136</v>
      </c>
      <c r="U59" s="32" t="s">
        <v>137</v>
      </c>
      <c r="V59" s="32" t="s">
        <v>138</v>
      </c>
      <c r="W59" s="32"/>
      <c r="X59" s="32"/>
      <c r="Y59" s="17" t="s">
        <v>139</v>
      </c>
      <c r="Z59" s="17"/>
      <c r="AA59" s="17"/>
      <c r="AB59" s="17"/>
      <c r="AC59" s="17" t="s">
        <v>140</v>
      </c>
      <c r="AD59" s="17"/>
      <c r="AE59" s="17"/>
      <c r="AF59" s="17"/>
      <c r="AG59" s="17"/>
      <c r="AH59" s="17"/>
      <c r="AI59" s="17" t="s">
        <v>100</v>
      </c>
      <c r="AJ59" s="17"/>
      <c r="AK59" s="20" t="s">
        <v>165</v>
      </c>
      <c r="AL59" s="20" t="s">
        <v>152</v>
      </c>
      <c r="AM59" s="20" t="s">
        <v>101</v>
      </c>
      <c r="AN59" s="24"/>
      <c r="AO59" s="25"/>
      <c r="AP59" s="24"/>
      <c r="AQ59" s="28"/>
      <c r="AR59" s="29">
        <v>29</v>
      </c>
      <c r="AS59" s="28"/>
      <c r="AT59" s="24"/>
      <c r="AU59" s="24"/>
      <c r="AV59" s="22" t="s">
        <v>690</v>
      </c>
      <c r="AW59" s="22">
        <v>180</v>
      </c>
      <c r="AX59" s="22">
        <v>35</v>
      </c>
    </row>
    <row r="60" spans="1:54" hidden="1" x14ac:dyDescent="0.2">
      <c r="A60" t="s">
        <v>790</v>
      </c>
      <c r="B60" s="17" t="s">
        <v>117</v>
      </c>
      <c r="C60" s="17">
        <v>2011</v>
      </c>
      <c r="D60" s="17" t="s">
        <v>118</v>
      </c>
      <c r="E60" s="32" t="s">
        <v>105</v>
      </c>
      <c r="F60" s="8" t="s">
        <v>106</v>
      </c>
      <c r="G60" s="17" t="s">
        <v>119</v>
      </c>
      <c r="H60" s="17" t="s">
        <v>120</v>
      </c>
      <c r="I60" s="17" t="s">
        <v>91</v>
      </c>
      <c r="J60" s="17" t="s">
        <v>54</v>
      </c>
      <c r="K60" s="17" t="s">
        <v>121</v>
      </c>
      <c r="L60" s="17" t="s">
        <v>56</v>
      </c>
      <c r="M60" s="34" t="s">
        <v>93</v>
      </c>
      <c r="N60" s="34" t="s">
        <v>58</v>
      </c>
      <c r="O60" s="34" t="s">
        <v>93</v>
      </c>
      <c r="P60" s="34" t="s">
        <v>57</v>
      </c>
      <c r="Q60" s="34" t="s">
        <v>58</v>
      </c>
      <c r="R60" s="34" t="s">
        <v>57</v>
      </c>
      <c r="S60" s="32" t="s">
        <v>122</v>
      </c>
      <c r="T60" s="32" t="s">
        <v>123</v>
      </c>
      <c r="U60" s="32" t="s">
        <v>124</v>
      </c>
      <c r="V60" s="32" t="s">
        <v>125</v>
      </c>
      <c r="W60" s="32"/>
      <c r="X60" s="32"/>
      <c r="Y60" s="17" t="s">
        <v>126</v>
      </c>
      <c r="Z60" s="17"/>
      <c r="AA60" s="17"/>
      <c r="AB60" s="17"/>
      <c r="AC60" s="17" t="s">
        <v>127</v>
      </c>
      <c r="AD60" s="17"/>
      <c r="AE60" s="17"/>
      <c r="AF60" s="17"/>
      <c r="AG60" s="17"/>
      <c r="AH60" s="17"/>
      <c r="AI60" s="17" t="s">
        <v>64</v>
      </c>
      <c r="AJ60" s="17"/>
      <c r="AK60" s="20" t="s">
        <v>147</v>
      </c>
      <c r="AL60" s="20" t="s">
        <v>143</v>
      </c>
      <c r="AM60" s="20" t="s">
        <v>101</v>
      </c>
      <c r="AN60" s="24"/>
      <c r="AO60" s="25"/>
      <c r="AP60" s="24"/>
      <c r="AQ60" s="28">
        <v>0.49</v>
      </c>
      <c r="AR60" s="29">
        <v>27</v>
      </c>
      <c r="AS60" s="28">
        <f>SQRT(AR60+AR61)*(AU60-AT60)*0.5/TINV(1-0.95,AR60+AR61-1)</f>
        <v>1.8483822536273884</v>
      </c>
      <c r="AT60" s="24">
        <v>0</v>
      </c>
      <c r="AU60" s="24">
        <v>0.99</v>
      </c>
      <c r="AV60" s="22" t="s">
        <v>690</v>
      </c>
      <c r="AW60" s="22">
        <v>180</v>
      </c>
      <c r="AX60" s="22">
        <v>35</v>
      </c>
    </row>
    <row r="61" spans="1:54" hidden="1" x14ac:dyDescent="0.2">
      <c r="A61" t="s">
        <v>790</v>
      </c>
      <c r="B61" s="17" t="s">
        <v>117</v>
      </c>
      <c r="C61" s="17">
        <v>2011</v>
      </c>
      <c r="D61" s="17" t="s">
        <v>134</v>
      </c>
      <c r="E61" s="32" t="s">
        <v>88</v>
      </c>
      <c r="F61" s="17" t="s">
        <v>88</v>
      </c>
      <c r="G61" s="17" t="s">
        <v>119</v>
      </c>
      <c r="H61" s="17" t="s">
        <v>120</v>
      </c>
      <c r="I61" s="17" t="s">
        <v>91</v>
      </c>
      <c r="J61" s="17" t="s">
        <v>54</v>
      </c>
      <c r="K61" s="17" t="s">
        <v>121</v>
      </c>
      <c r="L61" s="17" t="s">
        <v>56</v>
      </c>
      <c r="M61" s="34" t="s">
        <v>93</v>
      </c>
      <c r="N61" s="34" t="s">
        <v>58</v>
      </c>
      <c r="O61" s="34" t="s">
        <v>93</v>
      </c>
      <c r="P61" s="34" t="s">
        <v>57</v>
      </c>
      <c r="Q61" s="34" t="s">
        <v>58</v>
      </c>
      <c r="R61" s="34" t="s">
        <v>57</v>
      </c>
      <c r="S61" s="32" t="s">
        <v>135</v>
      </c>
      <c r="T61" s="32" t="s">
        <v>136</v>
      </c>
      <c r="U61" s="32" t="s">
        <v>137</v>
      </c>
      <c r="V61" s="32" t="s">
        <v>138</v>
      </c>
      <c r="W61" s="32"/>
      <c r="X61" s="32"/>
      <c r="Y61" s="17" t="s">
        <v>139</v>
      </c>
      <c r="Z61" s="17"/>
      <c r="AA61" s="17"/>
      <c r="AB61" s="17"/>
      <c r="AC61" s="17" t="s">
        <v>140</v>
      </c>
      <c r="AD61" s="17"/>
      <c r="AE61" s="17"/>
      <c r="AF61" s="17"/>
      <c r="AG61" s="17"/>
      <c r="AH61" s="17"/>
      <c r="AI61" s="17" t="s">
        <v>100</v>
      </c>
      <c r="AJ61" s="17"/>
      <c r="AK61" s="20" t="s">
        <v>147</v>
      </c>
      <c r="AL61" s="20" t="s">
        <v>143</v>
      </c>
      <c r="AM61" s="20" t="s">
        <v>101</v>
      </c>
      <c r="AN61" s="24"/>
      <c r="AO61" s="25"/>
      <c r="AP61" s="24"/>
      <c r="AQ61" s="28"/>
      <c r="AR61" s="29">
        <v>29</v>
      </c>
      <c r="AS61" s="28"/>
      <c r="AT61" s="24"/>
      <c r="AU61" s="24"/>
      <c r="AV61" s="22" t="s">
        <v>690</v>
      </c>
      <c r="AW61" s="22">
        <v>180</v>
      </c>
      <c r="AX61" s="22">
        <v>35</v>
      </c>
    </row>
    <row r="62" spans="1:54" hidden="1" x14ac:dyDescent="0.2">
      <c r="A62" t="s">
        <v>790</v>
      </c>
      <c r="B62" s="17" t="s">
        <v>117</v>
      </c>
      <c r="C62" s="17">
        <v>2011</v>
      </c>
      <c r="D62" s="17" t="s">
        <v>118</v>
      </c>
      <c r="E62" s="32" t="s">
        <v>105</v>
      </c>
      <c r="F62" s="8" t="s">
        <v>106</v>
      </c>
      <c r="G62" s="17" t="s">
        <v>119</v>
      </c>
      <c r="H62" s="17" t="s">
        <v>120</v>
      </c>
      <c r="I62" s="17" t="s">
        <v>91</v>
      </c>
      <c r="J62" s="17" t="s">
        <v>54</v>
      </c>
      <c r="K62" s="17" t="s">
        <v>121</v>
      </c>
      <c r="L62" s="17" t="s">
        <v>56</v>
      </c>
      <c r="M62" s="34" t="s">
        <v>93</v>
      </c>
      <c r="N62" s="34" t="s">
        <v>58</v>
      </c>
      <c r="O62" s="34" t="s">
        <v>93</v>
      </c>
      <c r="P62" s="34" t="s">
        <v>57</v>
      </c>
      <c r="Q62" s="34" t="s">
        <v>58</v>
      </c>
      <c r="R62" s="34" t="s">
        <v>57</v>
      </c>
      <c r="S62" s="32" t="s">
        <v>122</v>
      </c>
      <c r="T62" s="32" t="s">
        <v>123</v>
      </c>
      <c r="U62" s="32" t="s">
        <v>124</v>
      </c>
      <c r="V62" s="32" t="s">
        <v>125</v>
      </c>
      <c r="W62" s="32"/>
      <c r="X62" s="32"/>
      <c r="Y62" s="17" t="s">
        <v>126</v>
      </c>
      <c r="Z62" s="17"/>
      <c r="AA62" s="17"/>
      <c r="AB62" s="17"/>
      <c r="AC62" s="17" t="s">
        <v>127</v>
      </c>
      <c r="AD62" s="17"/>
      <c r="AE62" s="17"/>
      <c r="AF62" s="17"/>
      <c r="AG62" s="17"/>
      <c r="AH62" s="17"/>
      <c r="AI62" s="17" t="s">
        <v>64</v>
      </c>
      <c r="AJ62" s="17"/>
      <c r="AK62" s="20" t="s">
        <v>477</v>
      </c>
      <c r="AL62" s="20" t="s">
        <v>143</v>
      </c>
      <c r="AM62" s="20" t="s">
        <v>101</v>
      </c>
      <c r="AN62" s="24"/>
      <c r="AO62" s="25"/>
      <c r="AP62" s="24"/>
      <c r="AQ62" s="28">
        <v>0.39</v>
      </c>
      <c r="AR62" s="29">
        <v>27</v>
      </c>
      <c r="AS62" s="28">
        <f>SQRT(AR62+AR63)*(AU62-AT62)*0.5/TINV(1-0.95,AR62+AR63-1)</f>
        <v>2.0164170039571512</v>
      </c>
      <c r="AT62" s="24">
        <v>-0.15</v>
      </c>
      <c r="AU62" s="24">
        <v>0.93</v>
      </c>
      <c r="AV62" s="22" t="s">
        <v>690</v>
      </c>
      <c r="AW62" s="22">
        <v>180</v>
      </c>
      <c r="AX62" s="22">
        <v>35</v>
      </c>
    </row>
    <row r="63" spans="1:54" hidden="1" x14ac:dyDescent="0.2">
      <c r="A63" t="s">
        <v>790</v>
      </c>
      <c r="B63" s="17" t="s">
        <v>117</v>
      </c>
      <c r="C63" s="17">
        <v>2011</v>
      </c>
      <c r="D63" s="17" t="s">
        <v>134</v>
      </c>
      <c r="E63" s="32" t="s">
        <v>88</v>
      </c>
      <c r="F63" s="17" t="s">
        <v>88</v>
      </c>
      <c r="G63" s="17" t="s">
        <v>119</v>
      </c>
      <c r="H63" s="17" t="s">
        <v>120</v>
      </c>
      <c r="I63" s="17" t="s">
        <v>91</v>
      </c>
      <c r="J63" s="17" t="s">
        <v>54</v>
      </c>
      <c r="K63" s="17" t="s">
        <v>121</v>
      </c>
      <c r="L63" s="17" t="s">
        <v>56</v>
      </c>
      <c r="M63" s="34" t="s">
        <v>93</v>
      </c>
      <c r="N63" s="34" t="s">
        <v>58</v>
      </c>
      <c r="O63" s="34" t="s">
        <v>93</v>
      </c>
      <c r="P63" s="34" t="s">
        <v>57</v>
      </c>
      <c r="Q63" s="34" t="s">
        <v>58</v>
      </c>
      <c r="R63" s="34" t="s">
        <v>57</v>
      </c>
      <c r="S63" s="32" t="s">
        <v>135</v>
      </c>
      <c r="T63" s="32" t="s">
        <v>136</v>
      </c>
      <c r="U63" s="32" t="s">
        <v>137</v>
      </c>
      <c r="V63" s="32" t="s">
        <v>138</v>
      </c>
      <c r="W63" s="32"/>
      <c r="X63" s="32"/>
      <c r="Y63" s="17" t="s">
        <v>139</v>
      </c>
      <c r="Z63" s="17"/>
      <c r="AA63" s="17"/>
      <c r="AB63" s="17"/>
      <c r="AC63" s="17" t="s">
        <v>140</v>
      </c>
      <c r="AD63" s="17"/>
      <c r="AE63" s="17"/>
      <c r="AF63" s="17"/>
      <c r="AG63" s="17"/>
      <c r="AH63" s="17"/>
      <c r="AI63" s="17" t="s">
        <v>100</v>
      </c>
      <c r="AJ63" s="17"/>
      <c r="AK63" s="20" t="s">
        <v>477</v>
      </c>
      <c r="AL63" s="20" t="s">
        <v>143</v>
      </c>
      <c r="AM63" s="20" t="s">
        <v>101</v>
      </c>
      <c r="AN63" s="24"/>
      <c r="AO63" s="25"/>
      <c r="AP63" s="24"/>
      <c r="AQ63" s="28"/>
      <c r="AR63" s="29">
        <v>29</v>
      </c>
      <c r="AS63" s="28"/>
      <c r="AT63" s="24"/>
      <c r="AU63" s="24"/>
      <c r="AV63" s="22" t="s">
        <v>690</v>
      </c>
      <c r="AW63" s="22">
        <v>180</v>
      </c>
      <c r="AX63" s="22">
        <v>35</v>
      </c>
    </row>
    <row r="64" spans="1:54" hidden="1" x14ac:dyDescent="0.2">
      <c r="A64" t="s">
        <v>790</v>
      </c>
      <c r="B64" s="17" t="s">
        <v>117</v>
      </c>
      <c r="C64" s="17">
        <v>2011</v>
      </c>
      <c r="D64" s="17" t="s">
        <v>118</v>
      </c>
      <c r="E64" s="32" t="s">
        <v>105</v>
      </c>
      <c r="F64" s="8" t="s">
        <v>106</v>
      </c>
      <c r="G64" s="17" t="s">
        <v>119</v>
      </c>
      <c r="H64" s="17" t="s">
        <v>120</v>
      </c>
      <c r="I64" s="17" t="s">
        <v>91</v>
      </c>
      <c r="J64" s="17" t="s">
        <v>54</v>
      </c>
      <c r="K64" s="17" t="s">
        <v>121</v>
      </c>
      <c r="L64" s="17" t="s">
        <v>56</v>
      </c>
      <c r="M64" s="34" t="s">
        <v>93</v>
      </c>
      <c r="N64" s="34" t="s">
        <v>58</v>
      </c>
      <c r="O64" s="34" t="s">
        <v>93</v>
      </c>
      <c r="P64" s="34" t="s">
        <v>57</v>
      </c>
      <c r="Q64" s="34" t="s">
        <v>58</v>
      </c>
      <c r="R64" s="34" t="s">
        <v>57</v>
      </c>
      <c r="S64" s="32" t="s">
        <v>122</v>
      </c>
      <c r="T64" s="32" t="s">
        <v>123</v>
      </c>
      <c r="U64" s="32" t="s">
        <v>124</v>
      </c>
      <c r="V64" s="32" t="s">
        <v>125</v>
      </c>
      <c r="W64" s="32"/>
      <c r="X64" s="32"/>
      <c r="Y64" s="17" t="s">
        <v>126</v>
      </c>
      <c r="Z64" s="17"/>
      <c r="AA64" s="17"/>
      <c r="AB64" s="17"/>
      <c r="AC64" s="17" t="s">
        <v>127</v>
      </c>
      <c r="AD64" s="17"/>
      <c r="AE64" s="17"/>
      <c r="AF64" s="17"/>
      <c r="AG64" s="17"/>
      <c r="AH64" s="17"/>
      <c r="AI64" s="17" t="s">
        <v>64</v>
      </c>
      <c r="AJ64" s="17"/>
      <c r="AK64" s="20" t="s">
        <v>168</v>
      </c>
      <c r="AL64" s="20" t="s">
        <v>169</v>
      </c>
      <c r="AM64" s="20" t="s">
        <v>101</v>
      </c>
      <c r="AN64" s="24"/>
      <c r="AO64" s="25"/>
      <c r="AP64" s="24"/>
      <c r="AQ64" s="28">
        <v>0.32</v>
      </c>
      <c r="AR64" s="29">
        <v>27</v>
      </c>
      <c r="AS64" s="28">
        <f>SQRT(AR64+AR65)*(AU64-AT64)*0.5/TINV(1-0.95,AR64+AR65-1)</f>
        <v>4.3315624529449908</v>
      </c>
      <c r="AT64" s="24">
        <v>-0.84</v>
      </c>
      <c r="AU64" s="24">
        <v>1.48</v>
      </c>
      <c r="AV64" s="22" t="s">
        <v>690</v>
      </c>
      <c r="AW64" s="22">
        <v>180</v>
      </c>
      <c r="AX64" s="22">
        <v>35</v>
      </c>
    </row>
    <row r="65" spans="1:51" hidden="1" x14ac:dyDescent="0.2">
      <c r="A65" t="s">
        <v>790</v>
      </c>
      <c r="B65" s="17" t="s">
        <v>117</v>
      </c>
      <c r="C65" s="17">
        <v>2011</v>
      </c>
      <c r="D65" s="17" t="s">
        <v>134</v>
      </c>
      <c r="E65" s="32" t="s">
        <v>88</v>
      </c>
      <c r="F65" s="17" t="s">
        <v>88</v>
      </c>
      <c r="G65" s="17" t="s">
        <v>119</v>
      </c>
      <c r="H65" s="17" t="s">
        <v>120</v>
      </c>
      <c r="I65" s="17" t="s">
        <v>91</v>
      </c>
      <c r="J65" s="17" t="s">
        <v>54</v>
      </c>
      <c r="K65" s="17" t="s">
        <v>121</v>
      </c>
      <c r="L65" s="17" t="s">
        <v>56</v>
      </c>
      <c r="M65" s="34" t="s">
        <v>93</v>
      </c>
      <c r="N65" s="34" t="s">
        <v>58</v>
      </c>
      <c r="O65" s="34" t="s">
        <v>93</v>
      </c>
      <c r="P65" s="34" t="s">
        <v>57</v>
      </c>
      <c r="Q65" s="34" t="s">
        <v>58</v>
      </c>
      <c r="R65" s="34" t="s">
        <v>57</v>
      </c>
      <c r="S65" s="32" t="s">
        <v>135</v>
      </c>
      <c r="T65" s="32" t="s">
        <v>136</v>
      </c>
      <c r="U65" s="32" t="s">
        <v>137</v>
      </c>
      <c r="V65" s="32" t="s">
        <v>138</v>
      </c>
      <c r="W65" s="32"/>
      <c r="X65" s="32"/>
      <c r="Y65" s="17" t="s">
        <v>139</v>
      </c>
      <c r="Z65" s="17"/>
      <c r="AA65" s="17"/>
      <c r="AB65" s="17"/>
      <c r="AC65" s="17" t="s">
        <v>140</v>
      </c>
      <c r="AD65" s="17"/>
      <c r="AE65" s="17"/>
      <c r="AF65" s="17"/>
      <c r="AG65" s="17"/>
      <c r="AH65" s="17"/>
      <c r="AI65" s="17" t="s">
        <v>100</v>
      </c>
      <c r="AJ65" s="17"/>
      <c r="AK65" s="20" t="s">
        <v>168</v>
      </c>
      <c r="AL65" s="20" t="s">
        <v>169</v>
      </c>
      <c r="AM65" s="20" t="s">
        <v>101</v>
      </c>
      <c r="AN65" s="24"/>
      <c r="AO65" s="25"/>
      <c r="AP65" s="24"/>
      <c r="AQ65" s="28"/>
      <c r="AR65" s="29">
        <v>29</v>
      </c>
      <c r="AS65" s="28"/>
      <c r="AT65" s="24"/>
      <c r="AU65" s="24"/>
      <c r="AV65" s="22" t="s">
        <v>690</v>
      </c>
      <c r="AW65" s="22">
        <v>180</v>
      </c>
      <c r="AX65" s="22">
        <v>35</v>
      </c>
    </row>
    <row r="66" spans="1:51" hidden="1" x14ac:dyDescent="0.2">
      <c r="A66" t="s">
        <v>790</v>
      </c>
      <c r="B66" s="17" t="s">
        <v>173</v>
      </c>
      <c r="C66" s="17">
        <v>2012</v>
      </c>
      <c r="D66" s="17" t="s">
        <v>174</v>
      </c>
      <c r="E66" s="32" t="s">
        <v>88</v>
      </c>
      <c r="F66" s="17" t="s">
        <v>88</v>
      </c>
      <c r="G66" s="17" t="s">
        <v>175</v>
      </c>
      <c r="H66" s="17" t="s">
        <v>176</v>
      </c>
      <c r="I66" s="17" t="s">
        <v>53</v>
      </c>
      <c r="J66" s="17" t="s">
        <v>54</v>
      </c>
      <c r="K66" s="17" t="s">
        <v>92</v>
      </c>
      <c r="L66" s="17" t="s">
        <v>177</v>
      </c>
      <c r="M66" s="34" t="s">
        <v>58</v>
      </c>
      <c r="N66" s="34" t="s">
        <v>58</v>
      </c>
      <c r="O66" s="34" t="s">
        <v>93</v>
      </c>
      <c r="P66" s="34" t="s">
        <v>58</v>
      </c>
      <c r="Q66" s="34" t="s">
        <v>58</v>
      </c>
      <c r="R66" s="34" t="s">
        <v>58</v>
      </c>
      <c r="S66" s="32"/>
      <c r="T66" s="32" t="s">
        <v>184</v>
      </c>
      <c r="U66" s="32"/>
      <c r="V66" s="32"/>
      <c r="W66" s="32"/>
      <c r="X66" s="32"/>
      <c r="Y66" s="17" t="s">
        <v>185</v>
      </c>
      <c r="Z66" s="17"/>
      <c r="AA66" s="17"/>
      <c r="AB66" s="17"/>
      <c r="AC66" s="17" t="s">
        <v>186</v>
      </c>
      <c r="AD66" s="17"/>
      <c r="AE66" s="17"/>
      <c r="AF66" s="17"/>
      <c r="AG66" s="17"/>
      <c r="AH66" s="17"/>
      <c r="AI66" s="17" t="s">
        <v>187</v>
      </c>
      <c r="AJ66" s="17"/>
      <c r="AK66" s="20" t="s">
        <v>188</v>
      </c>
      <c r="AL66" s="20" t="s">
        <v>178</v>
      </c>
      <c r="AM66" s="20" t="s">
        <v>67</v>
      </c>
      <c r="AN66" s="24">
        <v>18.52</v>
      </c>
      <c r="AO66" s="25">
        <v>48</v>
      </c>
      <c r="AP66" s="24">
        <v>3.4</v>
      </c>
      <c r="AQ66" s="28">
        <v>20.329999999999998</v>
      </c>
      <c r="AR66" s="29">
        <v>48</v>
      </c>
      <c r="AS66" s="28">
        <v>3.49</v>
      </c>
      <c r="AT66" s="24"/>
      <c r="AU66" s="24"/>
      <c r="AV66" s="22" t="s">
        <v>189</v>
      </c>
      <c r="AW66" s="22">
        <v>365</v>
      </c>
      <c r="AX66" s="22">
        <v>365</v>
      </c>
    </row>
    <row r="67" spans="1:51" hidden="1" x14ac:dyDescent="0.2">
      <c r="A67" t="s">
        <v>790</v>
      </c>
      <c r="B67" s="17" t="s">
        <v>173</v>
      </c>
      <c r="C67" s="17">
        <v>2012</v>
      </c>
      <c r="D67" s="17" t="s">
        <v>190</v>
      </c>
      <c r="E67" s="32" t="s">
        <v>191</v>
      </c>
      <c r="F67" s="17" t="s">
        <v>192</v>
      </c>
      <c r="G67" s="17" t="s">
        <v>175</v>
      </c>
      <c r="H67" s="17" t="s">
        <v>176</v>
      </c>
      <c r="I67" s="17" t="s">
        <v>53</v>
      </c>
      <c r="J67" s="17" t="s">
        <v>54</v>
      </c>
      <c r="K67" s="17" t="s">
        <v>92</v>
      </c>
      <c r="L67" s="17" t="s">
        <v>177</v>
      </c>
      <c r="M67" s="34" t="s">
        <v>58</v>
      </c>
      <c r="N67" s="34" t="s">
        <v>58</v>
      </c>
      <c r="O67" s="34" t="s">
        <v>93</v>
      </c>
      <c r="P67" s="34" t="s">
        <v>58</v>
      </c>
      <c r="Q67" s="34" t="s">
        <v>58</v>
      </c>
      <c r="R67" s="34" t="s">
        <v>58</v>
      </c>
      <c r="S67" s="32"/>
      <c r="T67" s="32" t="s">
        <v>197</v>
      </c>
      <c r="U67" s="32"/>
      <c r="V67" s="32"/>
      <c r="W67" s="32"/>
      <c r="X67" s="32"/>
      <c r="Y67" s="17" t="s">
        <v>198</v>
      </c>
      <c r="Z67" s="17"/>
      <c r="AA67" s="17"/>
      <c r="AB67" s="17"/>
      <c r="AC67" s="17" t="s">
        <v>199</v>
      </c>
      <c r="AD67" s="17"/>
      <c r="AE67" s="17"/>
      <c r="AF67" s="17"/>
      <c r="AG67" s="17"/>
      <c r="AH67" s="17"/>
      <c r="AI67" s="17" t="s">
        <v>200</v>
      </c>
      <c r="AJ67" s="17"/>
      <c r="AK67" s="20" t="s">
        <v>188</v>
      </c>
      <c r="AL67" s="20" t="s">
        <v>178</v>
      </c>
      <c r="AM67" s="20" t="s">
        <v>67</v>
      </c>
      <c r="AN67" s="24">
        <v>18.309999999999899</v>
      </c>
      <c r="AO67" s="25">
        <v>48</v>
      </c>
      <c r="AP67" s="24">
        <v>3.63</v>
      </c>
      <c r="AQ67" s="28">
        <v>22.08</v>
      </c>
      <c r="AR67" s="29">
        <v>48</v>
      </c>
      <c r="AS67" s="28">
        <v>6.15</v>
      </c>
      <c r="AT67" s="24"/>
      <c r="AU67" s="24"/>
      <c r="AV67" s="22" t="s">
        <v>189</v>
      </c>
      <c r="AW67" s="22">
        <v>365</v>
      </c>
      <c r="AX67" s="22">
        <v>365</v>
      </c>
    </row>
    <row r="68" spans="1:51" hidden="1" x14ac:dyDescent="0.2">
      <c r="A68" t="s">
        <v>790</v>
      </c>
      <c r="B68" s="17" t="s">
        <v>226</v>
      </c>
      <c r="C68" s="17">
        <v>2017</v>
      </c>
      <c r="D68" s="17" t="s">
        <v>227</v>
      </c>
      <c r="E68" s="32" t="s">
        <v>105</v>
      </c>
      <c r="F68" s="8" t="s">
        <v>106</v>
      </c>
      <c r="G68" s="17" t="s">
        <v>175</v>
      </c>
      <c r="H68" s="17" t="s">
        <v>228</v>
      </c>
      <c r="I68" s="17" t="s">
        <v>91</v>
      </c>
      <c r="J68" s="17" t="s">
        <v>54</v>
      </c>
      <c r="K68" s="17" t="s">
        <v>121</v>
      </c>
      <c r="L68" s="17" t="s">
        <v>56</v>
      </c>
      <c r="M68" s="34" t="s">
        <v>58</v>
      </c>
      <c r="N68" s="34" t="s">
        <v>58</v>
      </c>
      <c r="O68" s="34" t="s">
        <v>93</v>
      </c>
      <c r="P68" s="34" t="s">
        <v>58</v>
      </c>
      <c r="Q68" s="34" t="s">
        <v>58</v>
      </c>
      <c r="R68" s="34" t="s">
        <v>58</v>
      </c>
      <c r="S68" s="32"/>
      <c r="T68" s="32"/>
      <c r="U68" s="32" t="s">
        <v>229</v>
      </c>
      <c r="V68" s="32" t="s">
        <v>230</v>
      </c>
      <c r="W68" s="32" t="s">
        <v>231</v>
      </c>
      <c r="X68" s="32"/>
      <c r="Y68" s="17" t="s">
        <v>232</v>
      </c>
      <c r="Z68" s="17"/>
      <c r="AA68" s="17"/>
      <c r="AB68" s="17"/>
      <c r="AC68" s="17" t="s">
        <v>233</v>
      </c>
      <c r="AD68" s="17"/>
      <c r="AE68" s="17"/>
      <c r="AF68" s="17"/>
      <c r="AG68" s="17"/>
      <c r="AH68" s="17"/>
      <c r="AI68" s="17" t="s">
        <v>64</v>
      </c>
      <c r="AJ68" s="17"/>
      <c r="AK68" s="20" t="s">
        <v>65</v>
      </c>
      <c r="AL68" s="20" t="s">
        <v>459</v>
      </c>
      <c r="AM68" s="20" t="s">
        <v>67</v>
      </c>
      <c r="AN68" s="24">
        <v>53.51</v>
      </c>
      <c r="AO68" s="25">
        <v>39</v>
      </c>
      <c r="AP68" s="24">
        <v>16.100000000000001</v>
      </c>
      <c r="AQ68" s="28">
        <v>33.64</v>
      </c>
      <c r="AR68" s="29">
        <v>39</v>
      </c>
      <c r="AS68" s="28">
        <v>15.49</v>
      </c>
      <c r="AT68" s="24"/>
      <c r="AU68" s="24"/>
      <c r="AV68" s="22" t="s">
        <v>238</v>
      </c>
      <c r="AW68" s="22">
        <v>90</v>
      </c>
      <c r="AX68" s="22">
        <v>90</v>
      </c>
    </row>
    <row r="69" spans="1:51" hidden="1" x14ac:dyDescent="0.2">
      <c r="A69" t="s">
        <v>790</v>
      </c>
      <c r="B69" s="17" t="s">
        <v>226</v>
      </c>
      <c r="C69" s="17">
        <v>2017</v>
      </c>
      <c r="D69" s="17" t="s">
        <v>239</v>
      </c>
      <c r="E69" s="32" t="s">
        <v>88</v>
      </c>
      <c r="F69" s="17" t="s">
        <v>88</v>
      </c>
      <c r="G69" s="17" t="s">
        <v>175</v>
      </c>
      <c r="H69" s="17" t="s">
        <v>228</v>
      </c>
      <c r="I69" s="17" t="s">
        <v>91</v>
      </c>
      <c r="J69" s="17" t="s">
        <v>54</v>
      </c>
      <c r="K69" s="17" t="s">
        <v>121</v>
      </c>
      <c r="L69" s="17" t="s">
        <v>56</v>
      </c>
      <c r="M69" s="34" t="s">
        <v>58</v>
      </c>
      <c r="N69" s="34" t="s">
        <v>58</v>
      </c>
      <c r="O69" s="34" t="s">
        <v>93</v>
      </c>
      <c r="P69" s="34" t="s">
        <v>58</v>
      </c>
      <c r="Q69" s="34" t="s">
        <v>58</v>
      </c>
      <c r="R69" s="34" t="s">
        <v>58</v>
      </c>
      <c r="S69" s="32"/>
      <c r="T69" s="32"/>
      <c r="U69" s="32" t="s">
        <v>240</v>
      </c>
      <c r="V69" s="32" t="s">
        <v>241</v>
      </c>
      <c r="W69" s="32" t="s">
        <v>242</v>
      </c>
      <c r="X69" s="32"/>
      <c r="Y69" s="17" t="s">
        <v>243</v>
      </c>
      <c r="Z69" s="17"/>
      <c r="AA69" s="17"/>
      <c r="AB69" s="17"/>
      <c r="AC69" s="17" t="s">
        <v>244</v>
      </c>
      <c r="AD69" s="17"/>
      <c r="AE69" s="17"/>
      <c r="AF69" s="17"/>
      <c r="AG69" s="17"/>
      <c r="AH69" s="17"/>
      <c r="AI69" s="17" t="s">
        <v>245</v>
      </c>
      <c r="AJ69" s="17"/>
      <c r="AK69" s="20" t="s">
        <v>65</v>
      </c>
      <c r="AL69" s="20" t="s">
        <v>459</v>
      </c>
      <c r="AM69" s="20" t="s">
        <v>67</v>
      </c>
      <c r="AN69" s="24">
        <v>56.46</v>
      </c>
      <c r="AO69" s="25">
        <v>39</v>
      </c>
      <c r="AP69" s="24">
        <v>9.18</v>
      </c>
      <c r="AQ69" s="28">
        <v>58.26</v>
      </c>
      <c r="AR69" s="29">
        <v>39</v>
      </c>
      <c r="AS69" s="28">
        <v>10.6</v>
      </c>
      <c r="AT69" s="24"/>
      <c r="AU69" s="24"/>
      <c r="AV69" s="22" t="s">
        <v>238</v>
      </c>
      <c r="AW69" s="22">
        <v>90</v>
      </c>
      <c r="AX69" s="22">
        <v>90</v>
      </c>
    </row>
    <row r="70" spans="1:51" hidden="1" x14ac:dyDescent="0.2">
      <c r="A70" t="s">
        <v>790</v>
      </c>
      <c r="B70" s="17" t="s">
        <v>226</v>
      </c>
      <c r="C70" s="17">
        <v>2017</v>
      </c>
      <c r="D70" s="17" t="s">
        <v>227</v>
      </c>
      <c r="E70" s="32" t="s">
        <v>105</v>
      </c>
      <c r="F70" s="8" t="s">
        <v>106</v>
      </c>
      <c r="G70" s="17" t="s">
        <v>175</v>
      </c>
      <c r="H70" s="17" t="s">
        <v>228</v>
      </c>
      <c r="I70" s="17" t="s">
        <v>91</v>
      </c>
      <c r="J70" s="17" t="s">
        <v>54</v>
      </c>
      <c r="K70" s="17" t="s">
        <v>121</v>
      </c>
      <c r="L70" s="17" t="s">
        <v>56</v>
      </c>
      <c r="M70" s="34" t="s">
        <v>58</v>
      </c>
      <c r="N70" s="34" t="s">
        <v>58</v>
      </c>
      <c r="O70" s="34" t="s">
        <v>93</v>
      </c>
      <c r="P70" s="34" t="s">
        <v>58</v>
      </c>
      <c r="Q70" s="34" t="s">
        <v>58</v>
      </c>
      <c r="R70" s="34" t="s">
        <v>58</v>
      </c>
      <c r="S70" s="32"/>
      <c r="T70" s="32"/>
      <c r="U70" s="32" t="s">
        <v>229</v>
      </c>
      <c r="V70" s="32" t="s">
        <v>230</v>
      </c>
      <c r="W70" s="32" t="s">
        <v>231</v>
      </c>
      <c r="X70" s="32"/>
      <c r="Y70" s="17" t="s">
        <v>232</v>
      </c>
      <c r="Z70" s="17"/>
      <c r="AA70" s="17"/>
      <c r="AB70" s="17"/>
      <c r="AC70" s="17" t="s">
        <v>233</v>
      </c>
      <c r="AD70" s="17"/>
      <c r="AE70" s="17"/>
      <c r="AF70" s="17"/>
      <c r="AG70" s="17"/>
      <c r="AH70" s="17"/>
      <c r="AI70" s="17" t="s">
        <v>64</v>
      </c>
      <c r="AJ70" s="17"/>
      <c r="AK70" s="20" t="s">
        <v>477</v>
      </c>
      <c r="AL70" s="20" t="s">
        <v>143</v>
      </c>
      <c r="AM70" s="20" t="s">
        <v>67</v>
      </c>
      <c r="AN70" s="24">
        <v>48.82</v>
      </c>
      <c r="AO70" s="25">
        <v>39</v>
      </c>
      <c r="AP70" s="24">
        <v>7.83</v>
      </c>
      <c r="AQ70" s="28">
        <v>55.04</v>
      </c>
      <c r="AR70" s="29">
        <v>39</v>
      </c>
      <c r="AS70" s="28">
        <v>5.88</v>
      </c>
      <c r="AT70" s="24"/>
      <c r="AU70" s="24"/>
      <c r="AV70" s="22" t="s">
        <v>238</v>
      </c>
      <c r="AW70" s="22">
        <v>90</v>
      </c>
      <c r="AX70" s="22">
        <v>90</v>
      </c>
    </row>
    <row r="71" spans="1:51" hidden="1" x14ac:dyDescent="0.2">
      <c r="A71" t="s">
        <v>790</v>
      </c>
      <c r="B71" s="17" t="s">
        <v>226</v>
      </c>
      <c r="C71" s="17">
        <v>2017</v>
      </c>
      <c r="D71" s="17" t="s">
        <v>239</v>
      </c>
      <c r="E71" s="32" t="s">
        <v>88</v>
      </c>
      <c r="F71" s="17" t="s">
        <v>88</v>
      </c>
      <c r="G71" s="17" t="s">
        <v>175</v>
      </c>
      <c r="H71" s="17" t="s">
        <v>228</v>
      </c>
      <c r="I71" s="17" t="s">
        <v>91</v>
      </c>
      <c r="J71" s="17" t="s">
        <v>54</v>
      </c>
      <c r="K71" s="17" t="s">
        <v>121</v>
      </c>
      <c r="L71" s="17" t="s">
        <v>56</v>
      </c>
      <c r="M71" s="34" t="s">
        <v>58</v>
      </c>
      <c r="N71" s="34" t="s">
        <v>58</v>
      </c>
      <c r="O71" s="34" t="s">
        <v>93</v>
      </c>
      <c r="P71" s="34" t="s">
        <v>58</v>
      </c>
      <c r="Q71" s="34" t="s">
        <v>58</v>
      </c>
      <c r="R71" s="34" t="s">
        <v>58</v>
      </c>
      <c r="S71" s="32"/>
      <c r="T71" s="32"/>
      <c r="U71" s="32" t="s">
        <v>240</v>
      </c>
      <c r="V71" s="32" t="s">
        <v>241</v>
      </c>
      <c r="W71" s="32" t="s">
        <v>242</v>
      </c>
      <c r="X71" s="32"/>
      <c r="Y71" s="17" t="s">
        <v>243</v>
      </c>
      <c r="Z71" s="17"/>
      <c r="AA71" s="17"/>
      <c r="AB71" s="17"/>
      <c r="AC71" s="17" t="s">
        <v>244</v>
      </c>
      <c r="AD71" s="17"/>
      <c r="AE71" s="17"/>
      <c r="AF71" s="17"/>
      <c r="AG71" s="17"/>
      <c r="AH71" s="17"/>
      <c r="AI71" s="17" t="s">
        <v>245</v>
      </c>
      <c r="AJ71" s="17"/>
      <c r="AK71" s="20" t="s">
        <v>477</v>
      </c>
      <c r="AL71" s="20" t="s">
        <v>143</v>
      </c>
      <c r="AM71" s="20" t="s">
        <v>67</v>
      </c>
      <c r="AN71" s="24">
        <v>48.67</v>
      </c>
      <c r="AO71" s="25">
        <v>39</v>
      </c>
      <c r="AP71" s="24">
        <v>4.2</v>
      </c>
      <c r="AQ71" s="28">
        <v>46.77</v>
      </c>
      <c r="AR71" s="29">
        <v>39</v>
      </c>
      <c r="AS71" s="28">
        <v>4</v>
      </c>
      <c r="AT71" s="24"/>
      <c r="AU71" s="24"/>
      <c r="AV71" s="22" t="s">
        <v>238</v>
      </c>
      <c r="AW71" s="22">
        <v>90</v>
      </c>
      <c r="AX71" s="22">
        <v>90</v>
      </c>
    </row>
    <row r="72" spans="1:51" hidden="1" x14ac:dyDescent="0.2">
      <c r="A72" t="s">
        <v>790</v>
      </c>
      <c r="B72" s="17" t="s">
        <v>256</v>
      </c>
      <c r="C72" s="17">
        <v>2017</v>
      </c>
      <c r="D72" s="17" t="s">
        <v>257</v>
      </c>
      <c r="E72" s="32" t="s">
        <v>49</v>
      </c>
      <c r="F72" s="17" t="s">
        <v>75</v>
      </c>
      <c r="G72" s="17" t="s">
        <v>258</v>
      </c>
      <c r="H72" s="17" t="s">
        <v>259</v>
      </c>
      <c r="I72" s="17" t="s">
        <v>91</v>
      </c>
      <c r="J72" s="17" t="s">
        <v>54</v>
      </c>
      <c r="K72" s="17" t="s">
        <v>260</v>
      </c>
      <c r="L72" s="17" t="s">
        <v>56</v>
      </c>
      <c r="M72" s="34" t="s">
        <v>58</v>
      </c>
      <c r="N72" s="34" t="s">
        <v>57</v>
      </c>
      <c r="O72" s="34" t="s">
        <v>57</v>
      </c>
      <c r="P72" s="34" t="s">
        <v>57</v>
      </c>
      <c r="Q72" s="34" t="s">
        <v>58</v>
      </c>
      <c r="R72" s="34" t="s">
        <v>57</v>
      </c>
      <c r="S72" s="32"/>
      <c r="T72" s="32" t="s">
        <v>261</v>
      </c>
      <c r="U72" s="32" t="s">
        <v>262</v>
      </c>
      <c r="V72" s="32" t="s">
        <v>263</v>
      </c>
      <c r="W72" s="32"/>
      <c r="X72" s="32"/>
      <c r="Y72" s="17" t="s">
        <v>264</v>
      </c>
      <c r="Z72" s="17"/>
      <c r="AA72" s="17"/>
      <c r="AB72" s="17"/>
      <c r="AC72" s="17" t="s">
        <v>265</v>
      </c>
      <c r="AD72" s="17"/>
      <c r="AE72" s="17"/>
      <c r="AF72" s="17"/>
      <c r="AG72" s="17"/>
      <c r="AH72" s="17"/>
      <c r="AI72" s="17" t="s">
        <v>64</v>
      </c>
      <c r="AJ72" s="17"/>
      <c r="AK72" s="20" t="s">
        <v>65</v>
      </c>
      <c r="AL72" s="20" t="s">
        <v>66</v>
      </c>
      <c r="AM72" s="20" t="s">
        <v>67</v>
      </c>
      <c r="AN72" s="24">
        <v>78.3</v>
      </c>
      <c r="AO72" s="25">
        <v>20</v>
      </c>
      <c r="AP72" s="24">
        <v>4.46</v>
      </c>
      <c r="AQ72" s="28">
        <v>67.099999999999895</v>
      </c>
      <c r="AR72" s="29">
        <v>20</v>
      </c>
      <c r="AS72" s="28">
        <v>7.18</v>
      </c>
      <c r="AT72" s="24"/>
      <c r="AU72" s="24"/>
      <c r="AV72" s="22" t="s">
        <v>270</v>
      </c>
      <c r="AW72" s="22">
        <v>49</v>
      </c>
      <c r="AX72" s="22">
        <v>49</v>
      </c>
    </row>
    <row r="73" spans="1:51" hidden="1" x14ac:dyDescent="0.2">
      <c r="A73" t="s">
        <v>790</v>
      </c>
      <c r="B73" s="17" t="s">
        <v>256</v>
      </c>
      <c r="C73" s="17">
        <v>2017</v>
      </c>
      <c r="D73" s="17" t="s">
        <v>87</v>
      </c>
      <c r="E73" s="32" t="s">
        <v>88</v>
      </c>
      <c r="F73" s="17" t="s">
        <v>88</v>
      </c>
      <c r="G73" s="17" t="s">
        <v>258</v>
      </c>
      <c r="H73" s="17" t="s">
        <v>259</v>
      </c>
      <c r="I73" s="17" t="s">
        <v>91</v>
      </c>
      <c r="J73" s="17" t="s">
        <v>54</v>
      </c>
      <c r="K73" s="17" t="s">
        <v>260</v>
      </c>
      <c r="L73" s="17" t="s">
        <v>56</v>
      </c>
      <c r="M73" s="34" t="s">
        <v>58</v>
      </c>
      <c r="N73" s="34" t="s">
        <v>57</v>
      </c>
      <c r="O73" s="34" t="s">
        <v>57</v>
      </c>
      <c r="P73" s="34" t="s">
        <v>57</v>
      </c>
      <c r="Q73" s="34" t="s">
        <v>58</v>
      </c>
      <c r="R73" s="34" t="s">
        <v>57</v>
      </c>
      <c r="S73" s="32"/>
      <c r="T73" s="32" t="s">
        <v>68</v>
      </c>
      <c r="U73" s="32" t="s">
        <v>271</v>
      </c>
      <c r="V73" s="32" t="s">
        <v>272</v>
      </c>
      <c r="W73" s="32"/>
      <c r="X73" s="32"/>
      <c r="Y73" s="17" t="s">
        <v>87</v>
      </c>
      <c r="Z73" s="17"/>
      <c r="AA73" s="17"/>
      <c r="AB73" s="17"/>
      <c r="AC73" s="17" t="s">
        <v>273</v>
      </c>
      <c r="AD73" s="17"/>
      <c r="AE73" s="17"/>
      <c r="AF73" s="17"/>
      <c r="AG73" s="17"/>
      <c r="AH73" s="17"/>
      <c r="AI73" s="17" t="s">
        <v>273</v>
      </c>
      <c r="AJ73" s="17"/>
      <c r="AK73" s="20" t="s">
        <v>65</v>
      </c>
      <c r="AL73" s="20" t="s">
        <v>66</v>
      </c>
      <c r="AM73" s="20" t="s">
        <v>67</v>
      </c>
      <c r="AN73" s="24">
        <v>78.45</v>
      </c>
      <c r="AO73" s="25">
        <v>20</v>
      </c>
      <c r="AP73" s="24">
        <v>3.26</v>
      </c>
      <c r="AQ73" s="28">
        <v>79.3</v>
      </c>
      <c r="AR73" s="29">
        <v>20</v>
      </c>
      <c r="AS73" s="28">
        <v>3.79</v>
      </c>
      <c r="AT73" s="24"/>
      <c r="AU73" s="24"/>
      <c r="AV73" s="22" t="s">
        <v>270</v>
      </c>
      <c r="AW73" s="22">
        <v>49</v>
      </c>
      <c r="AX73" s="22">
        <v>49</v>
      </c>
    </row>
    <row r="74" spans="1:51" hidden="1" x14ac:dyDescent="0.2">
      <c r="A74" t="s">
        <v>790</v>
      </c>
      <c r="B74" s="22" t="s">
        <v>277</v>
      </c>
      <c r="C74" s="22">
        <v>2017</v>
      </c>
      <c r="D74" s="22" t="s">
        <v>278</v>
      </c>
      <c r="E74" s="32" t="s">
        <v>49</v>
      </c>
      <c r="F74" s="22" t="s">
        <v>50</v>
      </c>
      <c r="G74" s="22" t="s">
        <v>279</v>
      </c>
      <c r="H74" s="22" t="s">
        <v>280</v>
      </c>
      <c r="I74" s="22" t="s">
        <v>53</v>
      </c>
      <c r="J74" s="22" t="s">
        <v>54</v>
      </c>
      <c r="K74" s="22" t="s">
        <v>260</v>
      </c>
      <c r="L74" s="22" t="s">
        <v>56</v>
      </c>
      <c r="M74" s="34" t="s">
        <v>58</v>
      </c>
      <c r="N74" s="34" t="s">
        <v>57</v>
      </c>
      <c r="O74" s="34" t="s">
        <v>57</v>
      </c>
      <c r="P74" s="34" t="s">
        <v>57</v>
      </c>
      <c r="Q74" s="34" t="s">
        <v>57</v>
      </c>
      <c r="R74" s="34" t="s">
        <v>57</v>
      </c>
      <c r="S74" s="32"/>
      <c r="T74" s="32"/>
      <c r="U74" s="32"/>
      <c r="V74" s="32"/>
      <c r="W74" s="32"/>
      <c r="X74" s="32"/>
      <c r="Y74" s="22" t="s">
        <v>281</v>
      </c>
      <c r="Z74" s="22"/>
      <c r="AA74" s="22"/>
      <c r="AB74" s="22"/>
      <c r="AC74" s="22" t="s">
        <v>282</v>
      </c>
      <c r="AD74" s="22"/>
      <c r="AE74" s="22"/>
      <c r="AF74" s="22"/>
      <c r="AG74" s="22"/>
      <c r="AH74" s="22"/>
      <c r="AI74" s="22" t="s">
        <v>283</v>
      </c>
      <c r="AJ74" s="22"/>
      <c r="AK74" s="20" t="s">
        <v>65</v>
      </c>
      <c r="AL74" s="20" t="s">
        <v>677</v>
      </c>
      <c r="AM74" s="20" t="s">
        <v>67</v>
      </c>
      <c r="AN74" s="24">
        <v>36.75</v>
      </c>
      <c r="AO74" s="25">
        <v>32</v>
      </c>
      <c r="AP74" s="24">
        <v>1.35</v>
      </c>
      <c r="AQ74" s="28">
        <v>36.64</v>
      </c>
      <c r="AR74" s="29">
        <v>28</v>
      </c>
      <c r="AS74" s="28">
        <v>1.28</v>
      </c>
      <c r="AT74" s="24"/>
      <c r="AU74" s="24"/>
      <c r="AV74" s="22" t="s">
        <v>681</v>
      </c>
      <c r="AW74" s="22">
        <v>35</v>
      </c>
      <c r="AX74" s="22">
        <v>35</v>
      </c>
      <c r="AY74" s="33" t="s">
        <v>786</v>
      </c>
    </row>
    <row r="75" spans="1:51" hidden="1" x14ac:dyDescent="0.2">
      <c r="A75" t="s">
        <v>790</v>
      </c>
      <c r="B75" s="22" t="s">
        <v>277</v>
      </c>
      <c r="C75" s="22">
        <v>2017</v>
      </c>
      <c r="D75" s="22" t="s">
        <v>289</v>
      </c>
      <c r="E75" s="32" t="s">
        <v>88</v>
      </c>
      <c r="F75" s="22" t="s">
        <v>88</v>
      </c>
      <c r="G75" s="22" t="s">
        <v>279</v>
      </c>
      <c r="H75" s="22" t="s">
        <v>280</v>
      </c>
      <c r="I75" s="22" t="s">
        <v>53</v>
      </c>
      <c r="J75" s="22" t="s">
        <v>54</v>
      </c>
      <c r="K75" s="22" t="s">
        <v>260</v>
      </c>
      <c r="L75" s="22" t="s">
        <v>56</v>
      </c>
      <c r="M75" s="34" t="s">
        <v>58</v>
      </c>
      <c r="N75" s="34" t="s">
        <v>57</v>
      </c>
      <c r="O75" s="34" t="s">
        <v>57</v>
      </c>
      <c r="P75" s="34" t="s">
        <v>57</v>
      </c>
      <c r="Q75" s="34" t="s">
        <v>57</v>
      </c>
      <c r="R75" s="34" t="s">
        <v>57</v>
      </c>
      <c r="S75" s="32"/>
      <c r="T75" s="32"/>
      <c r="U75" s="32"/>
      <c r="V75" s="32"/>
      <c r="W75" s="32"/>
      <c r="X75" s="32"/>
      <c r="Y75" s="22" t="s">
        <v>87</v>
      </c>
      <c r="Z75" s="22"/>
      <c r="AA75" s="22"/>
      <c r="AB75" s="22"/>
      <c r="AC75" s="22" t="s">
        <v>290</v>
      </c>
      <c r="AD75" s="22"/>
      <c r="AE75" s="22"/>
      <c r="AF75" s="22"/>
      <c r="AG75" s="22"/>
      <c r="AH75" s="22"/>
      <c r="AI75" s="22" t="s">
        <v>100</v>
      </c>
      <c r="AJ75" s="22"/>
      <c r="AK75" s="20" t="s">
        <v>65</v>
      </c>
      <c r="AL75" s="20" t="s">
        <v>677</v>
      </c>
      <c r="AM75" s="20" t="s">
        <v>67</v>
      </c>
      <c r="AN75" s="24">
        <v>37.58</v>
      </c>
      <c r="AO75" s="25">
        <v>35</v>
      </c>
      <c r="AP75" s="24">
        <v>1.64</v>
      </c>
      <c r="AQ75" s="28">
        <v>37.19</v>
      </c>
      <c r="AR75" s="29">
        <v>31</v>
      </c>
      <c r="AS75" s="28">
        <v>1.53</v>
      </c>
      <c r="AT75" s="24"/>
      <c r="AU75" s="24"/>
      <c r="AV75" s="22" t="s">
        <v>681</v>
      </c>
      <c r="AW75" s="22">
        <v>35</v>
      </c>
      <c r="AX75" s="22">
        <v>35</v>
      </c>
      <c r="AY75" s="33" t="s">
        <v>786</v>
      </c>
    </row>
    <row r="76" spans="1:51" hidden="1" x14ac:dyDescent="0.2">
      <c r="A76" t="s">
        <v>790</v>
      </c>
      <c r="B76" s="22" t="s">
        <v>277</v>
      </c>
      <c r="C76" s="22">
        <v>2017</v>
      </c>
      <c r="D76" s="22" t="s">
        <v>295</v>
      </c>
      <c r="E76" s="32" t="s">
        <v>49</v>
      </c>
      <c r="F76" s="22" t="s">
        <v>50</v>
      </c>
      <c r="G76" s="22" t="s">
        <v>279</v>
      </c>
      <c r="H76" s="22" t="s">
        <v>280</v>
      </c>
      <c r="I76" s="22" t="s">
        <v>53</v>
      </c>
      <c r="J76" s="22" t="s">
        <v>54</v>
      </c>
      <c r="K76" s="22" t="s">
        <v>260</v>
      </c>
      <c r="L76" s="22" t="s">
        <v>56</v>
      </c>
      <c r="M76" s="34" t="s">
        <v>58</v>
      </c>
      <c r="N76" s="34" t="s">
        <v>57</v>
      </c>
      <c r="O76" s="34" t="s">
        <v>57</v>
      </c>
      <c r="P76" s="34" t="s">
        <v>57</v>
      </c>
      <c r="Q76" s="34" t="s">
        <v>57</v>
      </c>
      <c r="R76" s="34" t="s">
        <v>57</v>
      </c>
      <c r="S76" s="32"/>
      <c r="T76" s="32"/>
      <c r="U76" s="32"/>
      <c r="V76" s="32"/>
      <c r="W76" s="32"/>
      <c r="X76" s="32"/>
      <c r="Y76" s="22" t="s">
        <v>296</v>
      </c>
      <c r="Z76" s="22"/>
      <c r="AA76" s="22"/>
      <c r="AB76" s="22"/>
      <c r="AC76" s="22" t="s">
        <v>297</v>
      </c>
      <c r="AD76" s="22"/>
      <c r="AE76" s="22"/>
      <c r="AF76" s="22"/>
      <c r="AG76" s="22"/>
      <c r="AH76" s="22"/>
      <c r="AI76" s="22" t="s">
        <v>283</v>
      </c>
      <c r="AJ76" s="22"/>
      <c r="AK76" s="20" t="s">
        <v>65</v>
      </c>
      <c r="AL76" s="20" t="s">
        <v>677</v>
      </c>
      <c r="AM76" s="20" t="s">
        <v>67</v>
      </c>
      <c r="AN76" s="24">
        <v>37.159999999999897</v>
      </c>
      <c r="AO76" s="25">
        <v>33</v>
      </c>
      <c r="AP76" s="24">
        <v>1.26</v>
      </c>
      <c r="AQ76" s="28">
        <v>32.43</v>
      </c>
      <c r="AR76" s="29">
        <v>30</v>
      </c>
      <c r="AS76" s="28">
        <v>2.73</v>
      </c>
      <c r="AT76" s="24"/>
      <c r="AU76" s="24"/>
      <c r="AV76" s="22" t="s">
        <v>681</v>
      </c>
      <c r="AW76" s="22">
        <v>35</v>
      </c>
      <c r="AX76" s="22">
        <v>35</v>
      </c>
      <c r="AY76" s="33" t="s">
        <v>786</v>
      </c>
    </row>
    <row r="77" spans="1:51" hidden="1" x14ac:dyDescent="0.2">
      <c r="A77" t="s">
        <v>790</v>
      </c>
      <c r="B77" s="17" t="s">
        <v>303</v>
      </c>
      <c r="C77" s="17">
        <v>2014</v>
      </c>
      <c r="D77" s="17" t="s">
        <v>304</v>
      </c>
      <c r="E77" s="32" t="s">
        <v>88</v>
      </c>
      <c r="F77" s="17" t="s">
        <v>88</v>
      </c>
      <c r="G77" s="17" t="s">
        <v>279</v>
      </c>
      <c r="H77" s="17" t="s">
        <v>305</v>
      </c>
      <c r="I77" s="17" t="s">
        <v>53</v>
      </c>
      <c r="J77" s="17" t="s">
        <v>54</v>
      </c>
      <c r="K77" s="17" t="s">
        <v>260</v>
      </c>
      <c r="L77" s="17"/>
      <c r="M77" s="34" t="s">
        <v>57</v>
      </c>
      <c r="N77" s="34" t="s">
        <v>57</v>
      </c>
      <c r="O77" s="34" t="s">
        <v>57</v>
      </c>
      <c r="P77" s="34" t="s">
        <v>57</v>
      </c>
      <c r="Q77" s="34" t="s">
        <v>58</v>
      </c>
      <c r="R77" s="34" t="s">
        <v>57</v>
      </c>
      <c r="S77" s="32"/>
      <c r="T77" s="32"/>
      <c r="U77" s="32"/>
      <c r="V77" s="32" t="s">
        <v>306</v>
      </c>
      <c r="W77" s="32"/>
      <c r="X77" s="32"/>
      <c r="Y77" s="17"/>
      <c r="Z77" s="17"/>
      <c r="AA77" s="17"/>
      <c r="AB77" s="17"/>
      <c r="AC77" s="17"/>
      <c r="AD77" s="17"/>
      <c r="AE77" s="17"/>
      <c r="AF77" s="17"/>
      <c r="AG77" s="17"/>
      <c r="AH77" s="17"/>
      <c r="AI77" s="17"/>
      <c r="AJ77" s="17"/>
      <c r="AK77" s="20" t="s">
        <v>65</v>
      </c>
      <c r="AL77" s="20" t="s">
        <v>459</v>
      </c>
      <c r="AM77" s="20" t="s">
        <v>67</v>
      </c>
      <c r="AN77" s="24">
        <v>25.3</v>
      </c>
      <c r="AO77" s="25">
        <v>10</v>
      </c>
      <c r="AP77" s="24">
        <v>7.33</v>
      </c>
      <c r="AQ77" s="28">
        <v>44.7</v>
      </c>
      <c r="AR77" s="29">
        <v>10</v>
      </c>
      <c r="AS77" s="28">
        <v>13.71</v>
      </c>
      <c r="AT77" s="24"/>
      <c r="AU77" s="24"/>
      <c r="AV77" s="22" t="s">
        <v>681</v>
      </c>
      <c r="AW77" s="22">
        <v>35</v>
      </c>
      <c r="AX77" s="22">
        <v>35</v>
      </c>
    </row>
    <row r="78" spans="1:51" hidden="1" x14ac:dyDescent="0.2">
      <c r="A78" t="s">
        <v>790</v>
      </c>
      <c r="B78" s="17" t="s">
        <v>303</v>
      </c>
      <c r="C78" s="17">
        <v>2014</v>
      </c>
      <c r="D78" s="17" t="s">
        <v>312</v>
      </c>
      <c r="E78" s="32" t="s">
        <v>49</v>
      </c>
      <c r="F78" s="17" t="s">
        <v>50</v>
      </c>
      <c r="G78" s="17" t="s">
        <v>279</v>
      </c>
      <c r="H78" s="17" t="s">
        <v>305</v>
      </c>
      <c r="I78" s="17" t="s">
        <v>53</v>
      </c>
      <c r="J78" s="17" t="s">
        <v>54</v>
      </c>
      <c r="K78" s="17" t="s">
        <v>260</v>
      </c>
      <c r="L78" s="17"/>
      <c r="M78" s="34" t="s">
        <v>57</v>
      </c>
      <c r="N78" s="34" t="s">
        <v>57</v>
      </c>
      <c r="O78" s="34" t="s">
        <v>57</v>
      </c>
      <c r="P78" s="34" t="s">
        <v>57</v>
      </c>
      <c r="Q78" s="34" t="s">
        <v>58</v>
      </c>
      <c r="R78" s="34" t="s">
        <v>57</v>
      </c>
      <c r="S78" s="32"/>
      <c r="T78" s="32"/>
      <c r="U78" s="32"/>
      <c r="V78" s="32" t="s">
        <v>306</v>
      </c>
      <c r="W78" s="32"/>
      <c r="X78" s="32"/>
      <c r="Y78" s="17"/>
      <c r="Z78" s="17"/>
      <c r="AA78" s="17"/>
      <c r="AB78" s="17"/>
      <c r="AC78" s="17"/>
      <c r="AD78" s="17"/>
      <c r="AE78" s="17"/>
      <c r="AF78" s="17"/>
      <c r="AG78" s="17"/>
      <c r="AH78" s="17"/>
      <c r="AI78" s="17"/>
      <c r="AJ78" s="17"/>
      <c r="AK78" s="20" t="s">
        <v>65</v>
      </c>
      <c r="AL78" s="20" t="s">
        <v>459</v>
      </c>
      <c r="AM78" s="20" t="s">
        <v>67</v>
      </c>
      <c r="AN78" s="24">
        <v>31.6</v>
      </c>
      <c r="AO78" s="25">
        <v>10</v>
      </c>
      <c r="AP78" s="24">
        <v>16.36</v>
      </c>
      <c r="AQ78" s="28">
        <v>24</v>
      </c>
      <c r="AR78" s="29">
        <v>10</v>
      </c>
      <c r="AS78" s="28">
        <v>14.25</v>
      </c>
      <c r="AT78" s="24"/>
      <c r="AU78" s="24"/>
      <c r="AV78" s="22" t="s">
        <v>681</v>
      </c>
      <c r="AW78" s="22">
        <v>35</v>
      </c>
      <c r="AX78" s="22">
        <v>35</v>
      </c>
    </row>
    <row r="79" spans="1:51" hidden="1" x14ac:dyDescent="0.2">
      <c r="A79" t="s">
        <v>790</v>
      </c>
      <c r="B79" s="17" t="s">
        <v>303</v>
      </c>
      <c r="C79" s="17">
        <v>2014</v>
      </c>
      <c r="D79" s="17" t="s">
        <v>304</v>
      </c>
      <c r="E79" s="32" t="s">
        <v>88</v>
      </c>
      <c r="F79" s="17" t="s">
        <v>88</v>
      </c>
      <c r="G79" s="17" t="s">
        <v>279</v>
      </c>
      <c r="H79" s="17" t="s">
        <v>305</v>
      </c>
      <c r="I79" s="17" t="s">
        <v>53</v>
      </c>
      <c r="J79" s="17" t="s">
        <v>54</v>
      </c>
      <c r="K79" s="17" t="s">
        <v>260</v>
      </c>
      <c r="L79" s="17"/>
      <c r="M79" s="34" t="s">
        <v>57</v>
      </c>
      <c r="N79" s="34" t="s">
        <v>57</v>
      </c>
      <c r="O79" s="34" t="s">
        <v>57</v>
      </c>
      <c r="P79" s="34" t="s">
        <v>57</v>
      </c>
      <c r="Q79" s="34" t="s">
        <v>58</v>
      </c>
      <c r="R79" s="34" t="s">
        <v>57</v>
      </c>
      <c r="S79" s="32"/>
      <c r="T79" s="32"/>
      <c r="U79" s="32"/>
      <c r="V79" s="32" t="s">
        <v>306</v>
      </c>
      <c r="W79" s="32"/>
      <c r="X79" s="32"/>
      <c r="Y79" s="17"/>
      <c r="Z79" s="17"/>
      <c r="AA79" s="17"/>
      <c r="AB79" s="17"/>
      <c r="AC79" s="17"/>
      <c r="AD79" s="17"/>
      <c r="AE79" s="17"/>
      <c r="AF79" s="17"/>
      <c r="AG79" s="17"/>
      <c r="AH79" s="17"/>
      <c r="AI79" s="17"/>
      <c r="AJ79" s="17"/>
      <c r="AK79" s="20" t="s">
        <v>317</v>
      </c>
      <c r="AL79" s="20" t="s">
        <v>678</v>
      </c>
      <c r="AM79" s="20" t="s">
        <v>67</v>
      </c>
      <c r="AN79" s="24">
        <v>12.7</v>
      </c>
      <c r="AO79" s="25">
        <v>10</v>
      </c>
      <c r="AP79" s="24">
        <v>4.57</v>
      </c>
      <c r="AQ79" s="28">
        <v>19.399999999999899</v>
      </c>
      <c r="AR79" s="29">
        <v>10</v>
      </c>
      <c r="AS79" s="28">
        <v>9.2100000000000009</v>
      </c>
      <c r="AT79" s="24"/>
      <c r="AU79" s="24"/>
      <c r="AV79" s="22" t="s">
        <v>681</v>
      </c>
      <c r="AW79" s="22">
        <v>35</v>
      </c>
      <c r="AX79" s="22">
        <v>35</v>
      </c>
    </row>
    <row r="80" spans="1:51" hidden="1" x14ac:dyDescent="0.2">
      <c r="A80" t="s">
        <v>790</v>
      </c>
      <c r="B80" s="17" t="s">
        <v>303</v>
      </c>
      <c r="C80" s="17">
        <v>2014</v>
      </c>
      <c r="D80" s="17" t="s">
        <v>312</v>
      </c>
      <c r="E80" s="32" t="s">
        <v>49</v>
      </c>
      <c r="F80" s="17" t="s">
        <v>50</v>
      </c>
      <c r="G80" s="17" t="s">
        <v>279</v>
      </c>
      <c r="H80" s="17" t="s">
        <v>305</v>
      </c>
      <c r="I80" s="17" t="s">
        <v>53</v>
      </c>
      <c r="J80" s="17" t="s">
        <v>54</v>
      </c>
      <c r="K80" s="17" t="s">
        <v>260</v>
      </c>
      <c r="L80" s="17"/>
      <c r="M80" s="34" t="s">
        <v>57</v>
      </c>
      <c r="N80" s="34" t="s">
        <v>57</v>
      </c>
      <c r="O80" s="34" t="s">
        <v>57</v>
      </c>
      <c r="P80" s="34" t="s">
        <v>57</v>
      </c>
      <c r="Q80" s="34" t="s">
        <v>58</v>
      </c>
      <c r="R80" s="34" t="s">
        <v>57</v>
      </c>
      <c r="S80" s="32"/>
      <c r="T80" s="32"/>
      <c r="U80" s="32"/>
      <c r="V80" s="32" t="s">
        <v>306</v>
      </c>
      <c r="W80" s="32"/>
      <c r="X80" s="32"/>
      <c r="Y80" s="17"/>
      <c r="Z80" s="17"/>
      <c r="AA80" s="17"/>
      <c r="AB80" s="17"/>
      <c r="AC80" s="17"/>
      <c r="AD80" s="17"/>
      <c r="AE80" s="17"/>
      <c r="AF80" s="17"/>
      <c r="AG80" s="17"/>
      <c r="AH80" s="17"/>
      <c r="AI80" s="17"/>
      <c r="AJ80" s="17"/>
      <c r="AK80" s="20" t="s">
        <v>317</v>
      </c>
      <c r="AL80" s="20" t="s">
        <v>678</v>
      </c>
      <c r="AM80" s="20" t="s">
        <v>67</v>
      </c>
      <c r="AN80" s="24">
        <v>20</v>
      </c>
      <c r="AO80" s="25">
        <v>10</v>
      </c>
      <c r="AP80" s="24">
        <v>6.16</v>
      </c>
      <c r="AQ80" s="28">
        <v>6.7</v>
      </c>
      <c r="AR80" s="29">
        <v>10</v>
      </c>
      <c r="AS80" s="28">
        <v>2.54</v>
      </c>
      <c r="AT80" s="24"/>
      <c r="AU80" s="24"/>
      <c r="AV80" s="22" t="s">
        <v>681</v>
      </c>
      <c r="AW80" s="22">
        <v>35</v>
      </c>
      <c r="AX80" s="22">
        <v>35</v>
      </c>
    </row>
    <row r="81" spans="1:50" hidden="1" x14ac:dyDescent="0.2">
      <c r="A81" t="s">
        <v>790</v>
      </c>
      <c r="B81" s="17" t="s">
        <v>303</v>
      </c>
      <c r="C81" s="17">
        <v>2014</v>
      </c>
      <c r="D81" s="17" t="s">
        <v>304</v>
      </c>
      <c r="E81" s="32" t="s">
        <v>88</v>
      </c>
      <c r="F81" s="17" t="s">
        <v>88</v>
      </c>
      <c r="G81" s="17" t="s">
        <v>279</v>
      </c>
      <c r="H81" s="17" t="s">
        <v>305</v>
      </c>
      <c r="I81" s="17" t="s">
        <v>53</v>
      </c>
      <c r="J81" s="17" t="s">
        <v>54</v>
      </c>
      <c r="K81" s="17" t="s">
        <v>260</v>
      </c>
      <c r="L81" s="17"/>
      <c r="M81" s="34" t="s">
        <v>57</v>
      </c>
      <c r="N81" s="34" t="s">
        <v>57</v>
      </c>
      <c r="O81" s="34" t="s">
        <v>57</v>
      </c>
      <c r="P81" s="34" t="s">
        <v>57</v>
      </c>
      <c r="Q81" s="34" t="s">
        <v>58</v>
      </c>
      <c r="R81" s="34" t="s">
        <v>57</v>
      </c>
      <c r="S81" s="32"/>
      <c r="T81" s="32"/>
      <c r="U81" s="32"/>
      <c r="V81" s="32" t="s">
        <v>306</v>
      </c>
      <c r="W81" s="32"/>
      <c r="X81" s="32"/>
      <c r="Y81" s="17"/>
      <c r="Z81" s="17"/>
      <c r="AA81" s="17"/>
      <c r="AB81" s="17"/>
      <c r="AC81" s="17"/>
      <c r="AD81" s="17"/>
      <c r="AE81" s="17"/>
      <c r="AF81" s="17"/>
      <c r="AG81" s="17"/>
      <c r="AH81" s="17"/>
      <c r="AI81" s="17"/>
      <c r="AJ81" s="17"/>
      <c r="AK81" s="20" t="s">
        <v>477</v>
      </c>
      <c r="AL81" s="20" t="s">
        <v>513</v>
      </c>
      <c r="AM81" s="20" t="s">
        <v>67</v>
      </c>
      <c r="AN81" s="24">
        <v>47.61</v>
      </c>
      <c r="AO81" s="25">
        <v>10</v>
      </c>
      <c r="AP81" s="24">
        <v>18.32</v>
      </c>
      <c r="AQ81" s="28">
        <v>37.57</v>
      </c>
      <c r="AR81" s="29">
        <v>10</v>
      </c>
      <c r="AS81" s="28">
        <v>12.8</v>
      </c>
      <c r="AT81" s="24"/>
      <c r="AU81" s="24"/>
      <c r="AV81" s="22" t="s">
        <v>681</v>
      </c>
      <c r="AW81" s="22">
        <v>35</v>
      </c>
      <c r="AX81" s="22">
        <v>35</v>
      </c>
    </row>
    <row r="82" spans="1:50" hidden="1" x14ac:dyDescent="0.2">
      <c r="A82" t="s">
        <v>790</v>
      </c>
      <c r="B82" s="17" t="s">
        <v>303</v>
      </c>
      <c r="C82" s="17">
        <v>2014</v>
      </c>
      <c r="D82" s="17" t="s">
        <v>312</v>
      </c>
      <c r="E82" s="32" t="s">
        <v>49</v>
      </c>
      <c r="F82" s="17" t="s">
        <v>50</v>
      </c>
      <c r="G82" s="17" t="s">
        <v>279</v>
      </c>
      <c r="H82" s="17" t="s">
        <v>305</v>
      </c>
      <c r="I82" s="17" t="s">
        <v>53</v>
      </c>
      <c r="J82" s="17" t="s">
        <v>54</v>
      </c>
      <c r="K82" s="17" t="s">
        <v>260</v>
      </c>
      <c r="L82" s="17"/>
      <c r="M82" s="34" t="s">
        <v>57</v>
      </c>
      <c r="N82" s="34" t="s">
        <v>57</v>
      </c>
      <c r="O82" s="34" t="s">
        <v>57</v>
      </c>
      <c r="P82" s="34" t="s">
        <v>57</v>
      </c>
      <c r="Q82" s="34" t="s">
        <v>58</v>
      </c>
      <c r="R82" s="34" t="s">
        <v>57</v>
      </c>
      <c r="S82" s="32"/>
      <c r="T82" s="32"/>
      <c r="U82" s="32"/>
      <c r="V82" s="32" t="s">
        <v>306</v>
      </c>
      <c r="W82" s="32"/>
      <c r="X82" s="32"/>
      <c r="Y82" s="17"/>
      <c r="Z82" s="17"/>
      <c r="AA82" s="17"/>
      <c r="AB82" s="17"/>
      <c r="AC82" s="17"/>
      <c r="AD82" s="17"/>
      <c r="AE82" s="17"/>
      <c r="AF82" s="17"/>
      <c r="AG82" s="17"/>
      <c r="AH82" s="17"/>
      <c r="AI82" s="17"/>
      <c r="AJ82" s="17"/>
      <c r="AK82" s="20" t="s">
        <v>477</v>
      </c>
      <c r="AL82" s="20" t="s">
        <v>513</v>
      </c>
      <c r="AM82" s="20" t="s">
        <v>67</v>
      </c>
      <c r="AN82" s="24">
        <v>58.01</v>
      </c>
      <c r="AO82" s="25">
        <v>10</v>
      </c>
      <c r="AP82" s="24">
        <v>24.01</v>
      </c>
      <c r="AQ82" s="28">
        <v>70.98</v>
      </c>
      <c r="AR82" s="29">
        <v>10</v>
      </c>
      <c r="AS82" s="28">
        <v>11.11</v>
      </c>
      <c r="AT82" s="24"/>
      <c r="AU82" s="24"/>
      <c r="AV82" s="22" t="s">
        <v>681</v>
      </c>
      <c r="AW82" s="22">
        <v>35</v>
      </c>
      <c r="AX82" s="22">
        <v>35</v>
      </c>
    </row>
    <row r="83" spans="1:50" hidden="1" x14ac:dyDescent="0.2">
      <c r="A83" t="s">
        <v>790</v>
      </c>
      <c r="B83" s="17" t="s">
        <v>332</v>
      </c>
      <c r="C83" s="17">
        <v>2018</v>
      </c>
      <c r="D83" s="17" t="s">
        <v>333</v>
      </c>
      <c r="E83" s="32" t="s">
        <v>49</v>
      </c>
      <c r="F83" s="17" t="s">
        <v>75</v>
      </c>
      <c r="G83" s="17" t="s">
        <v>334</v>
      </c>
      <c r="H83" s="17" t="s">
        <v>335</v>
      </c>
      <c r="I83" s="17" t="s">
        <v>91</v>
      </c>
      <c r="J83" s="17" t="s">
        <v>54</v>
      </c>
      <c r="K83" s="17" t="s">
        <v>92</v>
      </c>
      <c r="L83" s="17" t="s">
        <v>56</v>
      </c>
      <c r="M83" s="34" t="s">
        <v>58</v>
      </c>
      <c r="N83" s="34" t="s">
        <v>58</v>
      </c>
      <c r="O83" s="34" t="s">
        <v>93</v>
      </c>
      <c r="P83" s="34" t="s">
        <v>57</v>
      </c>
      <c r="Q83" s="34" t="s">
        <v>58</v>
      </c>
      <c r="R83" s="34" t="s">
        <v>57</v>
      </c>
      <c r="S83" s="32"/>
      <c r="T83" s="32"/>
      <c r="U83" s="32" t="s">
        <v>336</v>
      </c>
      <c r="V83" s="32" t="s">
        <v>337</v>
      </c>
      <c r="W83" s="32"/>
      <c r="X83" s="32"/>
      <c r="Y83" s="17" t="s">
        <v>338</v>
      </c>
      <c r="Z83" s="17"/>
      <c r="AA83" s="17"/>
      <c r="AB83" s="17"/>
      <c r="AC83" s="17" t="s">
        <v>339</v>
      </c>
      <c r="AD83" s="17"/>
      <c r="AE83" s="17"/>
      <c r="AF83" s="17"/>
      <c r="AG83" s="17"/>
      <c r="AH83" s="17"/>
      <c r="AI83" s="17" t="s">
        <v>64</v>
      </c>
      <c r="AJ83" s="17"/>
      <c r="AK83" s="20" t="s">
        <v>775</v>
      </c>
      <c r="AL83" s="20" t="s">
        <v>675</v>
      </c>
      <c r="AM83" s="20" t="s">
        <v>67</v>
      </c>
      <c r="AN83" s="24">
        <v>44.08</v>
      </c>
      <c r="AO83" s="25">
        <v>36</v>
      </c>
      <c r="AP83" s="24">
        <v>1.1299999999999899</v>
      </c>
      <c r="AQ83" s="28">
        <v>43.27</v>
      </c>
      <c r="AR83" s="29">
        <v>36</v>
      </c>
      <c r="AS83" s="28">
        <v>2.4700000000000002</v>
      </c>
      <c r="AT83" s="24"/>
      <c r="AU83" s="24"/>
      <c r="AV83" s="22" t="s">
        <v>345</v>
      </c>
      <c r="AW83" s="22">
        <f>12*7</f>
        <v>84</v>
      </c>
      <c r="AX83" s="22">
        <v>35</v>
      </c>
    </row>
    <row r="84" spans="1:50" hidden="1" x14ac:dyDescent="0.2">
      <c r="A84" t="s">
        <v>790</v>
      </c>
      <c r="B84" s="17" t="s">
        <v>332</v>
      </c>
      <c r="C84" s="17">
        <v>2018</v>
      </c>
      <c r="D84" s="17" t="s">
        <v>346</v>
      </c>
      <c r="E84" s="32" t="s">
        <v>88</v>
      </c>
      <c r="F84" s="17" t="s">
        <v>88</v>
      </c>
      <c r="G84" s="17" t="s">
        <v>334</v>
      </c>
      <c r="H84" s="17" t="s">
        <v>335</v>
      </c>
      <c r="I84" s="17" t="s">
        <v>91</v>
      </c>
      <c r="J84" s="17" t="s">
        <v>54</v>
      </c>
      <c r="K84" s="17" t="s">
        <v>92</v>
      </c>
      <c r="L84" s="17" t="s">
        <v>56</v>
      </c>
      <c r="M84" s="34" t="s">
        <v>58</v>
      </c>
      <c r="N84" s="34" t="s">
        <v>58</v>
      </c>
      <c r="O84" s="34" t="s">
        <v>93</v>
      </c>
      <c r="P84" s="34" t="s">
        <v>57</v>
      </c>
      <c r="Q84" s="34" t="s">
        <v>58</v>
      </c>
      <c r="R84" s="34" t="s">
        <v>57</v>
      </c>
      <c r="S84" s="32"/>
      <c r="T84" s="32"/>
      <c r="U84" s="32" t="s">
        <v>347</v>
      </c>
      <c r="V84" s="32" t="s">
        <v>348</v>
      </c>
      <c r="W84" s="32"/>
      <c r="X84" s="32"/>
      <c r="Y84" s="17" t="s">
        <v>349</v>
      </c>
      <c r="Z84" s="17"/>
      <c r="AA84" s="17"/>
      <c r="AB84" s="17"/>
      <c r="AC84" s="17" t="s">
        <v>350</v>
      </c>
      <c r="AD84" s="17"/>
      <c r="AE84" s="17"/>
      <c r="AF84" s="17"/>
      <c r="AG84" s="17"/>
      <c r="AH84" s="17"/>
      <c r="AI84" s="17" t="s">
        <v>100</v>
      </c>
      <c r="AJ84" s="17"/>
      <c r="AK84" s="20" t="s">
        <v>775</v>
      </c>
      <c r="AL84" s="20" t="s">
        <v>675</v>
      </c>
      <c r="AM84" s="20" t="s">
        <v>67</v>
      </c>
      <c r="AN84" s="24">
        <v>37.75</v>
      </c>
      <c r="AO84" s="25">
        <v>36</v>
      </c>
      <c r="AP84" s="24">
        <v>3.86</v>
      </c>
      <c r="AQ84" s="28">
        <v>37.36</v>
      </c>
      <c r="AR84" s="29">
        <v>36</v>
      </c>
      <c r="AS84" s="28">
        <v>5.89</v>
      </c>
      <c r="AT84" s="24"/>
      <c r="AU84" s="24"/>
      <c r="AV84" s="22" t="s">
        <v>345</v>
      </c>
      <c r="AW84" s="22">
        <f>12*7</f>
        <v>84</v>
      </c>
      <c r="AX84" s="22">
        <v>35</v>
      </c>
    </row>
    <row r="85" spans="1:50" hidden="1" x14ac:dyDescent="0.2">
      <c r="A85" t="s">
        <v>790</v>
      </c>
      <c r="B85" s="17" t="s">
        <v>332</v>
      </c>
      <c r="C85" s="17">
        <v>2018</v>
      </c>
      <c r="D85" s="17" t="s">
        <v>333</v>
      </c>
      <c r="E85" s="32" t="s">
        <v>49</v>
      </c>
      <c r="F85" s="17" t="s">
        <v>75</v>
      </c>
      <c r="G85" s="17" t="s">
        <v>334</v>
      </c>
      <c r="H85" s="17" t="s">
        <v>335</v>
      </c>
      <c r="I85" s="17" t="s">
        <v>91</v>
      </c>
      <c r="J85" s="17" t="s">
        <v>54</v>
      </c>
      <c r="K85" s="17" t="s">
        <v>92</v>
      </c>
      <c r="L85" s="17" t="s">
        <v>56</v>
      </c>
      <c r="M85" s="34" t="s">
        <v>58</v>
      </c>
      <c r="N85" s="34" t="s">
        <v>58</v>
      </c>
      <c r="O85" s="34" t="s">
        <v>93</v>
      </c>
      <c r="P85" s="34" t="s">
        <v>57</v>
      </c>
      <c r="Q85" s="34" t="s">
        <v>58</v>
      </c>
      <c r="R85" s="34" t="s">
        <v>57</v>
      </c>
      <c r="S85" s="32"/>
      <c r="T85" s="32"/>
      <c r="U85" s="32" t="s">
        <v>336</v>
      </c>
      <c r="V85" s="32" t="s">
        <v>337</v>
      </c>
      <c r="W85" s="32"/>
      <c r="X85" s="32"/>
      <c r="Y85" s="17" t="s">
        <v>338</v>
      </c>
      <c r="Z85" s="17"/>
      <c r="AA85" s="17"/>
      <c r="AB85" s="17"/>
      <c r="AC85" s="17" t="s">
        <v>339</v>
      </c>
      <c r="AD85" s="17"/>
      <c r="AE85" s="17"/>
      <c r="AF85" s="17"/>
      <c r="AG85" s="17"/>
      <c r="AH85" s="17"/>
      <c r="AI85" s="17" t="s">
        <v>64</v>
      </c>
      <c r="AJ85" s="17"/>
      <c r="AK85" s="20" t="s">
        <v>775</v>
      </c>
      <c r="AL85" s="20" t="s">
        <v>675</v>
      </c>
      <c r="AM85" s="20" t="s">
        <v>67</v>
      </c>
      <c r="AN85" s="24">
        <v>44.08</v>
      </c>
      <c r="AO85" s="25">
        <v>36</v>
      </c>
      <c r="AP85" s="24">
        <v>1.1299999999999899</v>
      </c>
      <c r="AQ85" s="28">
        <v>44.08</v>
      </c>
      <c r="AR85" s="29">
        <v>36</v>
      </c>
      <c r="AS85" s="28">
        <v>1.1299999999999899</v>
      </c>
      <c r="AT85" s="24"/>
      <c r="AU85" s="24"/>
      <c r="AV85" s="22" t="s">
        <v>359</v>
      </c>
      <c r="AW85" s="22">
        <v>140</v>
      </c>
      <c r="AX85" s="22">
        <v>35</v>
      </c>
    </row>
    <row r="86" spans="1:50" hidden="1" x14ac:dyDescent="0.2">
      <c r="A86" t="s">
        <v>790</v>
      </c>
      <c r="B86" s="17" t="s">
        <v>332</v>
      </c>
      <c r="C86" s="17">
        <v>2018</v>
      </c>
      <c r="D86" s="17" t="s">
        <v>346</v>
      </c>
      <c r="E86" s="32" t="s">
        <v>88</v>
      </c>
      <c r="F86" s="17" t="s">
        <v>88</v>
      </c>
      <c r="G86" s="17" t="s">
        <v>334</v>
      </c>
      <c r="H86" s="17" t="s">
        <v>335</v>
      </c>
      <c r="I86" s="17" t="s">
        <v>91</v>
      </c>
      <c r="J86" s="17" t="s">
        <v>54</v>
      </c>
      <c r="K86" s="17" t="s">
        <v>92</v>
      </c>
      <c r="L86" s="17" t="s">
        <v>56</v>
      </c>
      <c r="M86" s="34" t="s">
        <v>58</v>
      </c>
      <c r="N86" s="34" t="s">
        <v>58</v>
      </c>
      <c r="O86" s="34" t="s">
        <v>93</v>
      </c>
      <c r="P86" s="34" t="s">
        <v>57</v>
      </c>
      <c r="Q86" s="34" t="s">
        <v>58</v>
      </c>
      <c r="R86" s="34" t="s">
        <v>57</v>
      </c>
      <c r="S86" s="32"/>
      <c r="T86" s="32"/>
      <c r="U86" s="32" t="s">
        <v>347</v>
      </c>
      <c r="V86" s="32" t="s">
        <v>348</v>
      </c>
      <c r="W86" s="32"/>
      <c r="X86" s="32"/>
      <c r="Y86" s="17" t="s">
        <v>349</v>
      </c>
      <c r="Z86" s="17"/>
      <c r="AA86" s="17"/>
      <c r="AB86" s="17"/>
      <c r="AC86" s="17" t="s">
        <v>350</v>
      </c>
      <c r="AD86" s="17"/>
      <c r="AE86" s="17"/>
      <c r="AF86" s="17"/>
      <c r="AG86" s="17"/>
      <c r="AH86" s="17"/>
      <c r="AI86" s="17" t="s">
        <v>100</v>
      </c>
      <c r="AJ86" s="17"/>
      <c r="AK86" s="20" t="s">
        <v>775</v>
      </c>
      <c r="AL86" s="20" t="s">
        <v>675</v>
      </c>
      <c r="AM86" s="20" t="s">
        <v>67</v>
      </c>
      <c r="AN86" s="24">
        <v>37.75</v>
      </c>
      <c r="AO86" s="25">
        <v>36</v>
      </c>
      <c r="AP86" s="24">
        <v>3.86</v>
      </c>
      <c r="AQ86" s="28">
        <v>37.75</v>
      </c>
      <c r="AR86" s="29">
        <v>36</v>
      </c>
      <c r="AS86" s="28">
        <v>3.86</v>
      </c>
      <c r="AT86" s="24"/>
      <c r="AU86" s="24"/>
      <c r="AV86" s="22" t="s">
        <v>359</v>
      </c>
      <c r="AW86" s="22">
        <v>140</v>
      </c>
      <c r="AX86" s="22">
        <v>35</v>
      </c>
    </row>
    <row r="87" spans="1:50" hidden="1" x14ac:dyDescent="0.2">
      <c r="A87" t="s">
        <v>790</v>
      </c>
      <c r="B87" s="17" t="s">
        <v>332</v>
      </c>
      <c r="C87" s="17">
        <v>2018</v>
      </c>
      <c r="D87" s="17" t="s">
        <v>333</v>
      </c>
      <c r="E87" s="32" t="s">
        <v>49</v>
      </c>
      <c r="F87" s="17" t="s">
        <v>75</v>
      </c>
      <c r="G87" s="17" t="s">
        <v>334</v>
      </c>
      <c r="H87" s="17" t="s">
        <v>335</v>
      </c>
      <c r="I87" s="17" t="s">
        <v>91</v>
      </c>
      <c r="J87" s="17" t="s">
        <v>54</v>
      </c>
      <c r="K87" s="17" t="s">
        <v>92</v>
      </c>
      <c r="L87" s="17" t="s">
        <v>56</v>
      </c>
      <c r="M87" s="34" t="s">
        <v>58</v>
      </c>
      <c r="N87" s="34" t="s">
        <v>58</v>
      </c>
      <c r="O87" s="34" t="s">
        <v>93</v>
      </c>
      <c r="P87" s="34" t="s">
        <v>57</v>
      </c>
      <c r="Q87" s="34" t="s">
        <v>58</v>
      </c>
      <c r="R87" s="34" t="s">
        <v>57</v>
      </c>
      <c r="S87" s="32"/>
      <c r="T87" s="32"/>
      <c r="U87" s="32" t="s">
        <v>336</v>
      </c>
      <c r="V87" s="32" t="s">
        <v>337</v>
      </c>
      <c r="W87" s="32"/>
      <c r="X87" s="32"/>
      <c r="Y87" s="17" t="s">
        <v>338</v>
      </c>
      <c r="Z87" s="17"/>
      <c r="AA87" s="17"/>
      <c r="AB87" s="17"/>
      <c r="AC87" s="17" t="s">
        <v>339</v>
      </c>
      <c r="AD87" s="17"/>
      <c r="AE87" s="17"/>
      <c r="AF87" s="17"/>
      <c r="AG87" s="17"/>
      <c r="AH87" s="17"/>
      <c r="AI87" s="17" t="s">
        <v>64</v>
      </c>
      <c r="AJ87" s="17"/>
      <c r="AK87" s="20" t="s">
        <v>775</v>
      </c>
      <c r="AL87" s="20" t="s">
        <v>675</v>
      </c>
      <c r="AM87" s="20" t="s">
        <v>67</v>
      </c>
      <c r="AN87" s="24">
        <v>44.08</v>
      </c>
      <c r="AO87" s="25">
        <v>36</v>
      </c>
      <c r="AP87" s="24">
        <v>1.1299999999999899</v>
      </c>
      <c r="AQ87" s="28">
        <v>42.58</v>
      </c>
      <c r="AR87" s="29">
        <v>36</v>
      </c>
      <c r="AS87" s="28">
        <v>3.2</v>
      </c>
      <c r="AT87" s="24"/>
      <c r="AU87" s="24"/>
      <c r="AV87" s="22" t="s">
        <v>73</v>
      </c>
      <c r="AW87" s="22">
        <v>56</v>
      </c>
      <c r="AX87" s="22">
        <v>35</v>
      </c>
    </row>
    <row r="88" spans="1:50" hidden="1" x14ac:dyDescent="0.2">
      <c r="A88" t="s">
        <v>790</v>
      </c>
      <c r="B88" s="17" t="s">
        <v>332</v>
      </c>
      <c r="C88" s="17">
        <v>2018</v>
      </c>
      <c r="D88" s="17" t="s">
        <v>346</v>
      </c>
      <c r="E88" s="32" t="s">
        <v>88</v>
      </c>
      <c r="F88" s="17" t="s">
        <v>88</v>
      </c>
      <c r="G88" s="17" t="s">
        <v>334</v>
      </c>
      <c r="H88" s="17" t="s">
        <v>335</v>
      </c>
      <c r="I88" s="17" t="s">
        <v>91</v>
      </c>
      <c r="J88" s="17" t="s">
        <v>54</v>
      </c>
      <c r="K88" s="17" t="s">
        <v>92</v>
      </c>
      <c r="L88" s="17" t="s">
        <v>56</v>
      </c>
      <c r="M88" s="34" t="s">
        <v>58</v>
      </c>
      <c r="N88" s="34" t="s">
        <v>58</v>
      </c>
      <c r="O88" s="34" t="s">
        <v>93</v>
      </c>
      <c r="P88" s="34" t="s">
        <v>57</v>
      </c>
      <c r="Q88" s="34" t="s">
        <v>58</v>
      </c>
      <c r="R88" s="34" t="s">
        <v>57</v>
      </c>
      <c r="S88" s="32"/>
      <c r="T88" s="32"/>
      <c r="U88" s="32" t="s">
        <v>347</v>
      </c>
      <c r="V88" s="32" t="s">
        <v>348</v>
      </c>
      <c r="W88" s="32"/>
      <c r="X88" s="32"/>
      <c r="Y88" s="17" t="s">
        <v>349</v>
      </c>
      <c r="Z88" s="17"/>
      <c r="AA88" s="17"/>
      <c r="AB88" s="17"/>
      <c r="AC88" s="17" t="s">
        <v>350</v>
      </c>
      <c r="AD88" s="17"/>
      <c r="AE88" s="17"/>
      <c r="AF88" s="17"/>
      <c r="AG88" s="17"/>
      <c r="AH88" s="17"/>
      <c r="AI88" s="17" t="s">
        <v>100</v>
      </c>
      <c r="AJ88" s="17"/>
      <c r="AK88" s="20" t="s">
        <v>775</v>
      </c>
      <c r="AL88" s="20" t="s">
        <v>675</v>
      </c>
      <c r="AM88" s="20" t="s">
        <v>67</v>
      </c>
      <c r="AN88" s="24">
        <v>37.75</v>
      </c>
      <c r="AO88" s="25">
        <v>36</v>
      </c>
      <c r="AP88" s="24">
        <v>3.86</v>
      </c>
      <c r="AQ88" s="28">
        <v>39.19</v>
      </c>
      <c r="AR88" s="29">
        <v>36</v>
      </c>
      <c r="AS88" s="28">
        <v>4.5199999999999898</v>
      </c>
      <c r="AT88" s="24"/>
      <c r="AU88" s="24"/>
      <c r="AV88" s="22" t="s">
        <v>73</v>
      </c>
      <c r="AW88" s="22">
        <v>56</v>
      </c>
      <c r="AX88" s="22">
        <v>35</v>
      </c>
    </row>
    <row r="89" spans="1:50" hidden="1" x14ac:dyDescent="0.2">
      <c r="A89" t="s">
        <v>790</v>
      </c>
      <c r="B89" s="17" t="s">
        <v>332</v>
      </c>
      <c r="C89" s="17">
        <v>2018</v>
      </c>
      <c r="D89" s="17" t="s">
        <v>333</v>
      </c>
      <c r="E89" s="32" t="s">
        <v>49</v>
      </c>
      <c r="F89" s="17" t="s">
        <v>75</v>
      </c>
      <c r="G89" s="17" t="s">
        <v>334</v>
      </c>
      <c r="H89" s="17" t="s">
        <v>335</v>
      </c>
      <c r="I89" s="17" t="s">
        <v>91</v>
      </c>
      <c r="J89" s="17" t="s">
        <v>54</v>
      </c>
      <c r="K89" s="17" t="s">
        <v>92</v>
      </c>
      <c r="L89" s="17" t="s">
        <v>56</v>
      </c>
      <c r="M89" s="34" t="s">
        <v>58</v>
      </c>
      <c r="N89" s="34" t="s">
        <v>58</v>
      </c>
      <c r="O89" s="34" t="s">
        <v>93</v>
      </c>
      <c r="P89" s="34" t="s">
        <v>57</v>
      </c>
      <c r="Q89" s="34" t="s">
        <v>58</v>
      </c>
      <c r="R89" s="34" t="s">
        <v>57</v>
      </c>
      <c r="S89" s="32"/>
      <c r="T89" s="32"/>
      <c r="U89" s="32" t="s">
        <v>336</v>
      </c>
      <c r="V89" s="32" t="s">
        <v>337</v>
      </c>
      <c r="W89" s="32"/>
      <c r="X89" s="32"/>
      <c r="Y89" s="17" t="s">
        <v>338</v>
      </c>
      <c r="Z89" s="17"/>
      <c r="AA89" s="17"/>
      <c r="AB89" s="17"/>
      <c r="AC89" s="17" t="s">
        <v>339</v>
      </c>
      <c r="AD89" s="17"/>
      <c r="AE89" s="17"/>
      <c r="AF89" s="17"/>
      <c r="AG89" s="17"/>
      <c r="AH89" s="17"/>
      <c r="AI89" s="17" t="s">
        <v>64</v>
      </c>
      <c r="AJ89" s="17"/>
      <c r="AK89" s="20" t="s">
        <v>876</v>
      </c>
      <c r="AL89" s="20" t="s">
        <v>877</v>
      </c>
      <c r="AM89" s="20" t="s">
        <v>67</v>
      </c>
      <c r="AN89" s="24">
        <v>79.44</v>
      </c>
      <c r="AO89" s="25">
        <v>36</v>
      </c>
      <c r="AP89" s="24">
        <v>11.19</v>
      </c>
      <c r="AQ89" s="28">
        <v>98.91</v>
      </c>
      <c r="AR89" s="29">
        <v>36</v>
      </c>
      <c r="AS89" s="28">
        <v>10.050000000000001</v>
      </c>
      <c r="AT89" s="24"/>
      <c r="AU89" s="24"/>
      <c r="AV89" s="22" t="s">
        <v>345</v>
      </c>
      <c r="AW89" s="22">
        <f>12*7</f>
        <v>84</v>
      </c>
      <c r="AX89" s="22">
        <v>35</v>
      </c>
    </row>
    <row r="90" spans="1:50" hidden="1" x14ac:dyDescent="0.2">
      <c r="A90" t="s">
        <v>790</v>
      </c>
      <c r="B90" s="17" t="s">
        <v>332</v>
      </c>
      <c r="C90" s="17">
        <v>2018</v>
      </c>
      <c r="D90" s="17" t="s">
        <v>346</v>
      </c>
      <c r="E90" s="32" t="s">
        <v>88</v>
      </c>
      <c r="F90" s="17" t="s">
        <v>88</v>
      </c>
      <c r="G90" s="17" t="s">
        <v>334</v>
      </c>
      <c r="H90" s="17" t="s">
        <v>335</v>
      </c>
      <c r="I90" s="17" t="s">
        <v>91</v>
      </c>
      <c r="J90" s="17" t="s">
        <v>54</v>
      </c>
      <c r="K90" s="17" t="s">
        <v>92</v>
      </c>
      <c r="L90" s="17" t="s">
        <v>56</v>
      </c>
      <c r="M90" s="34" t="s">
        <v>58</v>
      </c>
      <c r="N90" s="34" t="s">
        <v>58</v>
      </c>
      <c r="O90" s="34" t="s">
        <v>93</v>
      </c>
      <c r="P90" s="34" t="s">
        <v>57</v>
      </c>
      <c r="Q90" s="34" t="s">
        <v>58</v>
      </c>
      <c r="R90" s="34" t="s">
        <v>57</v>
      </c>
      <c r="S90" s="32"/>
      <c r="T90" s="32"/>
      <c r="U90" s="32" t="s">
        <v>336</v>
      </c>
      <c r="V90" s="32" t="s">
        <v>337</v>
      </c>
      <c r="W90" s="32"/>
      <c r="X90" s="32"/>
      <c r="Y90" s="17" t="s">
        <v>338</v>
      </c>
      <c r="Z90" s="17"/>
      <c r="AA90" s="17"/>
      <c r="AB90" s="17"/>
      <c r="AC90" s="17" t="s">
        <v>339</v>
      </c>
      <c r="AD90" s="17"/>
      <c r="AE90" s="17"/>
      <c r="AF90" s="17"/>
      <c r="AG90" s="17"/>
      <c r="AH90" s="17"/>
      <c r="AI90" s="17" t="s">
        <v>64</v>
      </c>
      <c r="AJ90" s="17"/>
      <c r="AK90" s="20" t="s">
        <v>876</v>
      </c>
      <c r="AL90" s="20" t="s">
        <v>877</v>
      </c>
      <c r="AM90" s="20" t="s">
        <v>67</v>
      </c>
      <c r="AN90" s="24">
        <v>79.77</v>
      </c>
      <c r="AO90" s="25">
        <v>36</v>
      </c>
      <c r="AP90" s="24">
        <v>11.02</v>
      </c>
      <c r="AQ90" s="28">
        <v>99.8</v>
      </c>
      <c r="AR90" s="29">
        <v>36</v>
      </c>
      <c r="AS90" s="28">
        <v>11.25</v>
      </c>
      <c r="AT90" s="24"/>
      <c r="AU90" s="24"/>
      <c r="AV90" s="22" t="s">
        <v>345</v>
      </c>
      <c r="AW90" s="22">
        <f>12*7</f>
        <v>84</v>
      </c>
      <c r="AX90" s="22">
        <v>35</v>
      </c>
    </row>
    <row r="91" spans="1:50" hidden="1" x14ac:dyDescent="0.2">
      <c r="A91" t="s">
        <v>790</v>
      </c>
      <c r="B91" s="17" t="s">
        <v>332</v>
      </c>
      <c r="C91" s="17">
        <v>2018</v>
      </c>
      <c r="D91" s="17" t="s">
        <v>333</v>
      </c>
      <c r="E91" s="32" t="s">
        <v>49</v>
      </c>
      <c r="F91" s="17" t="s">
        <v>75</v>
      </c>
      <c r="G91" s="17" t="s">
        <v>334</v>
      </c>
      <c r="H91" s="17" t="s">
        <v>335</v>
      </c>
      <c r="I91" s="17" t="s">
        <v>91</v>
      </c>
      <c r="J91" s="17" t="s">
        <v>54</v>
      </c>
      <c r="K91" s="17" t="s">
        <v>92</v>
      </c>
      <c r="L91" s="17" t="s">
        <v>56</v>
      </c>
      <c r="M91" s="34" t="s">
        <v>58</v>
      </c>
      <c r="N91" s="34" t="s">
        <v>58</v>
      </c>
      <c r="O91" s="34" t="s">
        <v>93</v>
      </c>
      <c r="P91" s="34" t="s">
        <v>57</v>
      </c>
      <c r="Q91" s="34" t="s">
        <v>58</v>
      </c>
      <c r="R91" s="34" t="s">
        <v>57</v>
      </c>
      <c r="S91" s="32"/>
      <c r="T91" s="32"/>
      <c r="U91" s="32" t="s">
        <v>336</v>
      </c>
      <c r="V91" s="32" t="s">
        <v>337</v>
      </c>
      <c r="W91" s="32"/>
      <c r="X91" s="32"/>
      <c r="Y91" s="17" t="s">
        <v>338</v>
      </c>
      <c r="Z91" s="17"/>
      <c r="AA91" s="17"/>
      <c r="AB91" s="17"/>
      <c r="AC91" s="17" t="s">
        <v>339</v>
      </c>
      <c r="AD91" s="17"/>
      <c r="AE91" s="17"/>
      <c r="AF91" s="17"/>
      <c r="AG91" s="17"/>
      <c r="AH91" s="17"/>
      <c r="AI91" s="17" t="s">
        <v>64</v>
      </c>
      <c r="AJ91" s="17"/>
      <c r="AK91" s="20" t="s">
        <v>876</v>
      </c>
      <c r="AL91" s="20" t="s">
        <v>877</v>
      </c>
      <c r="AM91" s="20" t="s">
        <v>67</v>
      </c>
      <c r="AN91" s="24">
        <v>79.44</v>
      </c>
      <c r="AO91" s="25">
        <v>36</v>
      </c>
      <c r="AP91" s="24">
        <v>11.19</v>
      </c>
      <c r="AQ91" s="28">
        <v>100.27</v>
      </c>
      <c r="AR91" s="29">
        <v>36</v>
      </c>
      <c r="AS91" s="28">
        <v>9.56</v>
      </c>
      <c r="AT91" s="24"/>
      <c r="AU91" s="24"/>
      <c r="AV91" s="22" t="s">
        <v>359</v>
      </c>
      <c r="AW91" s="22">
        <v>140</v>
      </c>
      <c r="AX91" s="22">
        <v>35</v>
      </c>
    </row>
    <row r="92" spans="1:50" hidden="1" x14ac:dyDescent="0.2">
      <c r="A92" t="s">
        <v>790</v>
      </c>
      <c r="B92" s="17" t="s">
        <v>332</v>
      </c>
      <c r="C92" s="17">
        <v>2018</v>
      </c>
      <c r="D92" s="17" t="s">
        <v>346</v>
      </c>
      <c r="E92" s="32" t="s">
        <v>88</v>
      </c>
      <c r="F92" s="17" t="s">
        <v>88</v>
      </c>
      <c r="G92" s="17" t="s">
        <v>334</v>
      </c>
      <c r="H92" s="17" t="s">
        <v>335</v>
      </c>
      <c r="I92" s="17" t="s">
        <v>91</v>
      </c>
      <c r="J92" s="17" t="s">
        <v>54</v>
      </c>
      <c r="K92" s="17" t="s">
        <v>92</v>
      </c>
      <c r="L92" s="17" t="s">
        <v>56</v>
      </c>
      <c r="M92" s="34" t="s">
        <v>58</v>
      </c>
      <c r="N92" s="34" t="s">
        <v>58</v>
      </c>
      <c r="O92" s="34" t="s">
        <v>93</v>
      </c>
      <c r="P92" s="34" t="s">
        <v>57</v>
      </c>
      <c r="Q92" s="34" t="s">
        <v>58</v>
      </c>
      <c r="R92" s="34" t="s">
        <v>57</v>
      </c>
      <c r="S92" s="32"/>
      <c r="T92" s="32"/>
      <c r="U92" s="32" t="s">
        <v>336</v>
      </c>
      <c r="V92" s="32" t="s">
        <v>337</v>
      </c>
      <c r="W92" s="32"/>
      <c r="X92" s="32"/>
      <c r="Y92" s="17" t="s">
        <v>338</v>
      </c>
      <c r="Z92" s="17"/>
      <c r="AA92" s="17"/>
      <c r="AB92" s="17"/>
      <c r="AC92" s="17" t="s">
        <v>339</v>
      </c>
      <c r="AD92" s="17"/>
      <c r="AE92" s="17"/>
      <c r="AF92" s="17"/>
      <c r="AG92" s="17"/>
      <c r="AH92" s="17"/>
      <c r="AI92" s="17" t="s">
        <v>64</v>
      </c>
      <c r="AJ92" s="17"/>
      <c r="AK92" s="20" t="s">
        <v>876</v>
      </c>
      <c r="AL92" s="20" t="s">
        <v>877</v>
      </c>
      <c r="AM92" s="20" t="s">
        <v>67</v>
      </c>
      <c r="AN92" s="24">
        <v>79.77</v>
      </c>
      <c r="AO92" s="25">
        <v>36</v>
      </c>
      <c r="AP92" s="24">
        <v>11.02</v>
      </c>
      <c r="AQ92" s="28">
        <v>98.91</v>
      </c>
      <c r="AR92" s="29">
        <v>36</v>
      </c>
      <c r="AS92" s="28">
        <v>11.23</v>
      </c>
      <c r="AT92" s="24"/>
      <c r="AU92" s="24"/>
      <c r="AV92" s="22" t="s">
        <v>359</v>
      </c>
      <c r="AW92" s="22">
        <v>140</v>
      </c>
      <c r="AX92" s="22">
        <v>35</v>
      </c>
    </row>
    <row r="93" spans="1:50" hidden="1" x14ac:dyDescent="0.2">
      <c r="A93" t="s">
        <v>790</v>
      </c>
      <c r="B93" s="17" t="s">
        <v>332</v>
      </c>
      <c r="C93" s="17">
        <v>2018</v>
      </c>
      <c r="D93" s="17" t="s">
        <v>333</v>
      </c>
      <c r="E93" s="32" t="s">
        <v>49</v>
      </c>
      <c r="F93" s="17" t="s">
        <v>75</v>
      </c>
      <c r="G93" s="17" t="s">
        <v>334</v>
      </c>
      <c r="H93" s="17" t="s">
        <v>335</v>
      </c>
      <c r="I93" s="17" t="s">
        <v>91</v>
      </c>
      <c r="J93" s="17" t="s">
        <v>54</v>
      </c>
      <c r="K93" s="17" t="s">
        <v>92</v>
      </c>
      <c r="L93" s="17" t="s">
        <v>56</v>
      </c>
      <c r="M93" s="34" t="s">
        <v>58</v>
      </c>
      <c r="N93" s="34" t="s">
        <v>58</v>
      </c>
      <c r="O93" s="34" t="s">
        <v>93</v>
      </c>
      <c r="P93" s="34" t="s">
        <v>57</v>
      </c>
      <c r="Q93" s="34" t="s">
        <v>58</v>
      </c>
      <c r="R93" s="34" t="s">
        <v>57</v>
      </c>
      <c r="S93" s="32"/>
      <c r="T93" s="32"/>
      <c r="U93" s="32" t="s">
        <v>336</v>
      </c>
      <c r="V93" s="32" t="s">
        <v>337</v>
      </c>
      <c r="W93" s="32"/>
      <c r="X93" s="32"/>
      <c r="Y93" s="17" t="s">
        <v>338</v>
      </c>
      <c r="Z93" s="17"/>
      <c r="AA93" s="17"/>
      <c r="AB93" s="17"/>
      <c r="AC93" s="17" t="s">
        <v>339</v>
      </c>
      <c r="AD93" s="17"/>
      <c r="AE93" s="17"/>
      <c r="AF93" s="17"/>
      <c r="AG93" s="17"/>
      <c r="AH93" s="17"/>
      <c r="AI93" s="17" t="s">
        <v>64</v>
      </c>
      <c r="AJ93" s="17"/>
      <c r="AK93" s="20" t="s">
        <v>876</v>
      </c>
      <c r="AL93" s="20" t="s">
        <v>877</v>
      </c>
      <c r="AM93" s="20" t="s">
        <v>67</v>
      </c>
      <c r="AN93" s="24">
        <v>79.44</v>
      </c>
      <c r="AO93" s="25">
        <v>36</v>
      </c>
      <c r="AP93" s="24">
        <v>11.19</v>
      </c>
      <c r="AQ93" s="28">
        <v>98.61</v>
      </c>
      <c r="AR93" s="29">
        <v>36</v>
      </c>
      <c r="AS93" s="28">
        <v>10.8</v>
      </c>
      <c r="AT93" s="24"/>
      <c r="AU93" s="24"/>
      <c r="AV93" s="22" t="s">
        <v>73</v>
      </c>
      <c r="AW93" s="22">
        <v>56</v>
      </c>
      <c r="AX93" s="22">
        <v>35</v>
      </c>
    </row>
    <row r="94" spans="1:50" hidden="1" x14ac:dyDescent="0.2">
      <c r="A94" t="s">
        <v>790</v>
      </c>
      <c r="B94" s="17" t="s">
        <v>332</v>
      </c>
      <c r="C94" s="17">
        <v>2018</v>
      </c>
      <c r="D94" s="17" t="s">
        <v>346</v>
      </c>
      <c r="E94" s="32" t="s">
        <v>88</v>
      </c>
      <c r="F94" s="17" t="s">
        <v>88</v>
      </c>
      <c r="G94" s="17" t="s">
        <v>334</v>
      </c>
      <c r="H94" s="17" t="s">
        <v>335</v>
      </c>
      <c r="I94" s="17" t="s">
        <v>91</v>
      </c>
      <c r="J94" s="17" t="s">
        <v>54</v>
      </c>
      <c r="K94" s="17" t="s">
        <v>92</v>
      </c>
      <c r="L94" s="17" t="s">
        <v>56</v>
      </c>
      <c r="M94" s="34" t="s">
        <v>58</v>
      </c>
      <c r="N94" s="34" t="s">
        <v>58</v>
      </c>
      <c r="O94" s="34" t="s">
        <v>93</v>
      </c>
      <c r="P94" s="34" t="s">
        <v>57</v>
      </c>
      <c r="Q94" s="34" t="s">
        <v>58</v>
      </c>
      <c r="R94" s="34" t="s">
        <v>57</v>
      </c>
      <c r="S94" s="32"/>
      <c r="T94" s="32"/>
      <c r="U94" s="32" t="s">
        <v>336</v>
      </c>
      <c r="V94" s="32" t="s">
        <v>337</v>
      </c>
      <c r="W94" s="32"/>
      <c r="X94" s="32"/>
      <c r="Y94" s="17" t="s">
        <v>338</v>
      </c>
      <c r="Z94" s="17"/>
      <c r="AA94" s="17"/>
      <c r="AB94" s="17"/>
      <c r="AC94" s="17" t="s">
        <v>339</v>
      </c>
      <c r="AD94" s="17"/>
      <c r="AE94" s="17"/>
      <c r="AF94" s="17"/>
      <c r="AG94" s="17"/>
      <c r="AH94" s="17"/>
      <c r="AI94" s="17" t="s">
        <v>64</v>
      </c>
      <c r="AJ94" s="17"/>
      <c r="AK94" s="20" t="s">
        <v>876</v>
      </c>
      <c r="AL94" s="20" t="s">
        <v>877</v>
      </c>
      <c r="AM94" s="20" t="s">
        <v>67</v>
      </c>
      <c r="AN94" s="24">
        <v>79.77</v>
      </c>
      <c r="AO94" s="25">
        <v>36</v>
      </c>
      <c r="AP94" s="24">
        <v>11.02</v>
      </c>
      <c r="AQ94" s="28">
        <v>100.11</v>
      </c>
      <c r="AR94" s="29">
        <v>36</v>
      </c>
      <c r="AS94" s="28">
        <v>10.49</v>
      </c>
      <c r="AT94" s="24"/>
      <c r="AU94" s="24"/>
      <c r="AV94" s="22" t="s">
        <v>73</v>
      </c>
      <c r="AW94" s="22">
        <v>56</v>
      </c>
      <c r="AX94" s="22">
        <v>35</v>
      </c>
    </row>
    <row r="95" spans="1:50" hidden="1" x14ac:dyDescent="0.2">
      <c r="A95" t="s">
        <v>790</v>
      </c>
      <c r="B95" s="17" t="s">
        <v>376</v>
      </c>
      <c r="C95" s="17">
        <v>2010</v>
      </c>
      <c r="D95" s="17" t="s">
        <v>87</v>
      </c>
      <c r="E95" s="32" t="s">
        <v>88</v>
      </c>
      <c r="F95" s="17" t="s">
        <v>88</v>
      </c>
      <c r="G95" s="17" t="s">
        <v>279</v>
      </c>
      <c r="H95" s="17" t="s">
        <v>377</v>
      </c>
      <c r="I95" s="17" t="s">
        <v>91</v>
      </c>
      <c r="J95" s="17" t="s">
        <v>54</v>
      </c>
      <c r="K95" s="17" t="s">
        <v>260</v>
      </c>
      <c r="L95" s="17" t="s">
        <v>56</v>
      </c>
      <c r="M95" s="34" t="s">
        <v>58</v>
      </c>
      <c r="N95" s="34" t="s">
        <v>57</v>
      </c>
      <c r="O95" s="34" t="s">
        <v>57</v>
      </c>
      <c r="P95" s="34" t="s">
        <v>57</v>
      </c>
      <c r="Q95" s="34" t="s">
        <v>58</v>
      </c>
      <c r="R95" s="34" t="s">
        <v>57</v>
      </c>
      <c r="S95" s="32" t="s">
        <v>378</v>
      </c>
      <c r="T95" s="32" t="s">
        <v>379</v>
      </c>
      <c r="U95" s="32" t="s">
        <v>380</v>
      </c>
      <c r="V95" s="32" t="s">
        <v>381</v>
      </c>
      <c r="W95" s="32"/>
      <c r="X95" s="32"/>
      <c r="Y95" s="17" t="s">
        <v>87</v>
      </c>
      <c r="Z95" s="17"/>
      <c r="AA95" s="17"/>
      <c r="AB95" s="17"/>
      <c r="AC95" s="17" t="s">
        <v>382</v>
      </c>
      <c r="AD95" s="17"/>
      <c r="AE95" s="17"/>
      <c r="AF95" s="17"/>
      <c r="AG95" s="17"/>
      <c r="AH95" s="17"/>
      <c r="AI95" s="17" t="s">
        <v>100</v>
      </c>
      <c r="AJ95" s="17"/>
      <c r="AK95" s="20" t="s">
        <v>65</v>
      </c>
      <c r="AL95" s="20" t="s">
        <v>66</v>
      </c>
      <c r="AM95" s="20" t="s">
        <v>67</v>
      </c>
      <c r="AN95" s="24">
        <v>43.28</v>
      </c>
      <c r="AO95" s="25">
        <v>25</v>
      </c>
      <c r="AP95" s="24">
        <v>13.08</v>
      </c>
      <c r="AQ95" s="28">
        <v>64.5</v>
      </c>
      <c r="AR95" s="29">
        <v>25</v>
      </c>
      <c r="AS95" s="28">
        <v>25.13</v>
      </c>
      <c r="AT95" s="24"/>
      <c r="AU95" s="24"/>
      <c r="AV95" s="22" t="s">
        <v>402</v>
      </c>
      <c r="AW95" s="22">
        <v>65</v>
      </c>
      <c r="AX95" s="22">
        <v>35</v>
      </c>
    </row>
    <row r="96" spans="1:50" hidden="1" x14ac:dyDescent="0.2">
      <c r="A96" t="s">
        <v>790</v>
      </c>
      <c r="B96" s="17" t="s">
        <v>376</v>
      </c>
      <c r="C96" s="17">
        <v>2010</v>
      </c>
      <c r="D96" s="17" t="s">
        <v>388</v>
      </c>
      <c r="E96" s="32" t="s">
        <v>49</v>
      </c>
      <c r="F96" s="17" t="s">
        <v>75</v>
      </c>
      <c r="G96" s="17" t="s">
        <v>279</v>
      </c>
      <c r="H96" s="17" t="s">
        <v>377</v>
      </c>
      <c r="I96" s="17" t="s">
        <v>91</v>
      </c>
      <c r="J96" s="17" t="s">
        <v>54</v>
      </c>
      <c r="K96" s="17" t="s">
        <v>260</v>
      </c>
      <c r="L96" s="17" t="s">
        <v>56</v>
      </c>
      <c r="M96" s="34" t="s">
        <v>58</v>
      </c>
      <c r="N96" s="34" t="s">
        <v>57</v>
      </c>
      <c r="O96" s="34" t="s">
        <v>57</v>
      </c>
      <c r="P96" s="34" t="s">
        <v>57</v>
      </c>
      <c r="Q96" s="34" t="s">
        <v>58</v>
      </c>
      <c r="R96" s="34" t="s">
        <v>57</v>
      </c>
      <c r="S96" s="32" t="s">
        <v>389</v>
      </c>
      <c r="T96" s="32" t="s">
        <v>390</v>
      </c>
      <c r="U96" s="32" t="s">
        <v>391</v>
      </c>
      <c r="V96" s="32" t="s">
        <v>392</v>
      </c>
      <c r="W96" s="32"/>
      <c r="X96" s="32"/>
      <c r="Y96" s="17" t="s">
        <v>393</v>
      </c>
      <c r="Z96" s="17"/>
      <c r="AA96" s="17"/>
      <c r="AB96" s="17"/>
      <c r="AC96" s="17" t="s">
        <v>394</v>
      </c>
      <c r="AD96" s="17"/>
      <c r="AE96" s="17"/>
      <c r="AF96" s="17"/>
      <c r="AG96" s="17"/>
      <c r="AH96" s="17"/>
      <c r="AI96" s="17" t="s">
        <v>395</v>
      </c>
      <c r="AJ96" s="17"/>
      <c r="AK96" s="20" t="s">
        <v>65</v>
      </c>
      <c r="AL96" s="20" t="s">
        <v>66</v>
      </c>
      <c r="AM96" s="20" t="s">
        <v>67</v>
      </c>
      <c r="AN96" s="24">
        <v>42</v>
      </c>
      <c r="AO96" s="25">
        <v>25</v>
      </c>
      <c r="AP96" s="24">
        <v>65.17</v>
      </c>
      <c r="AQ96" s="28">
        <v>56.33</v>
      </c>
      <c r="AR96" s="29">
        <v>25</v>
      </c>
      <c r="AS96" s="28">
        <v>54.14</v>
      </c>
      <c r="AT96" s="24"/>
      <c r="AU96" s="24"/>
      <c r="AV96" s="22" t="s">
        <v>402</v>
      </c>
      <c r="AW96" s="22">
        <v>65</v>
      </c>
      <c r="AX96" s="22">
        <v>35</v>
      </c>
    </row>
    <row r="97" spans="1:50" hidden="1" x14ac:dyDescent="0.2">
      <c r="A97" t="s">
        <v>790</v>
      </c>
      <c r="B97" s="17" t="s">
        <v>376</v>
      </c>
      <c r="C97" s="17">
        <v>2010</v>
      </c>
      <c r="D97" s="17" t="s">
        <v>87</v>
      </c>
      <c r="E97" s="32" t="s">
        <v>88</v>
      </c>
      <c r="F97" s="17" t="s">
        <v>88</v>
      </c>
      <c r="G97" s="17" t="s">
        <v>279</v>
      </c>
      <c r="H97" s="17" t="s">
        <v>377</v>
      </c>
      <c r="I97" s="17" t="s">
        <v>91</v>
      </c>
      <c r="J97" s="17" t="s">
        <v>54</v>
      </c>
      <c r="K97" s="17" t="s">
        <v>260</v>
      </c>
      <c r="L97" s="17" t="s">
        <v>56</v>
      </c>
      <c r="M97" s="34" t="s">
        <v>58</v>
      </c>
      <c r="N97" s="34" t="s">
        <v>57</v>
      </c>
      <c r="O97" s="34" t="s">
        <v>57</v>
      </c>
      <c r="P97" s="34" t="s">
        <v>57</v>
      </c>
      <c r="Q97" s="34" t="s">
        <v>58</v>
      </c>
      <c r="R97" s="34" t="s">
        <v>57</v>
      </c>
      <c r="S97" s="32" t="s">
        <v>378</v>
      </c>
      <c r="T97" s="32" t="s">
        <v>379</v>
      </c>
      <c r="U97" s="32" t="s">
        <v>380</v>
      </c>
      <c r="V97" s="32" t="s">
        <v>381</v>
      </c>
      <c r="W97" s="32"/>
      <c r="X97" s="32"/>
      <c r="Y97" s="17" t="s">
        <v>87</v>
      </c>
      <c r="Z97" s="17"/>
      <c r="AA97" s="17"/>
      <c r="AB97" s="17"/>
      <c r="AC97" s="17" t="s">
        <v>382</v>
      </c>
      <c r="AD97" s="17"/>
      <c r="AE97" s="17"/>
      <c r="AF97" s="17"/>
      <c r="AG97" s="17"/>
      <c r="AH97" s="17"/>
      <c r="AI97" s="17" t="s">
        <v>100</v>
      </c>
      <c r="AJ97" s="17"/>
      <c r="AK97" s="20" t="s">
        <v>65</v>
      </c>
      <c r="AL97" s="20" t="s">
        <v>66</v>
      </c>
      <c r="AM97" s="20" t="s">
        <v>67</v>
      </c>
      <c r="AN97" s="24">
        <v>43.28</v>
      </c>
      <c r="AO97" s="25">
        <v>25</v>
      </c>
      <c r="AP97" s="24">
        <v>13.08</v>
      </c>
      <c r="AQ97" s="28">
        <v>46.8</v>
      </c>
      <c r="AR97" s="29">
        <v>25</v>
      </c>
      <c r="AS97" s="28">
        <v>3.13</v>
      </c>
      <c r="AT97" s="24"/>
      <c r="AU97" s="24"/>
      <c r="AV97" s="22" t="s">
        <v>683</v>
      </c>
      <c r="AW97" s="22">
        <v>35</v>
      </c>
      <c r="AX97" s="22">
        <v>35</v>
      </c>
    </row>
    <row r="98" spans="1:50" hidden="1" x14ac:dyDescent="0.2">
      <c r="A98" t="s">
        <v>790</v>
      </c>
      <c r="B98" s="17" t="s">
        <v>376</v>
      </c>
      <c r="C98" s="17">
        <v>2010</v>
      </c>
      <c r="D98" s="17" t="s">
        <v>388</v>
      </c>
      <c r="E98" s="32" t="s">
        <v>49</v>
      </c>
      <c r="F98" s="17" t="s">
        <v>75</v>
      </c>
      <c r="G98" s="17" t="s">
        <v>279</v>
      </c>
      <c r="H98" s="17" t="s">
        <v>377</v>
      </c>
      <c r="I98" s="17" t="s">
        <v>91</v>
      </c>
      <c r="J98" s="17" t="s">
        <v>54</v>
      </c>
      <c r="K98" s="17" t="s">
        <v>260</v>
      </c>
      <c r="L98" s="17" t="s">
        <v>56</v>
      </c>
      <c r="M98" s="34" t="s">
        <v>58</v>
      </c>
      <c r="N98" s="34" t="s">
        <v>57</v>
      </c>
      <c r="O98" s="34" t="s">
        <v>57</v>
      </c>
      <c r="P98" s="34" t="s">
        <v>57</v>
      </c>
      <c r="Q98" s="34" t="s">
        <v>58</v>
      </c>
      <c r="R98" s="34" t="s">
        <v>57</v>
      </c>
      <c r="S98" s="32" t="s">
        <v>389</v>
      </c>
      <c r="T98" s="32" t="s">
        <v>390</v>
      </c>
      <c r="U98" s="32" t="s">
        <v>391</v>
      </c>
      <c r="V98" s="32" t="s">
        <v>392</v>
      </c>
      <c r="W98" s="32"/>
      <c r="X98" s="32"/>
      <c r="Y98" s="17" t="s">
        <v>393</v>
      </c>
      <c r="Z98" s="17"/>
      <c r="AA98" s="17"/>
      <c r="AB98" s="17"/>
      <c r="AC98" s="17" t="s">
        <v>394</v>
      </c>
      <c r="AD98" s="17"/>
      <c r="AE98" s="17"/>
      <c r="AF98" s="17"/>
      <c r="AG98" s="17"/>
      <c r="AH98" s="17"/>
      <c r="AI98" s="17" t="s">
        <v>395</v>
      </c>
      <c r="AJ98" s="17"/>
      <c r="AK98" s="20" t="s">
        <v>65</v>
      </c>
      <c r="AL98" s="20" t="s">
        <v>66</v>
      </c>
      <c r="AM98" s="20" t="s">
        <v>67</v>
      </c>
      <c r="AN98" s="24">
        <v>42</v>
      </c>
      <c r="AO98" s="25">
        <v>25</v>
      </c>
      <c r="AP98" s="24">
        <v>65.17</v>
      </c>
      <c r="AQ98" s="28">
        <v>44.35</v>
      </c>
      <c r="AR98" s="29">
        <v>25</v>
      </c>
      <c r="AS98" s="28">
        <v>65.150000000000006</v>
      </c>
      <c r="AT98" s="24"/>
      <c r="AU98" s="24"/>
      <c r="AV98" s="22" t="s">
        <v>683</v>
      </c>
      <c r="AW98" s="22">
        <v>35</v>
      </c>
      <c r="AX98" s="22">
        <v>35</v>
      </c>
    </row>
    <row r="99" spans="1:50" hidden="1" x14ac:dyDescent="0.2">
      <c r="A99" t="s">
        <v>790</v>
      </c>
      <c r="B99" s="17" t="s">
        <v>405</v>
      </c>
      <c r="C99" s="17">
        <v>2017</v>
      </c>
      <c r="D99" s="17" t="s">
        <v>87</v>
      </c>
      <c r="E99" s="32" t="s">
        <v>88</v>
      </c>
      <c r="F99" s="17" t="s">
        <v>88</v>
      </c>
      <c r="G99" s="17" t="s">
        <v>279</v>
      </c>
      <c r="H99" s="17" t="s">
        <v>406</v>
      </c>
      <c r="I99" s="17" t="s">
        <v>53</v>
      </c>
      <c r="J99" s="17" t="s">
        <v>54</v>
      </c>
      <c r="K99" s="17" t="s">
        <v>260</v>
      </c>
      <c r="L99" s="17" t="s">
        <v>56</v>
      </c>
      <c r="M99" s="34" t="s">
        <v>58</v>
      </c>
      <c r="N99" s="34" t="s">
        <v>57</v>
      </c>
      <c r="O99" s="34" t="s">
        <v>57</v>
      </c>
      <c r="P99" s="34" t="s">
        <v>57</v>
      </c>
      <c r="Q99" s="34" t="s">
        <v>58</v>
      </c>
      <c r="R99" s="34" t="s">
        <v>57</v>
      </c>
      <c r="S99" s="32"/>
      <c r="T99" s="32"/>
      <c r="U99" s="32" t="s">
        <v>407</v>
      </c>
      <c r="V99" s="32" t="s">
        <v>408</v>
      </c>
      <c r="W99" s="32" t="s">
        <v>409</v>
      </c>
      <c r="X99" s="32"/>
      <c r="Y99" s="17" t="s">
        <v>87</v>
      </c>
      <c r="Z99" s="17"/>
      <c r="AA99" s="17"/>
      <c r="AB99" s="17"/>
      <c r="AC99" s="17" t="s">
        <v>410</v>
      </c>
      <c r="AD99" s="17"/>
      <c r="AE99" s="17"/>
      <c r="AF99" s="17"/>
      <c r="AG99" s="17"/>
      <c r="AH99" s="17"/>
      <c r="AI99" s="17" t="s">
        <v>100</v>
      </c>
      <c r="AJ99" s="17"/>
      <c r="AK99" s="20" t="s">
        <v>411</v>
      </c>
      <c r="AL99" s="20" t="s">
        <v>777</v>
      </c>
      <c r="AM99" s="20" t="s">
        <v>67</v>
      </c>
      <c r="AN99" s="24">
        <v>28.39</v>
      </c>
      <c r="AO99" s="25">
        <v>28</v>
      </c>
      <c r="AP99" s="24">
        <v>6.41</v>
      </c>
      <c r="AQ99" s="28">
        <v>27.85</v>
      </c>
      <c r="AR99" s="29">
        <v>28</v>
      </c>
      <c r="AS99" s="28">
        <v>5.98</v>
      </c>
      <c r="AT99" s="24"/>
      <c r="AU99" s="24"/>
      <c r="AV99" s="22" t="s">
        <v>684</v>
      </c>
      <c r="AW99" s="22">
        <v>56</v>
      </c>
      <c r="AX99" s="22">
        <v>35</v>
      </c>
    </row>
    <row r="100" spans="1:50" hidden="1" x14ac:dyDescent="0.2">
      <c r="A100" t="s">
        <v>790</v>
      </c>
      <c r="B100" s="17" t="s">
        <v>405</v>
      </c>
      <c r="C100" s="17">
        <v>2017</v>
      </c>
      <c r="D100" s="17" t="s">
        <v>417</v>
      </c>
      <c r="E100" s="32" t="s">
        <v>49</v>
      </c>
      <c r="F100" s="17" t="s">
        <v>75</v>
      </c>
      <c r="G100" s="17" t="s">
        <v>279</v>
      </c>
      <c r="H100" s="17" t="s">
        <v>406</v>
      </c>
      <c r="I100" s="17" t="s">
        <v>53</v>
      </c>
      <c r="J100" s="17" t="s">
        <v>54</v>
      </c>
      <c r="K100" s="17" t="s">
        <v>260</v>
      </c>
      <c r="L100" s="17" t="s">
        <v>56</v>
      </c>
      <c r="M100" s="34" t="s">
        <v>58</v>
      </c>
      <c r="N100" s="34" t="s">
        <v>57</v>
      </c>
      <c r="O100" s="34" t="s">
        <v>57</v>
      </c>
      <c r="P100" s="34" t="s">
        <v>57</v>
      </c>
      <c r="Q100" s="34" t="s">
        <v>58</v>
      </c>
      <c r="R100" s="34" t="s">
        <v>57</v>
      </c>
      <c r="S100" s="32"/>
      <c r="T100" s="32"/>
      <c r="U100" s="32" t="s">
        <v>418</v>
      </c>
      <c r="V100" s="32" t="s">
        <v>419</v>
      </c>
      <c r="W100" s="32" t="s">
        <v>420</v>
      </c>
      <c r="X100" s="32"/>
      <c r="Y100" s="17" t="s">
        <v>421</v>
      </c>
      <c r="Z100" s="17"/>
      <c r="AA100" s="17"/>
      <c r="AB100" s="17"/>
      <c r="AC100" s="17" t="s">
        <v>422</v>
      </c>
      <c r="AD100" s="17"/>
      <c r="AE100" s="17"/>
      <c r="AF100" s="17"/>
      <c r="AG100" s="17"/>
      <c r="AH100" s="17"/>
      <c r="AI100" s="17" t="s">
        <v>64</v>
      </c>
      <c r="AJ100" s="17"/>
      <c r="AK100" s="20" t="s">
        <v>411</v>
      </c>
      <c r="AL100" s="20" t="s">
        <v>777</v>
      </c>
      <c r="AM100" s="20" t="s">
        <v>67</v>
      </c>
      <c r="AN100" s="24">
        <v>29.8</v>
      </c>
      <c r="AO100" s="25">
        <v>26</v>
      </c>
      <c r="AP100" s="24">
        <v>4.8</v>
      </c>
      <c r="AQ100" s="28">
        <v>32.729999999999897</v>
      </c>
      <c r="AR100" s="29">
        <v>26</v>
      </c>
      <c r="AS100" s="28">
        <v>4.75</v>
      </c>
      <c r="AT100" s="24"/>
      <c r="AU100" s="24"/>
      <c r="AV100" s="22" t="s">
        <v>684</v>
      </c>
      <c r="AW100" s="22">
        <v>56</v>
      </c>
      <c r="AX100" s="22">
        <v>35</v>
      </c>
    </row>
    <row r="101" spans="1:50" hidden="1" x14ac:dyDescent="0.2">
      <c r="A101" t="s">
        <v>790</v>
      </c>
      <c r="B101" s="17" t="s">
        <v>427</v>
      </c>
      <c r="C101" s="17">
        <v>2017</v>
      </c>
      <c r="D101" s="17" t="s">
        <v>428</v>
      </c>
      <c r="E101" s="32" t="s">
        <v>88</v>
      </c>
      <c r="F101" s="17" t="s">
        <v>88</v>
      </c>
      <c r="G101" s="17" t="s">
        <v>429</v>
      </c>
      <c r="H101" s="17" t="s">
        <v>430</v>
      </c>
      <c r="I101" s="17" t="s">
        <v>91</v>
      </c>
      <c r="J101" s="17" t="s">
        <v>54</v>
      </c>
      <c r="K101" s="17" t="s">
        <v>260</v>
      </c>
      <c r="L101" s="17" t="s">
        <v>56</v>
      </c>
      <c r="M101" s="34" t="s">
        <v>93</v>
      </c>
      <c r="N101" s="34" t="s">
        <v>57</v>
      </c>
      <c r="O101" s="34" t="s">
        <v>57</v>
      </c>
      <c r="P101" s="34" t="s">
        <v>57</v>
      </c>
      <c r="Q101" s="34" t="s">
        <v>58</v>
      </c>
      <c r="R101" s="34" t="s">
        <v>57</v>
      </c>
      <c r="S101" s="32"/>
      <c r="T101" s="32"/>
      <c r="U101" s="32" t="s">
        <v>431</v>
      </c>
      <c r="V101" s="32" t="s">
        <v>432</v>
      </c>
      <c r="W101" s="32"/>
      <c r="X101" s="32"/>
      <c r="Y101" s="17" t="s">
        <v>88</v>
      </c>
      <c r="Z101" s="17"/>
      <c r="AA101" s="17"/>
      <c r="AB101" s="17"/>
      <c r="AC101" s="17" t="s">
        <v>88</v>
      </c>
      <c r="AD101" s="17"/>
      <c r="AE101" s="17"/>
      <c r="AF101" s="17"/>
      <c r="AG101" s="17"/>
      <c r="AH101" s="17"/>
      <c r="AI101" s="17" t="s">
        <v>100</v>
      </c>
      <c r="AJ101" s="17"/>
      <c r="AK101" s="20" t="s">
        <v>65</v>
      </c>
      <c r="AL101" s="20" t="s">
        <v>66</v>
      </c>
      <c r="AM101" s="20" t="s">
        <v>67</v>
      </c>
      <c r="AN101" s="24">
        <v>50</v>
      </c>
      <c r="AO101" s="25">
        <v>59</v>
      </c>
      <c r="AP101" s="24">
        <v>12.6</v>
      </c>
      <c r="AQ101" s="28">
        <v>0.74</v>
      </c>
      <c r="AR101" s="29">
        <v>59</v>
      </c>
      <c r="AS101" s="28">
        <v>0.84</v>
      </c>
      <c r="AT101" s="24"/>
      <c r="AU101" s="24"/>
      <c r="AV101" s="22" t="s">
        <v>438</v>
      </c>
      <c r="AW101" s="22">
        <f>56+90</f>
        <v>146</v>
      </c>
      <c r="AX101" s="22">
        <v>56</v>
      </c>
    </row>
    <row r="102" spans="1:50" hidden="1" x14ac:dyDescent="0.2">
      <c r="A102" t="s">
        <v>790</v>
      </c>
      <c r="B102" s="17" t="s">
        <v>427</v>
      </c>
      <c r="C102" s="17">
        <v>2017</v>
      </c>
      <c r="D102" s="17" t="s">
        <v>439</v>
      </c>
      <c r="E102" s="32" t="s">
        <v>49</v>
      </c>
      <c r="F102" s="17" t="s">
        <v>50</v>
      </c>
      <c r="G102" s="17" t="s">
        <v>429</v>
      </c>
      <c r="H102" s="17" t="s">
        <v>430</v>
      </c>
      <c r="I102" s="17" t="s">
        <v>91</v>
      </c>
      <c r="J102" s="17" t="s">
        <v>54</v>
      </c>
      <c r="K102" s="17" t="s">
        <v>260</v>
      </c>
      <c r="L102" s="17" t="s">
        <v>56</v>
      </c>
      <c r="M102" s="34" t="s">
        <v>93</v>
      </c>
      <c r="N102" s="34" t="s">
        <v>57</v>
      </c>
      <c r="O102" s="34" t="s">
        <v>57</v>
      </c>
      <c r="P102" s="34" t="s">
        <v>57</v>
      </c>
      <c r="Q102" s="34" t="s">
        <v>58</v>
      </c>
      <c r="R102" s="34" t="s">
        <v>57</v>
      </c>
      <c r="S102" s="32"/>
      <c r="T102" s="32"/>
      <c r="U102" s="32" t="s">
        <v>440</v>
      </c>
      <c r="V102" s="32" t="s">
        <v>441</v>
      </c>
      <c r="W102" s="32"/>
      <c r="X102" s="32"/>
      <c r="Y102" s="17" t="s">
        <v>442</v>
      </c>
      <c r="Z102" s="17"/>
      <c r="AA102" s="17"/>
      <c r="AB102" s="17"/>
      <c r="AC102" s="17" t="s">
        <v>443</v>
      </c>
      <c r="AD102" s="17"/>
      <c r="AE102" s="17"/>
      <c r="AF102" s="17"/>
      <c r="AG102" s="17"/>
      <c r="AH102" s="17"/>
      <c r="AI102" s="17" t="s">
        <v>64</v>
      </c>
      <c r="AJ102" s="17"/>
      <c r="AK102" s="20" t="s">
        <v>65</v>
      </c>
      <c r="AL102" s="20" t="s">
        <v>66</v>
      </c>
      <c r="AM102" s="20" t="s">
        <v>67</v>
      </c>
      <c r="AN102" s="24">
        <v>52.1</v>
      </c>
      <c r="AO102" s="25">
        <v>55</v>
      </c>
      <c r="AP102" s="24">
        <v>15.1</v>
      </c>
      <c r="AQ102" s="28">
        <v>-17.399999999999999</v>
      </c>
      <c r="AR102" s="29">
        <v>55</v>
      </c>
      <c r="AS102" s="28">
        <v>8.3800000000000008</v>
      </c>
      <c r="AT102" s="24"/>
      <c r="AU102" s="24"/>
      <c r="AV102" s="22" t="s">
        <v>438</v>
      </c>
      <c r="AW102" s="22">
        <f>56+90</f>
        <v>146</v>
      </c>
      <c r="AX102" s="22">
        <v>56</v>
      </c>
    </row>
    <row r="103" spans="1:50" hidden="1" x14ac:dyDescent="0.2">
      <c r="A103" t="s">
        <v>790</v>
      </c>
      <c r="B103" s="17" t="s">
        <v>427</v>
      </c>
      <c r="C103" s="17">
        <v>2017</v>
      </c>
      <c r="D103" s="17" t="s">
        <v>428</v>
      </c>
      <c r="E103" s="32" t="s">
        <v>88</v>
      </c>
      <c r="F103" s="17" t="s">
        <v>88</v>
      </c>
      <c r="G103" s="17" t="s">
        <v>429</v>
      </c>
      <c r="H103" s="17" t="s">
        <v>430</v>
      </c>
      <c r="I103" s="17" t="s">
        <v>91</v>
      </c>
      <c r="J103" s="17" t="s">
        <v>54</v>
      </c>
      <c r="K103" s="17" t="s">
        <v>260</v>
      </c>
      <c r="L103" s="17" t="s">
        <v>56</v>
      </c>
      <c r="M103" s="34" t="s">
        <v>93</v>
      </c>
      <c r="N103" s="34" t="s">
        <v>57</v>
      </c>
      <c r="O103" s="34" t="s">
        <v>57</v>
      </c>
      <c r="P103" s="34" t="s">
        <v>57</v>
      </c>
      <c r="Q103" s="34" t="s">
        <v>58</v>
      </c>
      <c r="R103" s="34" t="s">
        <v>57</v>
      </c>
      <c r="S103" s="32"/>
      <c r="T103" s="32"/>
      <c r="U103" s="32" t="s">
        <v>431</v>
      </c>
      <c r="V103" s="32" t="s">
        <v>432</v>
      </c>
      <c r="W103" s="32"/>
      <c r="X103" s="32"/>
      <c r="Y103" s="17" t="s">
        <v>88</v>
      </c>
      <c r="Z103" s="17"/>
      <c r="AA103" s="17"/>
      <c r="AB103" s="17"/>
      <c r="AC103" s="17" t="s">
        <v>88</v>
      </c>
      <c r="AD103" s="17"/>
      <c r="AE103" s="17"/>
      <c r="AF103" s="17"/>
      <c r="AG103" s="17"/>
      <c r="AH103" s="17"/>
      <c r="AI103" s="17" t="s">
        <v>100</v>
      </c>
      <c r="AJ103" s="17"/>
      <c r="AK103" s="20" t="s">
        <v>65</v>
      </c>
      <c r="AL103" s="20" t="s">
        <v>66</v>
      </c>
      <c r="AM103" s="20" t="s">
        <v>67</v>
      </c>
      <c r="AN103" s="24">
        <v>50</v>
      </c>
      <c r="AO103" s="25">
        <v>59</v>
      </c>
      <c r="AP103" s="24">
        <v>12.6</v>
      </c>
      <c r="AQ103" s="28">
        <v>0.15</v>
      </c>
      <c r="AR103" s="29">
        <v>59</v>
      </c>
      <c r="AS103" s="28">
        <v>0.4</v>
      </c>
      <c r="AT103" s="24"/>
      <c r="AU103" s="24"/>
      <c r="AV103" s="22" t="s">
        <v>682</v>
      </c>
      <c r="AW103" s="22">
        <v>56</v>
      </c>
      <c r="AX103" s="22">
        <v>56</v>
      </c>
    </row>
    <row r="104" spans="1:50" hidden="1" x14ac:dyDescent="0.2">
      <c r="A104" t="s">
        <v>790</v>
      </c>
      <c r="B104" s="17" t="s">
        <v>427</v>
      </c>
      <c r="C104" s="17">
        <v>2017</v>
      </c>
      <c r="D104" s="17" t="s">
        <v>439</v>
      </c>
      <c r="E104" s="32" t="s">
        <v>49</v>
      </c>
      <c r="F104" s="17" t="s">
        <v>50</v>
      </c>
      <c r="G104" s="17" t="s">
        <v>429</v>
      </c>
      <c r="H104" s="17" t="s">
        <v>430</v>
      </c>
      <c r="I104" s="17" t="s">
        <v>91</v>
      </c>
      <c r="J104" s="17" t="s">
        <v>54</v>
      </c>
      <c r="K104" s="17" t="s">
        <v>260</v>
      </c>
      <c r="L104" s="17" t="s">
        <v>56</v>
      </c>
      <c r="M104" s="34" t="s">
        <v>93</v>
      </c>
      <c r="N104" s="34" t="s">
        <v>57</v>
      </c>
      <c r="O104" s="34" t="s">
        <v>57</v>
      </c>
      <c r="P104" s="34" t="s">
        <v>57</v>
      </c>
      <c r="Q104" s="34" t="s">
        <v>58</v>
      </c>
      <c r="R104" s="34" t="s">
        <v>57</v>
      </c>
      <c r="S104" s="32"/>
      <c r="T104" s="32"/>
      <c r="U104" s="32" t="s">
        <v>440</v>
      </c>
      <c r="V104" s="32" t="s">
        <v>441</v>
      </c>
      <c r="W104" s="32"/>
      <c r="X104" s="32"/>
      <c r="Y104" s="17" t="s">
        <v>442</v>
      </c>
      <c r="Z104" s="17"/>
      <c r="AA104" s="17"/>
      <c r="AB104" s="17"/>
      <c r="AC104" s="17" t="s">
        <v>443</v>
      </c>
      <c r="AD104" s="17"/>
      <c r="AE104" s="17"/>
      <c r="AF104" s="17"/>
      <c r="AG104" s="17"/>
      <c r="AH104" s="17"/>
      <c r="AI104" s="17" t="s">
        <v>64</v>
      </c>
      <c r="AJ104" s="17"/>
      <c r="AK104" s="20" t="s">
        <v>65</v>
      </c>
      <c r="AL104" s="20" t="s">
        <v>66</v>
      </c>
      <c r="AM104" s="20" t="s">
        <v>67</v>
      </c>
      <c r="AN104" s="24">
        <v>52.1</v>
      </c>
      <c r="AO104" s="25">
        <v>55</v>
      </c>
      <c r="AP104" s="24">
        <v>15.1</v>
      </c>
      <c r="AQ104" s="28">
        <v>-17.36</v>
      </c>
      <c r="AR104" s="29">
        <v>55</v>
      </c>
      <c r="AS104" s="28">
        <v>8.34</v>
      </c>
      <c r="AT104" s="24"/>
      <c r="AU104" s="24"/>
      <c r="AV104" s="22" t="s">
        <v>682</v>
      </c>
      <c r="AW104" s="22">
        <v>56</v>
      </c>
      <c r="AX104" s="22">
        <v>56</v>
      </c>
    </row>
    <row r="105" spans="1:50" hidden="1" x14ac:dyDescent="0.2">
      <c r="A105" t="s">
        <v>790</v>
      </c>
      <c r="B105" s="17" t="s">
        <v>449</v>
      </c>
      <c r="C105" s="17">
        <v>2016</v>
      </c>
      <c r="D105" s="17" t="s">
        <v>450</v>
      </c>
      <c r="E105" s="32" t="s">
        <v>49</v>
      </c>
      <c r="F105" s="17" t="s">
        <v>75</v>
      </c>
      <c r="G105" s="17" t="s">
        <v>258</v>
      </c>
      <c r="H105" s="17" t="s">
        <v>451</v>
      </c>
      <c r="I105" s="17" t="s">
        <v>53</v>
      </c>
      <c r="J105" s="17" t="s">
        <v>54</v>
      </c>
      <c r="K105" s="17" t="s">
        <v>452</v>
      </c>
      <c r="L105" s="17" t="s">
        <v>56</v>
      </c>
      <c r="M105" s="34" t="s">
        <v>58</v>
      </c>
      <c r="N105" s="34" t="s">
        <v>58</v>
      </c>
      <c r="O105" s="34" t="s">
        <v>58</v>
      </c>
      <c r="P105" s="34" t="s">
        <v>57</v>
      </c>
      <c r="Q105" s="34" t="s">
        <v>58</v>
      </c>
      <c r="R105" s="34" t="s">
        <v>57</v>
      </c>
      <c r="S105" s="32" t="s">
        <v>453</v>
      </c>
      <c r="T105" s="32" t="s">
        <v>454</v>
      </c>
      <c r="U105" s="32" t="s">
        <v>455</v>
      </c>
      <c r="V105" s="32" t="s">
        <v>456</v>
      </c>
      <c r="W105" s="32"/>
      <c r="X105" s="32"/>
      <c r="Y105" s="17" t="s">
        <v>457</v>
      </c>
      <c r="Z105" s="17"/>
      <c r="AA105" s="17"/>
      <c r="AB105" s="17"/>
      <c r="AC105" s="17" t="s">
        <v>458</v>
      </c>
      <c r="AD105" s="17"/>
      <c r="AE105" s="17"/>
      <c r="AF105" s="17"/>
      <c r="AG105" s="17"/>
      <c r="AH105" s="17"/>
      <c r="AI105" s="17" t="s">
        <v>209</v>
      </c>
      <c r="AJ105" s="17"/>
      <c r="AK105" s="20" t="s">
        <v>65</v>
      </c>
      <c r="AL105" s="20" t="s">
        <v>459</v>
      </c>
      <c r="AM105" s="20" t="s">
        <v>67</v>
      </c>
      <c r="AN105" s="24">
        <v>38.020000000000003</v>
      </c>
      <c r="AO105" s="25">
        <v>35</v>
      </c>
      <c r="AP105" s="24">
        <v>21.49</v>
      </c>
      <c r="AQ105" s="28">
        <v>34.71</v>
      </c>
      <c r="AR105" s="29">
        <v>35</v>
      </c>
      <c r="AS105" s="28">
        <v>18.82</v>
      </c>
      <c r="AT105" s="24"/>
      <c r="AU105" s="24"/>
      <c r="AV105" s="22" t="s">
        <v>465</v>
      </c>
      <c r="AW105" s="22">
        <v>180</v>
      </c>
      <c r="AX105" s="22">
        <v>90</v>
      </c>
    </row>
    <row r="106" spans="1:50" hidden="1" x14ac:dyDescent="0.2">
      <c r="A106" t="s">
        <v>790</v>
      </c>
      <c r="B106" s="17" t="s">
        <v>449</v>
      </c>
      <c r="C106" s="17">
        <v>2016</v>
      </c>
      <c r="D106" s="17" t="s">
        <v>466</v>
      </c>
      <c r="E106" s="32" t="s">
        <v>88</v>
      </c>
      <c r="F106" s="17" t="s">
        <v>88</v>
      </c>
      <c r="G106" s="17" t="s">
        <v>258</v>
      </c>
      <c r="H106" s="17" t="s">
        <v>451</v>
      </c>
      <c r="I106" s="17" t="s">
        <v>53</v>
      </c>
      <c r="J106" s="17" t="s">
        <v>54</v>
      </c>
      <c r="K106" s="17" t="s">
        <v>452</v>
      </c>
      <c r="L106" s="17" t="s">
        <v>56</v>
      </c>
      <c r="M106" s="34" t="s">
        <v>58</v>
      </c>
      <c r="N106" s="34" t="s">
        <v>58</v>
      </c>
      <c r="O106" s="34" t="s">
        <v>58</v>
      </c>
      <c r="P106" s="34" t="s">
        <v>57</v>
      </c>
      <c r="Q106" s="34" t="s">
        <v>58</v>
      </c>
      <c r="R106" s="34" t="s">
        <v>57</v>
      </c>
      <c r="S106" s="32" t="s">
        <v>467</v>
      </c>
      <c r="T106" s="32" t="s">
        <v>468</v>
      </c>
      <c r="U106" s="32" t="s">
        <v>469</v>
      </c>
      <c r="V106" s="32" t="s">
        <v>470</v>
      </c>
      <c r="W106" s="32"/>
      <c r="X106" s="32"/>
      <c r="Y106" s="17" t="s">
        <v>471</v>
      </c>
      <c r="Z106" s="17"/>
      <c r="AA106" s="17"/>
      <c r="AB106" s="17"/>
      <c r="AC106" s="17" t="s">
        <v>472</v>
      </c>
      <c r="AD106" s="17"/>
      <c r="AE106" s="17"/>
      <c r="AF106" s="17"/>
      <c r="AG106" s="17"/>
      <c r="AH106" s="17"/>
      <c r="AI106" s="17" t="s">
        <v>100</v>
      </c>
      <c r="AJ106" s="17"/>
      <c r="AK106" s="20" t="s">
        <v>65</v>
      </c>
      <c r="AL106" s="20" t="s">
        <v>459</v>
      </c>
      <c r="AM106" s="20" t="s">
        <v>67</v>
      </c>
      <c r="AN106" s="24">
        <v>31.19</v>
      </c>
      <c r="AO106" s="25">
        <v>35</v>
      </c>
      <c r="AP106" s="24">
        <v>16.54</v>
      </c>
      <c r="AQ106" s="28">
        <v>35.659999999999897</v>
      </c>
      <c r="AR106" s="29">
        <v>35</v>
      </c>
      <c r="AS106" s="28">
        <v>17.07</v>
      </c>
      <c r="AT106" s="24"/>
      <c r="AU106" s="24"/>
      <c r="AV106" s="22" t="s">
        <v>465</v>
      </c>
      <c r="AW106" s="22">
        <v>180</v>
      </c>
      <c r="AX106" s="22">
        <v>90</v>
      </c>
    </row>
    <row r="107" spans="1:50" hidden="1" x14ac:dyDescent="0.2">
      <c r="A107" t="s">
        <v>790</v>
      </c>
      <c r="B107" s="17" t="s">
        <v>449</v>
      </c>
      <c r="C107" s="17">
        <v>2016</v>
      </c>
      <c r="D107" s="17" t="s">
        <v>450</v>
      </c>
      <c r="E107" s="32" t="s">
        <v>49</v>
      </c>
      <c r="F107" s="17" t="s">
        <v>75</v>
      </c>
      <c r="G107" s="17" t="s">
        <v>258</v>
      </c>
      <c r="H107" s="17" t="s">
        <v>451</v>
      </c>
      <c r="I107" s="17" t="s">
        <v>53</v>
      </c>
      <c r="J107" s="17" t="s">
        <v>54</v>
      </c>
      <c r="K107" s="17" t="s">
        <v>452</v>
      </c>
      <c r="L107" s="17" t="s">
        <v>56</v>
      </c>
      <c r="M107" s="34" t="s">
        <v>58</v>
      </c>
      <c r="N107" s="34" t="s">
        <v>58</v>
      </c>
      <c r="O107" s="34" t="s">
        <v>58</v>
      </c>
      <c r="P107" s="34" t="s">
        <v>57</v>
      </c>
      <c r="Q107" s="34" t="s">
        <v>58</v>
      </c>
      <c r="R107" s="34" t="s">
        <v>57</v>
      </c>
      <c r="S107" s="32" t="s">
        <v>453</v>
      </c>
      <c r="T107" s="32" t="s">
        <v>454</v>
      </c>
      <c r="U107" s="32" t="s">
        <v>455</v>
      </c>
      <c r="V107" s="32" t="s">
        <v>456</v>
      </c>
      <c r="W107" s="32"/>
      <c r="X107" s="32"/>
      <c r="Y107" s="17" t="s">
        <v>457</v>
      </c>
      <c r="Z107" s="17"/>
      <c r="AA107" s="17"/>
      <c r="AB107" s="17"/>
      <c r="AC107" s="17" t="s">
        <v>458</v>
      </c>
      <c r="AD107" s="17"/>
      <c r="AE107" s="17"/>
      <c r="AF107" s="17"/>
      <c r="AG107" s="17"/>
      <c r="AH107" s="17"/>
      <c r="AI107" s="17" t="s">
        <v>209</v>
      </c>
      <c r="AJ107" s="17"/>
      <c r="AK107" s="20" t="s">
        <v>477</v>
      </c>
      <c r="AL107" s="20" t="s">
        <v>143</v>
      </c>
      <c r="AM107" s="20" t="s">
        <v>67</v>
      </c>
      <c r="AN107" s="24">
        <v>86</v>
      </c>
      <c r="AO107" s="25">
        <v>35</v>
      </c>
      <c r="AP107" s="24">
        <v>9.15</v>
      </c>
      <c r="AQ107" s="28">
        <v>88.51</v>
      </c>
      <c r="AR107" s="29">
        <v>35</v>
      </c>
      <c r="AS107" s="28">
        <v>8.2799999999999905</v>
      </c>
      <c r="AT107" s="24"/>
      <c r="AU107" s="24"/>
      <c r="AV107" s="22" t="s">
        <v>465</v>
      </c>
      <c r="AW107" s="22">
        <v>180</v>
      </c>
      <c r="AX107" s="22">
        <v>90</v>
      </c>
    </row>
    <row r="108" spans="1:50" hidden="1" x14ac:dyDescent="0.2">
      <c r="A108" t="s">
        <v>790</v>
      </c>
      <c r="B108" s="17" t="s">
        <v>449</v>
      </c>
      <c r="C108" s="17">
        <v>2016</v>
      </c>
      <c r="D108" s="17" t="s">
        <v>466</v>
      </c>
      <c r="E108" s="32" t="s">
        <v>88</v>
      </c>
      <c r="F108" s="17" t="s">
        <v>88</v>
      </c>
      <c r="G108" s="17" t="s">
        <v>258</v>
      </c>
      <c r="H108" s="17" t="s">
        <v>451</v>
      </c>
      <c r="I108" s="17" t="s">
        <v>53</v>
      </c>
      <c r="J108" s="17" t="s">
        <v>54</v>
      </c>
      <c r="K108" s="17" t="s">
        <v>452</v>
      </c>
      <c r="L108" s="17" t="s">
        <v>56</v>
      </c>
      <c r="M108" s="34" t="s">
        <v>58</v>
      </c>
      <c r="N108" s="34" t="s">
        <v>58</v>
      </c>
      <c r="O108" s="34" t="s">
        <v>58</v>
      </c>
      <c r="P108" s="34" t="s">
        <v>57</v>
      </c>
      <c r="Q108" s="34" t="s">
        <v>58</v>
      </c>
      <c r="R108" s="34" t="s">
        <v>57</v>
      </c>
      <c r="S108" s="32" t="s">
        <v>467</v>
      </c>
      <c r="T108" s="32" t="s">
        <v>468</v>
      </c>
      <c r="U108" s="32" t="s">
        <v>469</v>
      </c>
      <c r="V108" s="32" t="s">
        <v>470</v>
      </c>
      <c r="W108" s="32"/>
      <c r="X108" s="32"/>
      <c r="Y108" s="17" t="s">
        <v>471</v>
      </c>
      <c r="Z108" s="17"/>
      <c r="AA108" s="17"/>
      <c r="AB108" s="17"/>
      <c r="AC108" s="17" t="s">
        <v>472</v>
      </c>
      <c r="AD108" s="17"/>
      <c r="AE108" s="17"/>
      <c r="AF108" s="17"/>
      <c r="AG108" s="17"/>
      <c r="AH108" s="17"/>
      <c r="AI108" s="17" t="s">
        <v>100</v>
      </c>
      <c r="AJ108" s="17"/>
      <c r="AK108" s="20" t="s">
        <v>477</v>
      </c>
      <c r="AL108" s="20" t="s">
        <v>143</v>
      </c>
      <c r="AM108" s="20" t="s">
        <v>67</v>
      </c>
      <c r="AN108" s="24">
        <v>87.2</v>
      </c>
      <c r="AO108" s="25">
        <v>35</v>
      </c>
      <c r="AP108" s="24">
        <v>5.69</v>
      </c>
      <c r="AQ108" s="28">
        <v>85.23</v>
      </c>
      <c r="AR108" s="29">
        <v>35</v>
      </c>
      <c r="AS108" s="28">
        <v>5.68</v>
      </c>
      <c r="AT108" s="24"/>
      <c r="AU108" s="24"/>
      <c r="AV108" s="22" t="s">
        <v>465</v>
      </c>
      <c r="AW108" s="22">
        <v>180</v>
      </c>
      <c r="AX108" s="22">
        <v>90</v>
      </c>
    </row>
    <row r="109" spans="1:50" hidden="1" x14ac:dyDescent="0.2">
      <c r="A109" t="s">
        <v>790</v>
      </c>
      <c r="B109" s="17" t="s">
        <v>486</v>
      </c>
      <c r="C109" s="17">
        <v>2012</v>
      </c>
      <c r="D109" s="17" t="s">
        <v>487</v>
      </c>
      <c r="E109" s="32" t="s">
        <v>191</v>
      </c>
      <c r="F109" s="17" t="s">
        <v>192</v>
      </c>
      <c r="G109" s="17" t="s">
        <v>175</v>
      </c>
      <c r="H109" s="17" t="s">
        <v>176</v>
      </c>
      <c r="I109" s="17" t="s">
        <v>53</v>
      </c>
      <c r="J109" s="17" t="s">
        <v>54</v>
      </c>
      <c r="K109" s="17" t="s">
        <v>260</v>
      </c>
      <c r="L109" s="17" t="s">
        <v>488</v>
      </c>
      <c r="M109" s="34" t="s">
        <v>58</v>
      </c>
      <c r="N109" s="34" t="s">
        <v>58</v>
      </c>
      <c r="O109" s="34" t="s">
        <v>93</v>
      </c>
      <c r="P109" s="34" t="s">
        <v>57</v>
      </c>
      <c r="Q109" s="34" t="s">
        <v>58</v>
      </c>
      <c r="R109" s="34" t="s">
        <v>57</v>
      </c>
      <c r="S109" s="32" t="s">
        <v>491</v>
      </c>
      <c r="T109" s="32" t="s">
        <v>433</v>
      </c>
      <c r="U109" s="32"/>
      <c r="V109" s="32"/>
      <c r="W109" s="32"/>
      <c r="X109" s="32"/>
      <c r="Y109" s="17"/>
      <c r="Z109" s="17"/>
      <c r="AA109" s="17"/>
      <c r="AB109" s="17" t="s">
        <v>492</v>
      </c>
      <c r="AC109" s="17"/>
      <c r="AD109" s="17" t="s">
        <v>493</v>
      </c>
      <c r="AE109" s="17"/>
      <c r="AF109" s="17"/>
      <c r="AG109" s="17"/>
      <c r="AH109" s="17"/>
      <c r="AI109" s="17" t="s">
        <v>494</v>
      </c>
      <c r="AJ109" s="17"/>
      <c r="AK109" s="20" t="s">
        <v>188</v>
      </c>
      <c r="AL109" s="20" t="s">
        <v>178</v>
      </c>
      <c r="AM109" s="20" t="s">
        <v>67</v>
      </c>
      <c r="AN109" s="24">
        <v>18.36</v>
      </c>
      <c r="AO109" s="25">
        <v>20</v>
      </c>
      <c r="AP109" s="24">
        <v>3.19</v>
      </c>
      <c r="AQ109" s="28">
        <v>19.579999999999899</v>
      </c>
      <c r="AR109" s="29">
        <v>20</v>
      </c>
      <c r="AS109" s="28">
        <v>4.2</v>
      </c>
      <c r="AT109" s="24"/>
      <c r="AU109" s="24"/>
      <c r="AV109" s="22" t="s">
        <v>685</v>
      </c>
      <c r="AW109" s="22">
        <v>194</v>
      </c>
      <c r="AX109" s="22">
        <v>14</v>
      </c>
    </row>
    <row r="110" spans="1:50" hidden="1" x14ac:dyDescent="0.2">
      <c r="A110" t="s">
        <v>790</v>
      </c>
      <c r="B110" s="17" t="s">
        <v>486</v>
      </c>
      <c r="C110" s="17">
        <v>2012</v>
      </c>
      <c r="D110" s="17" t="s">
        <v>87</v>
      </c>
      <c r="E110" s="32" t="s">
        <v>88</v>
      </c>
      <c r="F110" s="17" t="s">
        <v>88</v>
      </c>
      <c r="G110" s="17" t="s">
        <v>175</v>
      </c>
      <c r="H110" s="17" t="s">
        <v>176</v>
      </c>
      <c r="I110" s="17" t="s">
        <v>53</v>
      </c>
      <c r="J110" s="17" t="s">
        <v>54</v>
      </c>
      <c r="K110" s="17" t="s">
        <v>260</v>
      </c>
      <c r="L110" s="17" t="s">
        <v>488</v>
      </c>
      <c r="M110" s="34" t="s">
        <v>58</v>
      </c>
      <c r="N110" s="34" t="s">
        <v>58</v>
      </c>
      <c r="O110" s="34" t="s">
        <v>93</v>
      </c>
      <c r="P110" s="34" t="s">
        <v>57</v>
      </c>
      <c r="Q110" s="34" t="s">
        <v>58</v>
      </c>
      <c r="R110" s="34" t="s">
        <v>57</v>
      </c>
      <c r="S110" s="32" t="s">
        <v>498</v>
      </c>
      <c r="T110" s="32" t="s">
        <v>445</v>
      </c>
      <c r="U110" s="32"/>
      <c r="V110" s="32"/>
      <c r="W110" s="32"/>
      <c r="X110" s="32"/>
      <c r="Y110" s="17"/>
      <c r="Z110" s="17"/>
      <c r="AA110" s="17"/>
      <c r="AB110" s="17" t="s">
        <v>499</v>
      </c>
      <c r="AC110" s="17"/>
      <c r="AD110" s="17" t="s">
        <v>500</v>
      </c>
      <c r="AE110" s="17"/>
      <c r="AF110" s="17"/>
      <c r="AG110" s="17"/>
      <c r="AH110" s="17"/>
      <c r="AI110" s="17" t="s">
        <v>501</v>
      </c>
      <c r="AJ110" s="17"/>
      <c r="AK110" s="20" t="s">
        <v>188</v>
      </c>
      <c r="AL110" s="20" t="s">
        <v>178</v>
      </c>
      <c r="AM110" s="20" t="s">
        <v>67</v>
      </c>
      <c r="AN110" s="24">
        <v>18.559999999999899</v>
      </c>
      <c r="AO110" s="25">
        <v>20</v>
      </c>
      <c r="AP110" s="24">
        <v>3.67</v>
      </c>
      <c r="AQ110" s="28">
        <v>19.329999999999899</v>
      </c>
      <c r="AR110" s="29">
        <v>20</v>
      </c>
      <c r="AS110" s="28">
        <v>4.1500000000000004</v>
      </c>
      <c r="AT110" s="24"/>
      <c r="AU110" s="24"/>
      <c r="AV110" s="22" t="s">
        <v>685</v>
      </c>
      <c r="AW110" s="22">
        <v>194</v>
      </c>
      <c r="AX110" s="22">
        <v>14</v>
      </c>
    </row>
    <row r="111" spans="1:50" hidden="1" x14ac:dyDescent="0.2">
      <c r="A111" t="s">
        <v>790</v>
      </c>
      <c r="B111" s="17" t="s">
        <v>505</v>
      </c>
      <c r="C111" s="17">
        <v>2010</v>
      </c>
      <c r="D111" s="17" t="s">
        <v>506</v>
      </c>
      <c r="E111" s="32" t="s">
        <v>88</v>
      </c>
      <c r="F111" s="17" t="s">
        <v>88</v>
      </c>
      <c r="G111" s="17" t="s">
        <v>175</v>
      </c>
      <c r="H111" s="17" t="s">
        <v>507</v>
      </c>
      <c r="I111" s="17" t="s">
        <v>53</v>
      </c>
      <c r="J111" s="17" t="s">
        <v>54</v>
      </c>
      <c r="K111" s="17" t="s">
        <v>92</v>
      </c>
      <c r="L111" s="17" t="s">
        <v>177</v>
      </c>
      <c r="M111" s="34" t="s">
        <v>58</v>
      </c>
      <c r="N111" s="34" t="s">
        <v>58</v>
      </c>
      <c r="O111" s="34" t="s">
        <v>93</v>
      </c>
      <c r="P111" s="34" t="s">
        <v>58</v>
      </c>
      <c r="Q111" s="34" t="s">
        <v>58</v>
      </c>
      <c r="R111" s="34" t="s">
        <v>58</v>
      </c>
      <c r="S111" s="32" t="s">
        <v>508</v>
      </c>
      <c r="T111" s="32" t="s">
        <v>509</v>
      </c>
      <c r="U111" s="32"/>
      <c r="V111" s="32"/>
      <c r="W111" s="32"/>
      <c r="X111" s="32"/>
      <c r="Y111" s="17" t="s">
        <v>510</v>
      </c>
      <c r="Z111" s="17"/>
      <c r="AA111" s="17"/>
      <c r="AB111" s="17"/>
      <c r="AC111" s="17" t="s">
        <v>511</v>
      </c>
      <c r="AD111" s="17"/>
      <c r="AE111" s="17"/>
      <c r="AF111" s="17"/>
      <c r="AG111" s="17"/>
      <c r="AH111" s="17"/>
      <c r="AI111" s="17" t="s">
        <v>512</v>
      </c>
      <c r="AJ111" s="17"/>
      <c r="AK111" s="20" t="s">
        <v>168</v>
      </c>
      <c r="AL111" s="20" t="s">
        <v>513</v>
      </c>
      <c r="AM111" s="20" t="s">
        <v>67</v>
      </c>
      <c r="AN111" s="24">
        <v>450.1</v>
      </c>
      <c r="AO111" s="25">
        <v>19</v>
      </c>
      <c r="AP111" s="24">
        <v>151</v>
      </c>
      <c r="AQ111" s="28">
        <v>405.1</v>
      </c>
      <c r="AR111" s="29">
        <v>19</v>
      </c>
      <c r="AS111" s="28">
        <v>146.4</v>
      </c>
      <c r="AT111" s="24"/>
      <c r="AU111" s="24"/>
      <c r="AV111" s="22" t="s">
        <v>519</v>
      </c>
      <c r="AW111" s="22">
        <v>365</v>
      </c>
      <c r="AX111" s="22">
        <v>365</v>
      </c>
    </row>
    <row r="112" spans="1:50" hidden="1" x14ac:dyDescent="0.2">
      <c r="A112" t="s">
        <v>790</v>
      </c>
      <c r="B112" s="17" t="s">
        <v>505</v>
      </c>
      <c r="C112" s="17">
        <v>2010</v>
      </c>
      <c r="D112" s="17" t="s">
        <v>520</v>
      </c>
      <c r="E112" s="32" t="s">
        <v>191</v>
      </c>
      <c r="F112" s="17" t="s">
        <v>192</v>
      </c>
      <c r="G112" s="17" t="s">
        <v>175</v>
      </c>
      <c r="H112" s="17" t="s">
        <v>507</v>
      </c>
      <c r="I112" s="17" t="s">
        <v>53</v>
      </c>
      <c r="J112" s="17" t="s">
        <v>54</v>
      </c>
      <c r="K112" s="17" t="s">
        <v>92</v>
      </c>
      <c r="L112" s="17" t="s">
        <v>177</v>
      </c>
      <c r="M112" s="34" t="s">
        <v>58</v>
      </c>
      <c r="N112" s="34" t="s">
        <v>58</v>
      </c>
      <c r="O112" s="34" t="s">
        <v>93</v>
      </c>
      <c r="P112" s="34" t="s">
        <v>58</v>
      </c>
      <c r="Q112" s="34" t="s">
        <v>58</v>
      </c>
      <c r="R112" s="34" t="s">
        <v>58</v>
      </c>
      <c r="S112" s="32" t="s">
        <v>521</v>
      </c>
      <c r="T112" s="32" t="s">
        <v>522</v>
      </c>
      <c r="U112" s="32"/>
      <c r="V112" s="32"/>
      <c r="W112" s="32"/>
      <c r="X112" s="32"/>
      <c r="Y112" s="17" t="s">
        <v>523</v>
      </c>
      <c r="Z112" s="17"/>
      <c r="AA112" s="17"/>
      <c r="AB112" s="17"/>
      <c r="AC112" s="17" t="s">
        <v>524</v>
      </c>
      <c r="AD112" s="17"/>
      <c r="AE112" s="17"/>
      <c r="AF112" s="17"/>
      <c r="AG112" s="17"/>
      <c r="AH112" s="17"/>
      <c r="AI112" s="17" t="s">
        <v>525</v>
      </c>
      <c r="AJ112" s="17"/>
      <c r="AK112" s="20" t="s">
        <v>168</v>
      </c>
      <c r="AL112" s="20" t="s">
        <v>513</v>
      </c>
      <c r="AM112" s="20" t="s">
        <v>67</v>
      </c>
      <c r="AN112" s="24">
        <v>448.1</v>
      </c>
      <c r="AO112" s="25">
        <v>19</v>
      </c>
      <c r="AP112" s="24">
        <v>132.4</v>
      </c>
      <c r="AQ112" s="28">
        <v>570.1</v>
      </c>
      <c r="AR112" s="29">
        <v>19</v>
      </c>
      <c r="AS112" s="28">
        <v>141.9</v>
      </c>
      <c r="AT112" s="24"/>
      <c r="AU112" s="24"/>
      <c r="AV112" s="22" t="s">
        <v>519</v>
      </c>
      <c r="AW112" s="22">
        <v>365</v>
      </c>
      <c r="AX112" s="22">
        <v>365</v>
      </c>
    </row>
    <row r="113" spans="1:50" hidden="1" x14ac:dyDescent="0.2">
      <c r="A113" t="s">
        <v>790</v>
      </c>
      <c r="B113" s="17" t="s">
        <v>530</v>
      </c>
      <c r="C113" s="17">
        <v>2010</v>
      </c>
      <c r="D113" s="17" t="s">
        <v>506</v>
      </c>
      <c r="E113" s="32" t="s">
        <v>88</v>
      </c>
      <c r="F113" s="17" t="s">
        <v>88</v>
      </c>
      <c r="G113" s="17" t="s">
        <v>175</v>
      </c>
      <c r="H113" s="17" t="s">
        <v>531</v>
      </c>
      <c r="I113" s="17" t="s">
        <v>53</v>
      </c>
      <c r="J113" s="17" t="s">
        <v>54</v>
      </c>
      <c r="K113" s="17" t="s">
        <v>92</v>
      </c>
      <c r="L113" s="17" t="s">
        <v>532</v>
      </c>
      <c r="M113" s="34" t="s">
        <v>58</v>
      </c>
      <c r="N113" s="34" t="s">
        <v>58</v>
      </c>
      <c r="O113" s="34" t="s">
        <v>93</v>
      </c>
      <c r="P113" s="34" t="s">
        <v>58</v>
      </c>
      <c r="Q113" s="34" t="s">
        <v>58</v>
      </c>
      <c r="R113" s="34" t="s">
        <v>58</v>
      </c>
      <c r="S113" s="32"/>
      <c r="T113" s="32"/>
      <c r="U113" s="32"/>
      <c r="V113" s="32"/>
      <c r="W113" s="32"/>
      <c r="X113" s="32"/>
      <c r="Y113" s="17" t="s">
        <v>538</v>
      </c>
      <c r="Z113" s="17"/>
      <c r="AA113" s="17"/>
      <c r="AB113" s="17"/>
      <c r="AC113" s="17"/>
      <c r="AD113" s="17"/>
      <c r="AE113" s="17"/>
      <c r="AF113" s="17"/>
      <c r="AG113" s="17"/>
      <c r="AH113" s="17"/>
      <c r="AI113" s="17"/>
      <c r="AJ113" s="17"/>
      <c r="AK113" s="20" t="s">
        <v>188</v>
      </c>
      <c r="AL113" s="20" t="s">
        <v>178</v>
      </c>
      <c r="AM113" s="20" t="s">
        <v>67</v>
      </c>
      <c r="AN113" s="24">
        <v>15.32</v>
      </c>
      <c r="AO113" s="25">
        <v>60</v>
      </c>
      <c r="AP113" s="24">
        <v>1.98</v>
      </c>
      <c r="AQ113" s="28">
        <v>14.07</v>
      </c>
      <c r="AR113" s="29">
        <v>60</v>
      </c>
      <c r="AS113" s="28">
        <v>1.63</v>
      </c>
      <c r="AT113" s="24"/>
      <c r="AU113" s="24"/>
      <c r="AV113" s="22" t="s">
        <v>688</v>
      </c>
      <c r="AW113" s="22"/>
      <c r="AX113" s="22" t="s">
        <v>688</v>
      </c>
    </row>
    <row r="114" spans="1:50" hidden="1" x14ac:dyDescent="0.2">
      <c r="A114" t="s">
        <v>790</v>
      </c>
      <c r="B114" s="17" t="s">
        <v>530</v>
      </c>
      <c r="C114" s="17">
        <v>2010</v>
      </c>
      <c r="D114" s="17" t="s">
        <v>539</v>
      </c>
      <c r="E114" s="32" t="s">
        <v>105</v>
      </c>
      <c r="F114" s="17" t="s">
        <v>106</v>
      </c>
      <c r="G114" s="17" t="s">
        <v>175</v>
      </c>
      <c r="H114" s="17" t="s">
        <v>531</v>
      </c>
      <c r="I114" s="17" t="s">
        <v>53</v>
      </c>
      <c r="J114" s="17" t="s">
        <v>54</v>
      </c>
      <c r="K114" s="17" t="s">
        <v>92</v>
      </c>
      <c r="L114" s="17" t="s">
        <v>532</v>
      </c>
      <c r="M114" s="34" t="s">
        <v>58</v>
      </c>
      <c r="N114" s="34" t="s">
        <v>58</v>
      </c>
      <c r="O114" s="34" t="s">
        <v>93</v>
      </c>
      <c r="P114" s="34" t="s">
        <v>58</v>
      </c>
      <c r="Q114" s="34" t="s">
        <v>58</v>
      </c>
      <c r="R114" s="34" t="s">
        <v>58</v>
      </c>
      <c r="S114" s="32" t="s">
        <v>543</v>
      </c>
      <c r="T114" s="32" t="s">
        <v>544</v>
      </c>
      <c r="U114" s="32"/>
      <c r="V114" s="32"/>
      <c r="W114" s="32"/>
      <c r="X114" s="32"/>
      <c r="Y114" s="17" t="s">
        <v>545</v>
      </c>
      <c r="Z114" s="17"/>
      <c r="AA114" s="17"/>
      <c r="AB114" s="17"/>
      <c r="AC114" s="17" t="s">
        <v>546</v>
      </c>
      <c r="AD114" s="17"/>
      <c r="AE114" s="17"/>
      <c r="AF114" s="17"/>
      <c r="AG114" s="17"/>
      <c r="AH114" s="17"/>
      <c r="AI114" s="17" t="s">
        <v>525</v>
      </c>
      <c r="AJ114" s="17"/>
      <c r="AK114" s="20" t="s">
        <v>188</v>
      </c>
      <c r="AL114" s="20" t="s">
        <v>178</v>
      </c>
      <c r="AM114" s="20" t="s">
        <v>67</v>
      </c>
      <c r="AN114" s="24">
        <v>15.1</v>
      </c>
      <c r="AO114" s="25">
        <v>60</v>
      </c>
      <c r="AP114" s="24">
        <v>2.56</v>
      </c>
      <c r="AQ114" s="28">
        <v>16.12</v>
      </c>
      <c r="AR114" s="29">
        <v>60</v>
      </c>
      <c r="AS114" s="28">
        <v>2.84</v>
      </c>
      <c r="AT114" s="24"/>
      <c r="AU114" s="24"/>
      <c r="AV114" s="22" t="s">
        <v>688</v>
      </c>
      <c r="AW114" s="22"/>
      <c r="AX114" s="22" t="s">
        <v>688</v>
      </c>
    </row>
    <row r="115" spans="1:50" hidden="1" x14ac:dyDescent="0.2">
      <c r="A115" t="s">
        <v>790</v>
      </c>
      <c r="B115" s="17" t="s">
        <v>547</v>
      </c>
      <c r="C115" s="17">
        <v>2010</v>
      </c>
      <c r="D115" s="17" t="s">
        <v>548</v>
      </c>
      <c r="E115" s="32" t="s">
        <v>88</v>
      </c>
      <c r="F115" s="17" t="s">
        <v>88</v>
      </c>
      <c r="G115" s="17" t="s">
        <v>175</v>
      </c>
      <c r="H115" s="17" t="s">
        <v>549</v>
      </c>
      <c r="I115" s="17" t="s">
        <v>53</v>
      </c>
      <c r="J115" s="17" t="s">
        <v>54</v>
      </c>
      <c r="K115" s="17" t="s">
        <v>92</v>
      </c>
      <c r="L115" s="17" t="s">
        <v>177</v>
      </c>
      <c r="M115" s="34" t="s">
        <v>58</v>
      </c>
      <c r="N115" s="34" t="s">
        <v>57</v>
      </c>
      <c r="O115" s="34" t="s">
        <v>93</v>
      </c>
      <c r="P115" s="34" t="s">
        <v>57</v>
      </c>
      <c r="Q115" s="34" t="s">
        <v>58</v>
      </c>
      <c r="R115" s="34" t="s">
        <v>57</v>
      </c>
      <c r="S115" s="32"/>
      <c r="T115" s="32"/>
      <c r="U115" s="32"/>
      <c r="V115" s="32"/>
      <c r="W115" s="32"/>
      <c r="X115" s="32"/>
      <c r="Y115" s="17" t="s">
        <v>554</v>
      </c>
      <c r="Z115" s="17"/>
      <c r="AA115" s="17"/>
      <c r="AB115" s="17"/>
      <c r="AC115" s="17" t="s">
        <v>555</v>
      </c>
      <c r="AD115" s="17"/>
      <c r="AE115" s="17"/>
      <c r="AF115" s="17"/>
      <c r="AG115" s="17"/>
      <c r="AH115" s="17"/>
      <c r="AI115" s="17" t="s">
        <v>525</v>
      </c>
      <c r="AJ115" s="17"/>
      <c r="AK115" s="20" t="s">
        <v>656</v>
      </c>
      <c r="AL115" s="20" t="s">
        <v>657</v>
      </c>
      <c r="AM115" s="20" t="s">
        <v>67</v>
      </c>
      <c r="AN115" s="24">
        <v>19.48</v>
      </c>
      <c r="AO115" s="25">
        <v>40</v>
      </c>
      <c r="AP115" s="24">
        <v>2.84</v>
      </c>
      <c r="AQ115" s="28">
        <v>18.5</v>
      </c>
      <c r="AR115" s="29">
        <v>40</v>
      </c>
      <c r="AS115" s="28">
        <v>3.1</v>
      </c>
      <c r="AT115" s="24"/>
      <c r="AU115" s="24"/>
      <c r="AV115" s="22" t="s">
        <v>189</v>
      </c>
      <c r="AW115" s="22">
        <v>365</v>
      </c>
      <c r="AX115" s="22">
        <v>365</v>
      </c>
    </row>
    <row r="116" spans="1:50" hidden="1" x14ac:dyDescent="0.2">
      <c r="A116" t="s">
        <v>790</v>
      </c>
      <c r="B116" s="17" t="s">
        <v>547</v>
      </c>
      <c r="C116" s="17">
        <v>2010</v>
      </c>
      <c r="D116" s="17" t="s">
        <v>118</v>
      </c>
      <c r="E116" s="32" t="s">
        <v>191</v>
      </c>
      <c r="F116" s="17" t="s">
        <v>192</v>
      </c>
      <c r="G116" s="17" t="s">
        <v>175</v>
      </c>
      <c r="H116" s="17" t="s">
        <v>549</v>
      </c>
      <c r="I116" s="17" t="s">
        <v>53</v>
      </c>
      <c r="J116" s="17" t="s">
        <v>54</v>
      </c>
      <c r="K116" s="17" t="s">
        <v>92</v>
      </c>
      <c r="L116" s="17" t="s">
        <v>177</v>
      </c>
      <c r="M116" s="34" t="s">
        <v>58</v>
      </c>
      <c r="N116" s="34" t="s">
        <v>57</v>
      </c>
      <c r="O116" s="34" t="s">
        <v>93</v>
      </c>
      <c r="P116" s="34" t="s">
        <v>57</v>
      </c>
      <c r="Q116" s="34" t="s">
        <v>58</v>
      </c>
      <c r="R116" s="34" t="s">
        <v>57</v>
      </c>
      <c r="S116" s="32"/>
      <c r="T116" s="32"/>
      <c r="U116" s="32"/>
      <c r="V116" s="32"/>
      <c r="W116" s="32"/>
      <c r="X116" s="32"/>
      <c r="Y116" s="17" t="s">
        <v>560</v>
      </c>
      <c r="Z116" s="17"/>
      <c r="AA116" s="17"/>
      <c r="AB116" s="17"/>
      <c r="AC116" s="17" t="s">
        <v>561</v>
      </c>
      <c r="AD116" s="17"/>
      <c r="AE116" s="17"/>
      <c r="AF116" s="17"/>
      <c r="AG116" s="17"/>
      <c r="AH116" s="17"/>
      <c r="AI116" s="17" t="s">
        <v>562</v>
      </c>
      <c r="AJ116" s="17"/>
      <c r="AK116" s="20" t="s">
        <v>656</v>
      </c>
      <c r="AL116" s="20" t="s">
        <v>657</v>
      </c>
      <c r="AM116" s="20" t="s">
        <v>67</v>
      </c>
      <c r="AN116" s="24">
        <v>19.21</v>
      </c>
      <c r="AO116" s="25">
        <v>40</v>
      </c>
      <c r="AP116" s="24">
        <v>3.93</v>
      </c>
      <c r="AQ116" s="28">
        <v>21.02</v>
      </c>
      <c r="AR116" s="29">
        <v>40</v>
      </c>
      <c r="AS116" s="28">
        <v>3.88</v>
      </c>
      <c r="AT116" s="24"/>
      <c r="AU116" s="24"/>
      <c r="AV116" s="22" t="s">
        <v>189</v>
      </c>
      <c r="AW116" s="22">
        <v>365</v>
      </c>
      <c r="AX116" s="22">
        <v>365</v>
      </c>
    </row>
    <row r="117" spans="1:50" hidden="1" x14ac:dyDescent="0.2">
      <c r="A117" t="s">
        <v>790</v>
      </c>
      <c r="B117" s="17" t="s">
        <v>547</v>
      </c>
      <c r="C117" s="17">
        <v>2010</v>
      </c>
      <c r="D117" s="17" t="s">
        <v>548</v>
      </c>
      <c r="E117" s="32" t="s">
        <v>88</v>
      </c>
      <c r="F117" s="17" t="s">
        <v>88</v>
      </c>
      <c r="G117" s="17" t="s">
        <v>175</v>
      </c>
      <c r="H117" s="17" t="s">
        <v>549</v>
      </c>
      <c r="I117" s="17" t="s">
        <v>53</v>
      </c>
      <c r="J117" s="17" t="s">
        <v>54</v>
      </c>
      <c r="K117" s="17" t="s">
        <v>92</v>
      </c>
      <c r="L117" s="17" t="s">
        <v>177</v>
      </c>
      <c r="M117" s="34" t="s">
        <v>58</v>
      </c>
      <c r="N117" s="34" t="s">
        <v>57</v>
      </c>
      <c r="O117" s="34" t="s">
        <v>93</v>
      </c>
      <c r="P117" s="34" t="s">
        <v>57</v>
      </c>
      <c r="Q117" s="34" t="s">
        <v>58</v>
      </c>
      <c r="R117" s="34" t="s">
        <v>57</v>
      </c>
      <c r="S117" s="32"/>
      <c r="T117" s="32"/>
      <c r="U117" s="32"/>
      <c r="V117" s="32"/>
      <c r="W117" s="32"/>
      <c r="X117" s="32"/>
      <c r="Y117" s="17" t="s">
        <v>554</v>
      </c>
      <c r="Z117" s="17"/>
      <c r="AA117" s="17"/>
      <c r="AB117" s="17"/>
      <c r="AC117" s="17" t="s">
        <v>555</v>
      </c>
      <c r="AD117" s="17"/>
      <c r="AE117" s="17"/>
      <c r="AF117" s="17"/>
      <c r="AG117" s="17"/>
      <c r="AH117" s="17"/>
      <c r="AI117" s="17" t="s">
        <v>525</v>
      </c>
      <c r="AJ117" s="17"/>
      <c r="AK117" s="20" t="s">
        <v>188</v>
      </c>
      <c r="AL117" s="20" t="s">
        <v>178</v>
      </c>
      <c r="AM117" s="20" t="s">
        <v>67</v>
      </c>
      <c r="AN117" s="24">
        <v>19.48</v>
      </c>
      <c r="AO117" s="25">
        <v>40</v>
      </c>
      <c r="AP117" s="24">
        <v>2.84</v>
      </c>
      <c r="AQ117" s="28">
        <v>18.5</v>
      </c>
      <c r="AR117" s="29">
        <v>40</v>
      </c>
      <c r="AS117" s="28">
        <v>3.1</v>
      </c>
      <c r="AT117" s="24"/>
      <c r="AU117" s="24"/>
      <c r="AV117" s="22" t="s">
        <v>189</v>
      </c>
      <c r="AW117" s="22">
        <v>365</v>
      </c>
      <c r="AX117" s="22">
        <v>365</v>
      </c>
    </row>
    <row r="118" spans="1:50" hidden="1" x14ac:dyDescent="0.2">
      <c r="A118" t="s">
        <v>790</v>
      </c>
      <c r="B118" s="17" t="s">
        <v>547</v>
      </c>
      <c r="C118" s="17">
        <v>2010</v>
      </c>
      <c r="D118" s="17" t="s">
        <v>118</v>
      </c>
      <c r="E118" s="32" t="s">
        <v>191</v>
      </c>
      <c r="F118" s="17" t="s">
        <v>192</v>
      </c>
      <c r="G118" s="17" t="s">
        <v>175</v>
      </c>
      <c r="H118" s="17" t="s">
        <v>549</v>
      </c>
      <c r="I118" s="17" t="s">
        <v>53</v>
      </c>
      <c r="J118" s="17" t="s">
        <v>54</v>
      </c>
      <c r="K118" s="17" t="s">
        <v>92</v>
      </c>
      <c r="L118" s="17" t="s">
        <v>177</v>
      </c>
      <c r="M118" s="34" t="s">
        <v>58</v>
      </c>
      <c r="N118" s="34" t="s">
        <v>57</v>
      </c>
      <c r="O118" s="34" t="s">
        <v>93</v>
      </c>
      <c r="P118" s="34" t="s">
        <v>57</v>
      </c>
      <c r="Q118" s="34" t="s">
        <v>58</v>
      </c>
      <c r="R118" s="34" t="s">
        <v>57</v>
      </c>
      <c r="S118" s="32"/>
      <c r="T118" s="32"/>
      <c r="U118" s="32"/>
      <c r="V118" s="32"/>
      <c r="W118" s="32"/>
      <c r="X118" s="32"/>
      <c r="Y118" s="17" t="s">
        <v>560</v>
      </c>
      <c r="Z118" s="17"/>
      <c r="AA118" s="17"/>
      <c r="AB118" s="17"/>
      <c r="AC118" s="17" t="s">
        <v>561</v>
      </c>
      <c r="AD118" s="17"/>
      <c r="AE118" s="17"/>
      <c r="AF118" s="17"/>
      <c r="AG118" s="17"/>
      <c r="AH118" s="17"/>
      <c r="AI118" s="17" t="s">
        <v>562</v>
      </c>
      <c r="AJ118" s="17"/>
      <c r="AK118" s="20" t="s">
        <v>188</v>
      </c>
      <c r="AL118" s="20" t="s">
        <v>178</v>
      </c>
      <c r="AM118" s="20" t="s">
        <v>67</v>
      </c>
      <c r="AN118" s="24">
        <v>19.21</v>
      </c>
      <c r="AO118" s="25">
        <v>40</v>
      </c>
      <c r="AP118" s="24">
        <v>3.93</v>
      </c>
      <c r="AQ118" s="28">
        <v>21.02</v>
      </c>
      <c r="AR118" s="29">
        <v>40</v>
      </c>
      <c r="AS118" s="28">
        <v>3.88</v>
      </c>
      <c r="AT118" s="24"/>
      <c r="AU118" s="24"/>
      <c r="AV118" s="22" t="s">
        <v>189</v>
      </c>
      <c r="AW118" s="22">
        <v>365</v>
      </c>
      <c r="AX118" s="22">
        <v>365</v>
      </c>
    </row>
    <row r="119" spans="1:50" hidden="1" x14ac:dyDescent="0.2">
      <c r="A119" t="s">
        <v>790</v>
      </c>
      <c r="B119" s="17" t="s">
        <v>563</v>
      </c>
      <c r="C119" s="17">
        <v>2012</v>
      </c>
      <c r="D119" s="17" t="s">
        <v>564</v>
      </c>
      <c r="E119" s="32" t="s">
        <v>49</v>
      </c>
      <c r="F119" s="17" t="s">
        <v>50</v>
      </c>
      <c r="G119" s="17" t="s">
        <v>175</v>
      </c>
      <c r="H119" s="17" t="s">
        <v>565</v>
      </c>
      <c r="I119" s="17" t="s">
        <v>91</v>
      </c>
      <c r="J119" s="17" t="s">
        <v>54</v>
      </c>
      <c r="K119" s="17" t="s">
        <v>121</v>
      </c>
      <c r="L119" s="17" t="s">
        <v>56</v>
      </c>
      <c r="M119" s="34" t="s">
        <v>58</v>
      </c>
      <c r="N119" s="34" t="s">
        <v>57</v>
      </c>
      <c r="O119" s="34" t="s">
        <v>57</v>
      </c>
      <c r="P119" s="34" t="s">
        <v>57</v>
      </c>
      <c r="Q119" s="34" t="s">
        <v>58</v>
      </c>
      <c r="R119" s="34" t="s">
        <v>57</v>
      </c>
      <c r="S119" s="32"/>
      <c r="T119" s="32" t="s">
        <v>566</v>
      </c>
      <c r="U119" s="32" t="s">
        <v>567</v>
      </c>
      <c r="V119" s="32" t="s">
        <v>568</v>
      </c>
      <c r="W119" s="32" t="s">
        <v>569</v>
      </c>
      <c r="X119" s="32" t="s">
        <v>570</v>
      </c>
      <c r="Y119" s="17" t="s">
        <v>571</v>
      </c>
      <c r="Z119" s="17"/>
      <c r="AA119" s="17"/>
      <c r="AB119" s="17"/>
      <c r="AC119" s="17" t="s">
        <v>572</v>
      </c>
      <c r="AD119" s="17"/>
      <c r="AE119" s="17"/>
      <c r="AF119" s="17"/>
      <c r="AG119" s="17"/>
      <c r="AH119" s="17"/>
      <c r="AI119" s="17" t="s">
        <v>64</v>
      </c>
      <c r="AJ119" s="17"/>
      <c r="AK119" s="20" t="s">
        <v>477</v>
      </c>
      <c r="AL119" s="20" t="s">
        <v>143</v>
      </c>
      <c r="AM119" s="20" t="s">
        <v>67</v>
      </c>
      <c r="AN119" s="24">
        <v>97.89</v>
      </c>
      <c r="AO119" s="25">
        <v>39</v>
      </c>
      <c r="AP119" s="24">
        <v>14.11</v>
      </c>
      <c r="AQ119" s="28">
        <v>114.02</v>
      </c>
      <c r="AR119" s="29">
        <v>39</v>
      </c>
      <c r="AS119" s="28">
        <v>13.98</v>
      </c>
      <c r="AT119" s="24"/>
      <c r="AU119" s="24"/>
      <c r="AV119" s="22" t="s">
        <v>578</v>
      </c>
      <c r="AW119" s="22">
        <v>198</v>
      </c>
      <c r="AX119" s="22">
        <v>168</v>
      </c>
    </row>
    <row r="120" spans="1:50" hidden="1" x14ac:dyDescent="0.2">
      <c r="A120" t="s">
        <v>790</v>
      </c>
      <c r="B120" s="17" t="s">
        <v>563</v>
      </c>
      <c r="C120" s="17">
        <v>2012</v>
      </c>
      <c r="D120" s="17" t="s">
        <v>579</v>
      </c>
      <c r="E120" s="32" t="s">
        <v>88</v>
      </c>
      <c r="F120" s="17" t="s">
        <v>88</v>
      </c>
      <c r="G120" s="17" t="s">
        <v>175</v>
      </c>
      <c r="H120" s="17" t="s">
        <v>565</v>
      </c>
      <c r="I120" s="17" t="s">
        <v>91</v>
      </c>
      <c r="J120" s="17" t="s">
        <v>54</v>
      </c>
      <c r="K120" s="17" t="s">
        <v>121</v>
      </c>
      <c r="L120" s="17" t="s">
        <v>56</v>
      </c>
      <c r="M120" s="34" t="s">
        <v>58</v>
      </c>
      <c r="N120" s="34" t="s">
        <v>57</v>
      </c>
      <c r="O120" s="34" t="s">
        <v>57</v>
      </c>
      <c r="P120" s="34" t="s">
        <v>57</v>
      </c>
      <c r="Q120" s="34" t="s">
        <v>58</v>
      </c>
      <c r="R120" s="34" t="s">
        <v>57</v>
      </c>
      <c r="S120" s="32"/>
      <c r="T120" s="32" t="s">
        <v>96</v>
      </c>
      <c r="U120" s="32" t="s">
        <v>580</v>
      </c>
      <c r="V120" s="32" t="s">
        <v>581</v>
      </c>
      <c r="W120" s="32" t="s">
        <v>582</v>
      </c>
      <c r="X120" s="32" t="s">
        <v>570</v>
      </c>
      <c r="Y120" s="17" t="s">
        <v>583</v>
      </c>
      <c r="Z120" s="17"/>
      <c r="AA120" s="17"/>
      <c r="AB120" s="17"/>
      <c r="AC120" s="17" t="s">
        <v>584</v>
      </c>
      <c r="AD120" s="17"/>
      <c r="AE120" s="17"/>
      <c r="AF120" s="17"/>
      <c r="AG120" s="17"/>
      <c r="AH120" s="17"/>
      <c r="AI120" s="17" t="s">
        <v>100</v>
      </c>
      <c r="AJ120" s="17"/>
      <c r="AK120" s="20" t="s">
        <v>477</v>
      </c>
      <c r="AL120" s="20" t="s">
        <v>143</v>
      </c>
      <c r="AM120" s="20" t="s">
        <v>67</v>
      </c>
      <c r="AN120" s="24">
        <v>103.71</v>
      </c>
      <c r="AO120" s="25">
        <v>39</v>
      </c>
      <c r="AP120" s="24">
        <v>9.2799999999999905</v>
      </c>
      <c r="AQ120" s="28">
        <v>88.19</v>
      </c>
      <c r="AR120" s="29">
        <v>39</v>
      </c>
      <c r="AS120" s="28">
        <v>7.56</v>
      </c>
      <c r="AT120" s="24"/>
      <c r="AU120" s="24"/>
      <c r="AV120" s="22" t="s">
        <v>578</v>
      </c>
      <c r="AW120" s="22">
        <v>198</v>
      </c>
      <c r="AX120" s="22">
        <v>168</v>
      </c>
    </row>
    <row r="121" spans="1:50" hidden="1" x14ac:dyDescent="0.2">
      <c r="A121" t="s">
        <v>790</v>
      </c>
      <c r="B121" s="17" t="s">
        <v>589</v>
      </c>
      <c r="C121" s="17">
        <v>2014</v>
      </c>
      <c r="D121" s="17" t="s">
        <v>506</v>
      </c>
      <c r="E121" s="32" t="s">
        <v>88</v>
      </c>
      <c r="F121" s="17" t="s">
        <v>88</v>
      </c>
      <c r="G121" s="17" t="s">
        <v>175</v>
      </c>
      <c r="H121" s="17" t="s">
        <v>590</v>
      </c>
      <c r="I121" s="17" t="s">
        <v>53</v>
      </c>
      <c r="J121" s="17" t="s">
        <v>54</v>
      </c>
      <c r="K121" s="17" t="s">
        <v>260</v>
      </c>
      <c r="L121" s="17" t="s">
        <v>56</v>
      </c>
      <c r="M121" s="34" t="s">
        <v>58</v>
      </c>
      <c r="N121" s="34" t="s">
        <v>57</v>
      </c>
      <c r="O121" s="34" t="s">
        <v>93</v>
      </c>
      <c r="P121" s="34" t="s">
        <v>57</v>
      </c>
      <c r="Q121" s="34" t="s">
        <v>58</v>
      </c>
      <c r="R121" s="34" t="s">
        <v>57</v>
      </c>
      <c r="S121" s="32"/>
      <c r="T121" s="32"/>
      <c r="U121" s="32"/>
      <c r="V121" s="32"/>
      <c r="W121" s="32"/>
      <c r="X121" s="32"/>
      <c r="Y121" s="17" t="s">
        <v>596</v>
      </c>
      <c r="Z121" s="17"/>
      <c r="AA121" s="17"/>
      <c r="AB121" s="17"/>
      <c r="AC121" s="17" t="s">
        <v>597</v>
      </c>
      <c r="AD121" s="17"/>
      <c r="AE121" s="17"/>
      <c r="AF121" s="17"/>
      <c r="AG121" s="17"/>
      <c r="AH121" s="17"/>
      <c r="AI121" s="17" t="s">
        <v>598</v>
      </c>
      <c r="AJ121" s="17"/>
      <c r="AK121" s="20" t="s">
        <v>658</v>
      </c>
      <c r="AL121" s="20" t="s">
        <v>657</v>
      </c>
      <c r="AM121" s="20" t="s">
        <v>67</v>
      </c>
      <c r="AN121" s="24">
        <v>34.21</v>
      </c>
      <c r="AO121" s="25">
        <v>61</v>
      </c>
      <c r="AP121" s="24">
        <v>5.74</v>
      </c>
      <c r="AQ121" s="28">
        <v>38.950000000000003</v>
      </c>
      <c r="AR121" s="29">
        <v>61</v>
      </c>
      <c r="AS121" s="28">
        <v>6.57</v>
      </c>
      <c r="AT121" s="24"/>
      <c r="AU121" s="24"/>
      <c r="AV121" s="22" t="s">
        <v>103</v>
      </c>
      <c r="AW121" s="22">
        <v>180</v>
      </c>
      <c r="AX121" s="22">
        <v>365</v>
      </c>
    </row>
    <row r="122" spans="1:50" hidden="1" x14ac:dyDescent="0.2">
      <c r="A122" t="s">
        <v>790</v>
      </c>
      <c r="B122" s="17" t="s">
        <v>589</v>
      </c>
      <c r="C122" s="17">
        <v>2014</v>
      </c>
      <c r="D122" s="17" t="s">
        <v>520</v>
      </c>
      <c r="E122" s="32" t="s">
        <v>191</v>
      </c>
      <c r="F122" s="17" t="s">
        <v>192</v>
      </c>
      <c r="G122" s="17" t="s">
        <v>175</v>
      </c>
      <c r="H122" s="17" t="s">
        <v>590</v>
      </c>
      <c r="I122" s="17" t="s">
        <v>53</v>
      </c>
      <c r="J122" s="17" t="s">
        <v>54</v>
      </c>
      <c r="K122" s="17" t="s">
        <v>260</v>
      </c>
      <c r="L122" s="17" t="s">
        <v>56</v>
      </c>
      <c r="M122" s="34" t="s">
        <v>58</v>
      </c>
      <c r="N122" s="34" t="s">
        <v>57</v>
      </c>
      <c r="O122" s="34" t="s">
        <v>93</v>
      </c>
      <c r="P122" s="34" t="s">
        <v>57</v>
      </c>
      <c r="Q122" s="34" t="s">
        <v>58</v>
      </c>
      <c r="R122" s="34" t="s">
        <v>57</v>
      </c>
      <c r="S122" s="32"/>
      <c r="T122" s="32"/>
      <c r="U122" s="32"/>
      <c r="V122" s="32"/>
      <c r="W122" s="32"/>
      <c r="X122" s="32"/>
      <c r="Y122" s="17" t="s">
        <v>603</v>
      </c>
      <c r="Z122" s="17"/>
      <c r="AA122" s="17"/>
      <c r="AB122" s="17"/>
      <c r="AC122" s="17" t="s">
        <v>604</v>
      </c>
      <c r="AD122" s="17"/>
      <c r="AE122" s="17"/>
      <c r="AF122" s="17"/>
      <c r="AG122" s="17"/>
      <c r="AH122" s="17"/>
      <c r="AI122" s="17" t="s">
        <v>605</v>
      </c>
      <c r="AJ122" s="17"/>
      <c r="AK122" s="20" t="s">
        <v>658</v>
      </c>
      <c r="AL122" s="20" t="s">
        <v>657</v>
      </c>
      <c r="AM122" s="20" t="s">
        <v>67</v>
      </c>
      <c r="AN122" s="24">
        <v>34.14</v>
      </c>
      <c r="AO122" s="25">
        <v>62</v>
      </c>
      <c r="AP122" s="24">
        <v>5.35</v>
      </c>
      <c r="AQ122" s="28">
        <v>33.159999999999897</v>
      </c>
      <c r="AR122" s="29">
        <v>62</v>
      </c>
      <c r="AS122" s="28">
        <v>5.29</v>
      </c>
      <c r="AT122" s="24"/>
      <c r="AU122" s="24"/>
      <c r="AV122" s="22" t="s">
        <v>103</v>
      </c>
      <c r="AW122" s="22">
        <v>180</v>
      </c>
      <c r="AX122" s="22">
        <v>365</v>
      </c>
    </row>
    <row r="123" spans="1:50" hidden="1" x14ac:dyDescent="0.2">
      <c r="A123" t="s">
        <v>790</v>
      </c>
      <c r="B123" s="17" t="s">
        <v>589</v>
      </c>
      <c r="C123" s="17">
        <v>2014</v>
      </c>
      <c r="D123" s="17" t="s">
        <v>506</v>
      </c>
      <c r="E123" s="32" t="s">
        <v>88</v>
      </c>
      <c r="F123" s="17" t="s">
        <v>88</v>
      </c>
      <c r="G123" s="17" t="s">
        <v>175</v>
      </c>
      <c r="H123" s="17" t="s">
        <v>590</v>
      </c>
      <c r="I123" s="17" t="s">
        <v>53</v>
      </c>
      <c r="J123" s="17" t="s">
        <v>54</v>
      </c>
      <c r="K123" s="17" t="s">
        <v>260</v>
      </c>
      <c r="L123" s="17" t="s">
        <v>56</v>
      </c>
      <c r="M123" s="34" t="s">
        <v>58</v>
      </c>
      <c r="N123" s="34" t="s">
        <v>57</v>
      </c>
      <c r="O123" s="34" t="s">
        <v>93</v>
      </c>
      <c r="P123" s="34" t="s">
        <v>57</v>
      </c>
      <c r="Q123" s="34" t="s">
        <v>58</v>
      </c>
      <c r="R123" s="34" t="s">
        <v>57</v>
      </c>
      <c r="S123" s="32"/>
      <c r="T123" s="32"/>
      <c r="U123" s="32"/>
      <c r="V123" s="32"/>
      <c r="W123" s="32"/>
      <c r="X123" s="32"/>
      <c r="Y123" s="17" t="s">
        <v>596</v>
      </c>
      <c r="Z123" s="17"/>
      <c r="AA123" s="17"/>
      <c r="AB123" s="17"/>
      <c r="AC123" s="17" t="s">
        <v>597</v>
      </c>
      <c r="AD123" s="17"/>
      <c r="AE123" s="17"/>
      <c r="AF123" s="17"/>
      <c r="AG123" s="17"/>
      <c r="AH123" s="17"/>
      <c r="AI123" s="17" t="s">
        <v>598</v>
      </c>
      <c r="AJ123" s="17"/>
      <c r="AK123" s="20" t="s">
        <v>658</v>
      </c>
      <c r="AL123" s="20" t="s">
        <v>657</v>
      </c>
      <c r="AM123" s="20" t="s">
        <v>67</v>
      </c>
      <c r="AN123" s="24">
        <v>34.21</v>
      </c>
      <c r="AO123" s="25">
        <v>61</v>
      </c>
      <c r="AP123" s="24">
        <v>5.74</v>
      </c>
      <c r="AQ123" s="28">
        <v>44.53</v>
      </c>
      <c r="AR123" s="29">
        <v>61</v>
      </c>
      <c r="AS123" s="28">
        <v>7.56</v>
      </c>
      <c r="AT123" s="24"/>
      <c r="AU123" s="24"/>
      <c r="AV123" s="22" t="s">
        <v>189</v>
      </c>
      <c r="AW123" s="22">
        <v>365</v>
      </c>
      <c r="AX123" s="22">
        <v>365</v>
      </c>
    </row>
    <row r="124" spans="1:50" hidden="1" x14ac:dyDescent="0.2">
      <c r="A124" t="s">
        <v>790</v>
      </c>
      <c r="B124" s="17" t="s">
        <v>589</v>
      </c>
      <c r="C124" s="17">
        <v>2014</v>
      </c>
      <c r="D124" s="17" t="s">
        <v>520</v>
      </c>
      <c r="E124" s="32" t="s">
        <v>191</v>
      </c>
      <c r="F124" s="17" t="s">
        <v>192</v>
      </c>
      <c r="G124" s="17" t="s">
        <v>175</v>
      </c>
      <c r="H124" s="17" t="s">
        <v>590</v>
      </c>
      <c r="I124" s="17" t="s">
        <v>53</v>
      </c>
      <c r="J124" s="17" t="s">
        <v>54</v>
      </c>
      <c r="K124" s="17" t="s">
        <v>260</v>
      </c>
      <c r="L124" s="17" t="s">
        <v>56</v>
      </c>
      <c r="M124" s="34" t="s">
        <v>58</v>
      </c>
      <c r="N124" s="34" t="s">
        <v>57</v>
      </c>
      <c r="O124" s="34" t="s">
        <v>93</v>
      </c>
      <c r="P124" s="34" t="s">
        <v>57</v>
      </c>
      <c r="Q124" s="34" t="s">
        <v>58</v>
      </c>
      <c r="R124" s="34" t="s">
        <v>57</v>
      </c>
      <c r="S124" s="32"/>
      <c r="T124" s="32"/>
      <c r="U124" s="32"/>
      <c r="V124" s="32"/>
      <c r="W124" s="32"/>
      <c r="X124" s="32"/>
      <c r="Y124" s="17" t="s">
        <v>603</v>
      </c>
      <c r="Z124" s="17"/>
      <c r="AA124" s="17"/>
      <c r="AB124" s="17"/>
      <c r="AC124" s="17" t="s">
        <v>604</v>
      </c>
      <c r="AD124" s="17"/>
      <c r="AE124" s="17"/>
      <c r="AF124" s="17"/>
      <c r="AG124" s="17"/>
      <c r="AH124" s="17"/>
      <c r="AI124" s="17" t="s">
        <v>605</v>
      </c>
      <c r="AJ124" s="17"/>
      <c r="AK124" s="20" t="s">
        <v>658</v>
      </c>
      <c r="AL124" s="20" t="s">
        <v>657</v>
      </c>
      <c r="AM124" s="20" t="s">
        <v>67</v>
      </c>
      <c r="AN124" s="24">
        <v>34.14</v>
      </c>
      <c r="AO124" s="25">
        <v>62</v>
      </c>
      <c r="AP124" s="24">
        <v>5.35</v>
      </c>
      <c r="AQ124" s="28">
        <v>32.99</v>
      </c>
      <c r="AR124" s="29">
        <v>62</v>
      </c>
      <c r="AS124" s="28">
        <v>6.35</v>
      </c>
      <c r="AT124" s="24"/>
      <c r="AU124" s="24"/>
      <c r="AV124" s="22" t="s">
        <v>189</v>
      </c>
      <c r="AW124" s="22">
        <v>365</v>
      </c>
      <c r="AX124" s="22">
        <v>365</v>
      </c>
    </row>
    <row r="125" spans="1:50" hidden="1" x14ac:dyDescent="0.2">
      <c r="A125" t="s">
        <v>790</v>
      </c>
      <c r="B125" s="17" t="s">
        <v>589</v>
      </c>
      <c r="C125" s="17">
        <v>2014</v>
      </c>
      <c r="D125" s="17" t="s">
        <v>506</v>
      </c>
      <c r="E125" s="32" t="s">
        <v>88</v>
      </c>
      <c r="F125" s="17" t="s">
        <v>88</v>
      </c>
      <c r="G125" s="17" t="s">
        <v>175</v>
      </c>
      <c r="H125" s="17" t="s">
        <v>590</v>
      </c>
      <c r="I125" s="17" t="s">
        <v>53</v>
      </c>
      <c r="J125" s="17" t="s">
        <v>54</v>
      </c>
      <c r="K125" s="17" t="s">
        <v>260</v>
      </c>
      <c r="L125" s="17" t="s">
        <v>56</v>
      </c>
      <c r="M125" s="34" t="s">
        <v>58</v>
      </c>
      <c r="N125" s="34" t="s">
        <v>57</v>
      </c>
      <c r="O125" s="34" t="s">
        <v>93</v>
      </c>
      <c r="P125" s="34" t="s">
        <v>57</v>
      </c>
      <c r="Q125" s="34" t="s">
        <v>58</v>
      </c>
      <c r="R125" s="34" t="s">
        <v>57</v>
      </c>
      <c r="S125" s="32"/>
      <c r="T125" s="32"/>
      <c r="U125" s="32"/>
      <c r="V125" s="32"/>
      <c r="W125" s="32"/>
      <c r="X125" s="32"/>
      <c r="Y125" s="17" t="s">
        <v>596</v>
      </c>
      <c r="Z125" s="17"/>
      <c r="AA125" s="17"/>
      <c r="AB125" s="17"/>
      <c r="AC125" s="17" t="s">
        <v>597</v>
      </c>
      <c r="AD125" s="17"/>
      <c r="AE125" s="17"/>
      <c r="AF125" s="17"/>
      <c r="AG125" s="17"/>
      <c r="AH125" s="17"/>
      <c r="AI125" s="17" t="s">
        <v>598</v>
      </c>
      <c r="AJ125" s="17"/>
      <c r="AK125" s="20" t="s">
        <v>188</v>
      </c>
      <c r="AL125" s="20" t="s">
        <v>178</v>
      </c>
      <c r="AM125" s="20" t="s">
        <v>67</v>
      </c>
      <c r="AN125" s="24">
        <v>14.12</v>
      </c>
      <c r="AO125" s="25">
        <v>61</v>
      </c>
      <c r="AP125" s="24">
        <v>3.12</v>
      </c>
      <c r="AQ125" s="28">
        <v>13.23</v>
      </c>
      <c r="AR125" s="29">
        <v>61</v>
      </c>
      <c r="AS125" s="28">
        <v>4.49</v>
      </c>
      <c r="AT125" s="24"/>
      <c r="AU125" s="24"/>
      <c r="AV125" s="22" t="s">
        <v>103</v>
      </c>
      <c r="AW125" s="22">
        <v>180</v>
      </c>
      <c r="AX125" s="22">
        <v>365</v>
      </c>
    </row>
    <row r="126" spans="1:50" hidden="1" x14ac:dyDescent="0.2">
      <c r="A126" t="s">
        <v>790</v>
      </c>
      <c r="B126" s="17" t="s">
        <v>589</v>
      </c>
      <c r="C126" s="17">
        <v>2014</v>
      </c>
      <c r="D126" s="17" t="s">
        <v>520</v>
      </c>
      <c r="E126" s="32" t="s">
        <v>191</v>
      </c>
      <c r="F126" s="17" t="s">
        <v>192</v>
      </c>
      <c r="G126" s="17" t="s">
        <v>175</v>
      </c>
      <c r="H126" s="17" t="s">
        <v>590</v>
      </c>
      <c r="I126" s="17" t="s">
        <v>53</v>
      </c>
      <c r="J126" s="17" t="s">
        <v>54</v>
      </c>
      <c r="K126" s="17" t="s">
        <v>260</v>
      </c>
      <c r="L126" s="17" t="s">
        <v>56</v>
      </c>
      <c r="M126" s="34" t="s">
        <v>58</v>
      </c>
      <c r="N126" s="34" t="s">
        <v>57</v>
      </c>
      <c r="O126" s="34" t="s">
        <v>93</v>
      </c>
      <c r="P126" s="34" t="s">
        <v>57</v>
      </c>
      <c r="Q126" s="34" t="s">
        <v>58</v>
      </c>
      <c r="R126" s="34" t="s">
        <v>57</v>
      </c>
      <c r="S126" s="32"/>
      <c r="T126" s="32"/>
      <c r="U126" s="32"/>
      <c r="V126" s="32"/>
      <c r="W126" s="32"/>
      <c r="X126" s="32"/>
      <c r="Y126" s="17" t="s">
        <v>603</v>
      </c>
      <c r="Z126" s="17"/>
      <c r="AA126" s="17"/>
      <c r="AB126" s="17"/>
      <c r="AC126" s="17" t="s">
        <v>604</v>
      </c>
      <c r="AD126" s="17"/>
      <c r="AE126" s="17"/>
      <c r="AF126" s="17"/>
      <c r="AG126" s="17"/>
      <c r="AH126" s="17"/>
      <c r="AI126" s="17" t="s">
        <v>605</v>
      </c>
      <c r="AJ126" s="17"/>
      <c r="AK126" s="20" t="s">
        <v>188</v>
      </c>
      <c r="AL126" s="20" t="s">
        <v>178</v>
      </c>
      <c r="AM126" s="20" t="s">
        <v>67</v>
      </c>
      <c r="AN126" s="24">
        <v>14.19</v>
      </c>
      <c r="AO126" s="25">
        <v>62</v>
      </c>
      <c r="AP126" s="24">
        <v>3.12</v>
      </c>
      <c r="AQ126" s="28">
        <v>14.29</v>
      </c>
      <c r="AR126" s="29">
        <v>62</v>
      </c>
      <c r="AS126" s="28">
        <v>4.41</v>
      </c>
      <c r="AT126" s="24"/>
      <c r="AU126" s="24"/>
      <c r="AV126" s="22" t="s">
        <v>103</v>
      </c>
      <c r="AW126" s="22">
        <v>180</v>
      </c>
      <c r="AX126" s="22">
        <v>365</v>
      </c>
    </row>
    <row r="127" spans="1:50" hidden="1" x14ac:dyDescent="0.2">
      <c r="A127" t="s">
        <v>790</v>
      </c>
      <c r="B127" s="17" t="s">
        <v>589</v>
      </c>
      <c r="C127" s="17">
        <v>2014</v>
      </c>
      <c r="D127" s="17" t="s">
        <v>506</v>
      </c>
      <c r="E127" s="32" t="s">
        <v>88</v>
      </c>
      <c r="F127" s="17" t="s">
        <v>88</v>
      </c>
      <c r="G127" s="17" t="s">
        <v>175</v>
      </c>
      <c r="H127" s="17" t="s">
        <v>590</v>
      </c>
      <c r="I127" s="17" t="s">
        <v>53</v>
      </c>
      <c r="J127" s="17" t="s">
        <v>54</v>
      </c>
      <c r="K127" s="17" t="s">
        <v>260</v>
      </c>
      <c r="L127" s="17" t="s">
        <v>56</v>
      </c>
      <c r="M127" s="34" t="s">
        <v>58</v>
      </c>
      <c r="N127" s="34" t="s">
        <v>57</v>
      </c>
      <c r="O127" s="34" t="s">
        <v>93</v>
      </c>
      <c r="P127" s="34" t="s">
        <v>57</v>
      </c>
      <c r="Q127" s="34" t="s">
        <v>58</v>
      </c>
      <c r="R127" s="34" t="s">
        <v>57</v>
      </c>
      <c r="S127" s="32"/>
      <c r="T127" s="32"/>
      <c r="U127" s="32"/>
      <c r="V127" s="32"/>
      <c r="W127" s="32"/>
      <c r="X127" s="32"/>
      <c r="Y127" s="17" t="s">
        <v>596</v>
      </c>
      <c r="Z127" s="17"/>
      <c r="AA127" s="17"/>
      <c r="AB127" s="17"/>
      <c r="AC127" s="17" t="s">
        <v>597</v>
      </c>
      <c r="AD127" s="17"/>
      <c r="AE127" s="17"/>
      <c r="AF127" s="17"/>
      <c r="AG127" s="17"/>
      <c r="AH127" s="17"/>
      <c r="AI127" s="17" t="s">
        <v>598</v>
      </c>
      <c r="AJ127" s="17"/>
      <c r="AK127" s="20" t="s">
        <v>188</v>
      </c>
      <c r="AL127" s="20" t="s">
        <v>178</v>
      </c>
      <c r="AM127" s="20" t="s">
        <v>67</v>
      </c>
      <c r="AN127" s="24">
        <v>14.12</v>
      </c>
      <c r="AO127" s="25">
        <v>61</v>
      </c>
      <c r="AP127" s="24">
        <v>3.12</v>
      </c>
      <c r="AQ127" s="28">
        <v>11.99</v>
      </c>
      <c r="AR127" s="29">
        <v>61</v>
      </c>
      <c r="AS127" s="28">
        <v>6.39</v>
      </c>
      <c r="AT127" s="24"/>
      <c r="AU127" s="24"/>
      <c r="AV127" s="22" t="s">
        <v>189</v>
      </c>
      <c r="AW127" s="22">
        <v>365</v>
      </c>
      <c r="AX127" s="22">
        <v>365</v>
      </c>
    </row>
    <row r="128" spans="1:50" hidden="1" x14ac:dyDescent="0.2">
      <c r="A128" t="s">
        <v>790</v>
      </c>
      <c r="B128" s="17" t="s">
        <v>589</v>
      </c>
      <c r="C128" s="17">
        <v>2014</v>
      </c>
      <c r="D128" s="17" t="s">
        <v>520</v>
      </c>
      <c r="E128" s="32" t="s">
        <v>191</v>
      </c>
      <c r="F128" s="17" t="s">
        <v>192</v>
      </c>
      <c r="G128" s="17" t="s">
        <v>175</v>
      </c>
      <c r="H128" s="17" t="s">
        <v>590</v>
      </c>
      <c r="I128" s="17" t="s">
        <v>53</v>
      </c>
      <c r="J128" s="17" t="s">
        <v>54</v>
      </c>
      <c r="K128" s="17" t="s">
        <v>260</v>
      </c>
      <c r="L128" s="17" t="s">
        <v>56</v>
      </c>
      <c r="M128" s="34" t="s">
        <v>58</v>
      </c>
      <c r="N128" s="34" t="s">
        <v>57</v>
      </c>
      <c r="O128" s="34" t="s">
        <v>93</v>
      </c>
      <c r="P128" s="34" t="s">
        <v>57</v>
      </c>
      <c r="Q128" s="34" t="s">
        <v>58</v>
      </c>
      <c r="R128" s="34" t="s">
        <v>57</v>
      </c>
      <c r="S128" s="32"/>
      <c r="T128" s="32"/>
      <c r="U128" s="32"/>
      <c r="V128" s="32"/>
      <c r="W128" s="32"/>
      <c r="X128" s="32"/>
      <c r="Y128" s="17" t="s">
        <v>603</v>
      </c>
      <c r="Z128" s="17"/>
      <c r="AA128" s="17"/>
      <c r="AB128" s="17"/>
      <c r="AC128" s="17" t="s">
        <v>604</v>
      </c>
      <c r="AD128" s="17"/>
      <c r="AE128" s="17"/>
      <c r="AF128" s="17"/>
      <c r="AG128" s="17"/>
      <c r="AH128" s="17"/>
      <c r="AI128" s="17" t="s">
        <v>605</v>
      </c>
      <c r="AJ128" s="17"/>
      <c r="AK128" s="20" t="s">
        <v>188</v>
      </c>
      <c r="AL128" s="20" t="s">
        <v>178</v>
      </c>
      <c r="AM128" s="20" t="s">
        <v>67</v>
      </c>
      <c r="AN128" s="24">
        <v>14.19</v>
      </c>
      <c r="AO128" s="25">
        <v>62</v>
      </c>
      <c r="AP128" s="24">
        <v>3.12</v>
      </c>
      <c r="AQ128" s="28">
        <v>15.98</v>
      </c>
      <c r="AR128" s="29">
        <v>62</v>
      </c>
      <c r="AS128" s="28">
        <v>5.49</v>
      </c>
      <c r="AT128" s="24"/>
      <c r="AU128" s="24"/>
      <c r="AV128" s="22" t="s">
        <v>189</v>
      </c>
      <c r="AW128" s="22">
        <v>365</v>
      </c>
      <c r="AX128" s="22">
        <v>365</v>
      </c>
    </row>
    <row r="129" spans="1:50" hidden="1" x14ac:dyDescent="0.2">
      <c r="A129" t="s">
        <v>790</v>
      </c>
      <c r="B129" s="17" t="s">
        <v>632</v>
      </c>
      <c r="C129" s="17">
        <v>2017</v>
      </c>
      <c r="D129" s="17" t="s">
        <v>174</v>
      </c>
      <c r="E129" s="32" t="s">
        <v>88</v>
      </c>
      <c r="F129" s="17" t="s">
        <v>88</v>
      </c>
      <c r="G129" s="17" t="s">
        <v>175</v>
      </c>
      <c r="H129" s="17" t="s">
        <v>633</v>
      </c>
      <c r="I129" s="17" t="s">
        <v>91</v>
      </c>
      <c r="J129" s="17" t="s">
        <v>54</v>
      </c>
      <c r="K129" s="17" t="s">
        <v>55</v>
      </c>
      <c r="L129" s="17" t="s">
        <v>634</v>
      </c>
      <c r="M129" s="34" t="s">
        <v>58</v>
      </c>
      <c r="N129" s="34" t="s">
        <v>57</v>
      </c>
      <c r="O129" s="34" t="s">
        <v>57</v>
      </c>
      <c r="P129" s="34" t="s">
        <v>57</v>
      </c>
      <c r="Q129" s="34" t="s">
        <v>58</v>
      </c>
      <c r="R129" s="34" t="s">
        <v>57</v>
      </c>
      <c r="S129" s="32" t="s">
        <v>635</v>
      </c>
      <c r="T129" s="32" t="s">
        <v>636</v>
      </c>
      <c r="U129" s="32"/>
      <c r="V129" s="32"/>
      <c r="W129" s="32"/>
      <c r="X129" s="32"/>
      <c r="Y129" s="17" t="s">
        <v>637</v>
      </c>
      <c r="Z129" s="17"/>
      <c r="AA129" s="17"/>
      <c r="AB129" s="17"/>
      <c r="AC129" s="17" t="s">
        <v>638</v>
      </c>
      <c r="AD129" s="17"/>
      <c r="AE129" s="17"/>
      <c r="AF129" s="17"/>
      <c r="AG129" s="17"/>
      <c r="AH129" s="17"/>
      <c r="AI129" s="17" t="s">
        <v>639</v>
      </c>
      <c r="AJ129" s="17"/>
      <c r="AK129" s="20" t="s">
        <v>188</v>
      </c>
      <c r="AL129" s="20" t="s">
        <v>178</v>
      </c>
      <c r="AM129" s="20" t="s">
        <v>67</v>
      </c>
      <c r="AN129" s="24">
        <v>9.85</v>
      </c>
      <c r="AO129" s="25">
        <v>70</v>
      </c>
      <c r="AP129" s="24">
        <v>1.89</v>
      </c>
      <c r="AQ129" s="28">
        <v>13.27</v>
      </c>
      <c r="AR129" s="29">
        <v>70</v>
      </c>
      <c r="AS129" s="28">
        <v>3.02</v>
      </c>
      <c r="AT129" s="24"/>
      <c r="AU129" s="24"/>
      <c r="AV129" s="22" t="s">
        <v>189</v>
      </c>
      <c r="AW129" s="22">
        <v>365</v>
      </c>
      <c r="AX129" s="22">
        <v>365</v>
      </c>
    </row>
    <row r="130" spans="1:50" hidden="1" x14ac:dyDescent="0.2">
      <c r="A130" t="s">
        <v>790</v>
      </c>
      <c r="B130" s="17" t="s">
        <v>632</v>
      </c>
      <c r="C130" s="17">
        <v>2017</v>
      </c>
      <c r="D130" s="17" t="s">
        <v>640</v>
      </c>
      <c r="E130" s="32" t="s">
        <v>191</v>
      </c>
      <c r="F130" s="17" t="s">
        <v>641</v>
      </c>
      <c r="G130" s="17" t="s">
        <v>175</v>
      </c>
      <c r="H130" s="17" t="s">
        <v>633</v>
      </c>
      <c r="I130" s="17" t="s">
        <v>91</v>
      </c>
      <c r="J130" s="17" t="s">
        <v>54</v>
      </c>
      <c r="K130" s="17" t="s">
        <v>55</v>
      </c>
      <c r="L130" s="17" t="s">
        <v>634</v>
      </c>
      <c r="M130" s="34" t="s">
        <v>58</v>
      </c>
      <c r="N130" s="34" t="s">
        <v>57</v>
      </c>
      <c r="O130" s="34" t="s">
        <v>57</v>
      </c>
      <c r="P130" s="34" t="s">
        <v>57</v>
      </c>
      <c r="Q130" s="34" t="s">
        <v>58</v>
      </c>
      <c r="R130" s="34" t="s">
        <v>57</v>
      </c>
      <c r="S130" s="32" t="s">
        <v>642</v>
      </c>
      <c r="T130" s="32" t="s">
        <v>643</v>
      </c>
      <c r="U130" s="32"/>
      <c r="V130" s="32"/>
      <c r="W130" s="32"/>
      <c r="X130" s="32"/>
      <c r="Y130" s="17" t="s">
        <v>644</v>
      </c>
      <c r="Z130" s="17"/>
      <c r="AA130" s="17"/>
      <c r="AB130" s="17"/>
      <c r="AC130" s="17" t="s">
        <v>645</v>
      </c>
      <c r="AD130" s="17"/>
      <c r="AE130" s="17"/>
      <c r="AF130" s="17"/>
      <c r="AG130" s="17"/>
      <c r="AH130" s="17"/>
      <c r="AI130" s="17" t="s">
        <v>646</v>
      </c>
      <c r="AJ130" s="17"/>
      <c r="AK130" s="20" t="s">
        <v>188</v>
      </c>
      <c r="AL130" s="20" t="s">
        <v>178</v>
      </c>
      <c r="AM130" s="20" t="s">
        <v>67</v>
      </c>
      <c r="AN130" s="24">
        <v>9.8800000000000008</v>
      </c>
      <c r="AO130" s="25">
        <v>71</v>
      </c>
      <c r="AP130" s="24">
        <v>2.33</v>
      </c>
      <c r="AQ130" s="28">
        <v>14.97</v>
      </c>
      <c r="AR130" s="29">
        <v>71</v>
      </c>
      <c r="AS130" s="28">
        <v>3.03</v>
      </c>
      <c r="AT130" s="24"/>
      <c r="AU130" s="24"/>
      <c r="AV130" s="22" t="s">
        <v>189</v>
      </c>
      <c r="AW130" s="22">
        <v>365</v>
      </c>
      <c r="AX130" s="22">
        <v>365</v>
      </c>
    </row>
    <row r="131" spans="1:50" hidden="1" x14ac:dyDescent="0.2">
      <c r="A131" t="s">
        <v>790</v>
      </c>
      <c r="B131" t="s">
        <v>647</v>
      </c>
      <c r="C131" s="17">
        <v>2010</v>
      </c>
      <c r="D131" s="17" t="s">
        <v>652</v>
      </c>
      <c r="E131" s="32" t="s">
        <v>88</v>
      </c>
      <c r="F131" s="17" t="s">
        <v>88</v>
      </c>
      <c r="G131" s="17" t="s">
        <v>175</v>
      </c>
      <c r="H131" s="17" t="s">
        <v>176</v>
      </c>
      <c r="I131" s="17" t="s">
        <v>53</v>
      </c>
      <c r="J131" s="17" t="s">
        <v>54</v>
      </c>
      <c r="K131" s="17" t="s">
        <v>260</v>
      </c>
      <c r="L131" s="17" t="s">
        <v>488</v>
      </c>
      <c r="M131" s="34" t="s">
        <v>58</v>
      </c>
      <c r="N131" s="34" t="s">
        <v>58</v>
      </c>
      <c r="O131" s="34" t="s">
        <v>93</v>
      </c>
      <c r="P131" s="34" t="s">
        <v>58</v>
      </c>
      <c r="Q131" s="34" t="s">
        <v>58</v>
      </c>
      <c r="R131" s="34" t="s">
        <v>58</v>
      </c>
      <c r="S131" s="32"/>
      <c r="T131" s="32"/>
      <c r="U131" s="32"/>
      <c r="V131" s="32"/>
      <c r="W131" s="32"/>
      <c r="X131" s="32"/>
      <c r="Y131" s="17" t="s">
        <v>653</v>
      </c>
      <c r="Z131" s="17"/>
      <c r="AA131" s="17"/>
      <c r="AB131" s="17"/>
      <c r="AC131" s="17" t="s">
        <v>654</v>
      </c>
      <c r="AD131" s="17"/>
      <c r="AE131" s="17"/>
      <c r="AF131" s="17"/>
      <c r="AG131" s="17"/>
      <c r="AH131" s="17"/>
      <c r="AI131" s="17" t="s">
        <v>655</v>
      </c>
      <c r="AJ131" s="17"/>
      <c r="AK131" s="20" t="s">
        <v>168</v>
      </c>
      <c r="AL131" s="20" t="s">
        <v>513</v>
      </c>
      <c r="AM131" s="20" t="s">
        <v>67</v>
      </c>
      <c r="AN131" s="24">
        <v>415.3</v>
      </c>
      <c r="AO131" s="25">
        <v>25</v>
      </c>
      <c r="AP131" s="24">
        <v>140.80000000000001</v>
      </c>
      <c r="AQ131" s="28">
        <v>370.8</v>
      </c>
      <c r="AR131" s="29">
        <v>25</v>
      </c>
      <c r="AS131" s="28">
        <v>132.6</v>
      </c>
      <c r="AT131" s="24"/>
      <c r="AU131" s="24"/>
      <c r="AV131" s="22" t="s">
        <v>189</v>
      </c>
      <c r="AW131" s="22">
        <v>365</v>
      </c>
      <c r="AX131" s="22">
        <v>365</v>
      </c>
    </row>
    <row r="132" spans="1:50" hidden="1" x14ac:dyDescent="0.2">
      <c r="A132" t="s">
        <v>790</v>
      </c>
      <c r="B132" s="17" t="s">
        <v>647</v>
      </c>
      <c r="C132" s="17">
        <v>2010</v>
      </c>
      <c r="D132" s="17" t="s">
        <v>648</v>
      </c>
      <c r="E132" s="32" t="s">
        <v>191</v>
      </c>
      <c r="F132" s="17" t="s">
        <v>192</v>
      </c>
      <c r="G132" s="17" t="s">
        <v>175</v>
      </c>
      <c r="H132" s="17" t="s">
        <v>176</v>
      </c>
      <c r="I132" s="17" t="s">
        <v>53</v>
      </c>
      <c r="J132" s="17" t="s">
        <v>54</v>
      </c>
      <c r="K132" s="17" t="s">
        <v>260</v>
      </c>
      <c r="L132" s="17" t="s">
        <v>488</v>
      </c>
      <c r="M132" s="34" t="s">
        <v>58</v>
      </c>
      <c r="N132" s="34" t="s">
        <v>58</v>
      </c>
      <c r="O132" s="34" t="s">
        <v>93</v>
      </c>
      <c r="P132" s="34" t="s">
        <v>58</v>
      </c>
      <c r="Q132" s="34" t="s">
        <v>58</v>
      </c>
      <c r="R132" s="34" t="s">
        <v>58</v>
      </c>
      <c r="S132" s="32"/>
      <c r="T132" s="32"/>
      <c r="U132" s="32"/>
      <c r="V132" s="32"/>
      <c r="W132" s="32"/>
      <c r="X132" s="32"/>
      <c r="Y132" s="17" t="s">
        <v>649</v>
      </c>
      <c r="Z132" s="17"/>
      <c r="AA132" s="17"/>
      <c r="AB132" s="17"/>
      <c r="AC132" s="17" t="s">
        <v>650</v>
      </c>
      <c r="AD132" s="17"/>
      <c r="AE132" s="17"/>
      <c r="AF132" s="17"/>
      <c r="AG132" s="17"/>
      <c r="AH132" s="17"/>
      <c r="AI132" s="17" t="s">
        <v>651</v>
      </c>
      <c r="AJ132" s="17"/>
      <c r="AK132" s="20" t="s">
        <v>168</v>
      </c>
      <c r="AL132" s="20" t="s">
        <v>513</v>
      </c>
      <c r="AM132" s="20" t="s">
        <v>67</v>
      </c>
      <c r="AN132" s="24">
        <v>431.4</v>
      </c>
      <c r="AO132" s="25">
        <v>25</v>
      </c>
      <c r="AP132" s="24">
        <v>126.5</v>
      </c>
      <c r="AQ132" s="28">
        <v>524.70000000000005</v>
      </c>
      <c r="AR132" s="29">
        <v>25</v>
      </c>
      <c r="AS132" s="28">
        <v>128.4</v>
      </c>
      <c r="AT132" s="24"/>
      <c r="AU132" s="24"/>
      <c r="AV132" s="22" t="s">
        <v>189</v>
      </c>
      <c r="AW132" s="22">
        <v>365</v>
      </c>
      <c r="AX132" s="22">
        <v>365</v>
      </c>
    </row>
    <row r="133" spans="1:50" hidden="1" x14ac:dyDescent="0.2">
      <c r="B133" s="17"/>
      <c r="C133" s="17"/>
      <c r="D133" s="17"/>
      <c r="E133" s="32"/>
      <c r="F133" s="17"/>
      <c r="G133" s="17"/>
      <c r="H133" s="17"/>
      <c r="I133" s="17"/>
      <c r="J133" s="17"/>
      <c r="K133" s="17"/>
      <c r="L133" s="17"/>
      <c r="M133" s="34"/>
      <c r="N133" s="34"/>
      <c r="O133" s="34"/>
      <c r="P133" s="34"/>
      <c r="Q133" s="34"/>
      <c r="R133" s="34"/>
      <c r="S133" s="32"/>
      <c r="T133" s="32"/>
      <c r="U133" s="32"/>
      <c r="V133" s="32"/>
      <c r="W133" s="32"/>
      <c r="X133" s="32"/>
      <c r="Y133" s="17"/>
      <c r="Z133" s="17"/>
      <c r="AA133" s="17"/>
      <c r="AB133" s="17"/>
      <c r="AC133" s="17"/>
      <c r="AD133" s="17"/>
      <c r="AE133" s="17"/>
      <c r="AF133" s="17"/>
      <c r="AG133" s="17"/>
      <c r="AH133" s="17"/>
      <c r="AI133" s="17"/>
      <c r="AJ133" s="17"/>
      <c r="AK133" s="20"/>
      <c r="AL133" s="20"/>
      <c r="AM133" s="20"/>
      <c r="AN133" s="24"/>
      <c r="AO133" s="25"/>
      <c r="AP133" s="24"/>
      <c r="AQ133" s="28"/>
      <c r="AR133" s="29"/>
      <c r="AS133" s="28"/>
      <c r="AT133" s="24"/>
      <c r="AU133" s="24"/>
      <c r="AV133" s="22"/>
      <c r="AW133" s="22"/>
      <c r="AX133" s="22"/>
    </row>
    <row r="134" spans="1:50" hidden="1" x14ac:dyDescent="0.2">
      <c r="B134" s="17"/>
      <c r="C134" s="17"/>
      <c r="D134" s="17"/>
      <c r="E134" s="32"/>
      <c r="F134" s="17"/>
      <c r="G134" s="17"/>
      <c r="H134" s="17"/>
      <c r="I134" s="17"/>
      <c r="J134" s="17"/>
      <c r="K134" s="17"/>
      <c r="L134" s="17"/>
      <c r="M134" s="34"/>
      <c r="N134" s="34"/>
      <c r="O134" s="34"/>
      <c r="P134" s="34"/>
      <c r="Q134" s="34"/>
      <c r="R134" s="34"/>
      <c r="S134" s="32"/>
      <c r="T134" s="32"/>
      <c r="U134" s="32"/>
      <c r="V134" s="32"/>
      <c r="W134" s="32"/>
      <c r="X134" s="32"/>
      <c r="Y134" s="17"/>
      <c r="Z134" s="17"/>
      <c r="AA134" s="17"/>
      <c r="AB134" s="17"/>
      <c r="AC134" s="17"/>
      <c r="AD134" s="17"/>
      <c r="AE134" s="17"/>
      <c r="AF134" s="17"/>
      <c r="AG134" s="17"/>
      <c r="AH134" s="17"/>
      <c r="AI134" s="17"/>
      <c r="AJ134" s="17"/>
      <c r="AK134" s="20"/>
      <c r="AL134" s="20"/>
      <c r="AM134" s="20"/>
      <c r="AN134" s="24"/>
      <c r="AO134" s="25"/>
      <c r="AP134" s="24"/>
      <c r="AQ134" s="28"/>
      <c r="AR134" s="29"/>
      <c r="AS134" s="28"/>
      <c r="AT134" s="24"/>
      <c r="AU134" s="24"/>
      <c r="AV134" s="22"/>
      <c r="AW134" s="22"/>
      <c r="AX134" s="22"/>
    </row>
  </sheetData>
  <autoFilter ref="A1:BB134" xr:uid="{74886E42-7453-9D4E-A430-82DC30A59557}">
    <filterColumn colId="0">
      <filters>
        <filter val="2022 search"/>
      </filters>
    </filterColumn>
  </autoFilter>
  <phoneticPr fontId="1" type="noConversion"/>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73D98-846F-A04D-81FD-E999D2147C1E}">
  <sheetPr filterMode="1"/>
  <dimension ref="A1:J36"/>
  <sheetViews>
    <sheetView zoomScale="117" workbookViewId="0">
      <selection activeCell="F30" sqref="F30"/>
    </sheetView>
  </sheetViews>
  <sheetFormatPr baseColWidth="10" defaultRowHeight="15" x14ac:dyDescent="0.2"/>
  <sheetData>
    <row r="1" spans="1:10" ht="17" customHeight="1" thickBot="1" x14ac:dyDescent="0.25">
      <c r="A1" s="58" t="s">
        <v>860</v>
      </c>
      <c r="B1" s="58" t="s">
        <v>5</v>
      </c>
      <c r="C1" s="58" t="s">
        <v>861</v>
      </c>
      <c r="D1" s="58" t="s">
        <v>862</v>
      </c>
      <c r="E1" s="58" t="s">
        <v>863</v>
      </c>
      <c r="F1" s="58" t="s">
        <v>864</v>
      </c>
      <c r="G1" s="54" t="s">
        <v>87</v>
      </c>
      <c r="H1" s="55" t="s">
        <v>2</v>
      </c>
      <c r="I1" s="58" t="s">
        <v>865</v>
      </c>
      <c r="J1" s="58" t="s">
        <v>866</v>
      </c>
    </row>
    <row r="2" spans="1:10" ht="37" thickBot="1" x14ac:dyDescent="0.25">
      <c r="A2" s="45" t="s">
        <v>791</v>
      </c>
      <c r="B2" s="46" t="s">
        <v>747</v>
      </c>
      <c r="C2" s="46" t="s">
        <v>692</v>
      </c>
      <c r="D2" s="46" t="s">
        <v>792</v>
      </c>
      <c r="E2" s="46" t="s">
        <v>793</v>
      </c>
      <c r="F2" s="46" t="s">
        <v>549</v>
      </c>
      <c r="G2" s="46">
        <v>26</v>
      </c>
      <c r="H2" s="46">
        <v>25</v>
      </c>
      <c r="I2" s="46">
        <v>90</v>
      </c>
      <c r="J2" s="46" t="s">
        <v>238</v>
      </c>
    </row>
    <row r="3" spans="1:10" ht="37" thickBot="1" x14ac:dyDescent="0.25">
      <c r="A3" s="47" t="s">
        <v>794</v>
      </c>
      <c r="B3" s="48" t="s">
        <v>89</v>
      </c>
      <c r="C3" s="48" t="s">
        <v>795</v>
      </c>
      <c r="D3" s="48" t="s">
        <v>792</v>
      </c>
      <c r="E3" s="48" t="s">
        <v>796</v>
      </c>
      <c r="F3" s="48" t="s">
        <v>797</v>
      </c>
      <c r="G3" s="48">
        <v>157</v>
      </c>
      <c r="H3" s="48">
        <v>157</v>
      </c>
      <c r="I3" s="48">
        <v>30</v>
      </c>
      <c r="J3" s="48" t="s">
        <v>749</v>
      </c>
    </row>
    <row r="4" spans="1:10" ht="25" hidden="1" customHeight="1" thickBot="1" x14ac:dyDescent="0.25">
      <c r="A4" s="47" t="s">
        <v>798</v>
      </c>
      <c r="B4" s="48" t="s">
        <v>175</v>
      </c>
      <c r="C4" s="48" t="s">
        <v>799</v>
      </c>
      <c r="D4" s="48" t="s">
        <v>800</v>
      </c>
      <c r="E4" s="48" t="s">
        <v>100</v>
      </c>
      <c r="F4" s="48" t="s">
        <v>797</v>
      </c>
      <c r="G4" s="48">
        <v>51</v>
      </c>
      <c r="H4" s="48">
        <v>51</v>
      </c>
      <c r="I4" s="48">
        <v>56</v>
      </c>
      <c r="J4" s="48" t="s">
        <v>801</v>
      </c>
    </row>
    <row r="5" spans="1:10" ht="60" hidden="1" x14ac:dyDescent="0.2">
      <c r="A5" s="60" t="s">
        <v>802</v>
      </c>
      <c r="B5" s="60" t="s">
        <v>279</v>
      </c>
      <c r="C5" s="60" t="s">
        <v>803</v>
      </c>
      <c r="D5" s="60" t="s">
        <v>804</v>
      </c>
      <c r="E5" s="60" t="s">
        <v>805</v>
      </c>
      <c r="F5" s="60" t="s">
        <v>797</v>
      </c>
      <c r="G5" s="60">
        <v>35</v>
      </c>
      <c r="H5" s="60">
        <v>35</v>
      </c>
      <c r="I5" s="60">
        <v>28</v>
      </c>
      <c r="J5" s="49" t="s">
        <v>867</v>
      </c>
    </row>
    <row r="6" spans="1:10" ht="61" hidden="1" thickBot="1" x14ac:dyDescent="0.25">
      <c r="A6" s="65" t="s">
        <v>806</v>
      </c>
      <c r="B6" s="59" t="s">
        <v>175</v>
      </c>
      <c r="C6" s="59" t="s">
        <v>807</v>
      </c>
      <c r="D6" s="59" t="s">
        <v>808</v>
      </c>
      <c r="E6" s="59" t="s">
        <v>809</v>
      </c>
      <c r="F6" s="59" t="s">
        <v>797</v>
      </c>
      <c r="G6" s="59">
        <v>56</v>
      </c>
      <c r="H6" s="59">
        <v>56</v>
      </c>
      <c r="I6" s="59">
        <v>150</v>
      </c>
      <c r="J6" s="48" t="s">
        <v>810</v>
      </c>
    </row>
    <row r="7" spans="1:10" ht="37" hidden="1" thickBot="1" x14ac:dyDescent="0.25">
      <c r="A7" s="47" t="s">
        <v>811</v>
      </c>
      <c r="B7" s="48" t="s">
        <v>279</v>
      </c>
      <c r="C7" s="48" t="s">
        <v>812</v>
      </c>
      <c r="D7" s="48" t="s">
        <v>792</v>
      </c>
      <c r="E7" s="48" t="s">
        <v>793</v>
      </c>
      <c r="F7" s="48" t="s">
        <v>797</v>
      </c>
      <c r="G7" s="48">
        <v>27</v>
      </c>
      <c r="H7" s="48">
        <v>27</v>
      </c>
      <c r="I7" s="48">
        <v>56</v>
      </c>
      <c r="J7" s="48" t="s">
        <v>73</v>
      </c>
    </row>
    <row r="8" spans="1:10" ht="37" customHeight="1" thickBot="1" x14ac:dyDescent="0.25">
      <c r="A8" s="47" t="s">
        <v>813</v>
      </c>
      <c r="B8" s="48" t="s">
        <v>258</v>
      </c>
      <c r="C8" s="48" t="s">
        <v>814</v>
      </c>
      <c r="D8" s="48" t="s">
        <v>815</v>
      </c>
      <c r="E8" s="48" t="s">
        <v>100</v>
      </c>
      <c r="F8" s="48" t="s">
        <v>797</v>
      </c>
      <c r="G8" s="48">
        <v>28</v>
      </c>
      <c r="H8" s="48">
        <v>26</v>
      </c>
      <c r="I8" s="48">
        <v>112</v>
      </c>
      <c r="J8" s="48" t="s">
        <v>748</v>
      </c>
    </row>
    <row r="9" spans="1:10" ht="39" customHeight="1" x14ac:dyDescent="0.2">
      <c r="A9" s="62" t="s">
        <v>816</v>
      </c>
      <c r="B9" s="60" t="s">
        <v>89</v>
      </c>
      <c r="C9" s="60" t="s">
        <v>817</v>
      </c>
      <c r="D9" s="60" t="s">
        <v>800</v>
      </c>
      <c r="E9" s="60" t="s">
        <v>100</v>
      </c>
      <c r="F9" s="60" t="s">
        <v>797</v>
      </c>
      <c r="G9" s="60">
        <v>40</v>
      </c>
      <c r="H9" s="60">
        <v>41</v>
      </c>
      <c r="I9" s="60">
        <v>180</v>
      </c>
      <c r="J9" s="49" t="s">
        <v>868</v>
      </c>
    </row>
    <row r="10" spans="1:10" ht="37" thickBot="1" x14ac:dyDescent="0.25">
      <c r="A10" s="61" t="s">
        <v>818</v>
      </c>
      <c r="B10" s="59" t="s">
        <v>119</v>
      </c>
      <c r="C10" s="59" t="s">
        <v>819</v>
      </c>
      <c r="D10" s="59" t="s">
        <v>792</v>
      </c>
      <c r="E10" s="59" t="s">
        <v>793</v>
      </c>
      <c r="F10" s="59" t="s">
        <v>797</v>
      </c>
      <c r="G10" s="59">
        <v>29</v>
      </c>
      <c r="H10" s="59">
        <v>29</v>
      </c>
      <c r="I10" s="59">
        <v>35</v>
      </c>
      <c r="J10" s="48" t="s">
        <v>103</v>
      </c>
    </row>
    <row r="11" spans="1:10" ht="49" hidden="1" customHeight="1" thickBot="1" x14ac:dyDescent="0.25">
      <c r="A11" s="50" t="s">
        <v>821</v>
      </c>
      <c r="B11" s="48" t="s">
        <v>175</v>
      </c>
      <c r="C11" s="48" t="s">
        <v>822</v>
      </c>
      <c r="D11" s="48" t="s">
        <v>815</v>
      </c>
      <c r="E11" s="48" t="s">
        <v>100</v>
      </c>
      <c r="F11" s="48" t="s">
        <v>797</v>
      </c>
      <c r="G11" s="48">
        <v>48</v>
      </c>
      <c r="H11" s="48">
        <v>48</v>
      </c>
      <c r="I11" s="48">
        <v>365</v>
      </c>
      <c r="J11" s="48" t="s">
        <v>801</v>
      </c>
    </row>
    <row r="12" spans="1:10" ht="37" customHeight="1" thickBot="1" x14ac:dyDescent="0.25">
      <c r="A12" s="51" t="s">
        <v>823</v>
      </c>
      <c r="B12" s="48" t="s">
        <v>175</v>
      </c>
      <c r="C12" s="48" t="s">
        <v>824</v>
      </c>
      <c r="D12" s="48" t="s">
        <v>815</v>
      </c>
      <c r="E12" s="48" t="s">
        <v>100</v>
      </c>
      <c r="F12" s="48" t="s">
        <v>797</v>
      </c>
      <c r="G12" s="48">
        <v>39</v>
      </c>
      <c r="H12" s="48">
        <v>39</v>
      </c>
      <c r="I12" s="48">
        <v>90</v>
      </c>
      <c r="J12" s="48" t="s">
        <v>238</v>
      </c>
    </row>
    <row r="13" spans="1:10" ht="49" thickBot="1" x14ac:dyDescent="0.25">
      <c r="A13" s="50" t="s">
        <v>825</v>
      </c>
      <c r="B13" s="48" t="s">
        <v>258</v>
      </c>
      <c r="C13" s="48" t="s">
        <v>826</v>
      </c>
      <c r="D13" s="48" t="s">
        <v>792</v>
      </c>
      <c r="E13" s="48" t="s">
        <v>793</v>
      </c>
      <c r="F13" s="48" t="s">
        <v>797</v>
      </c>
      <c r="G13" s="48">
        <v>20</v>
      </c>
      <c r="H13" s="48">
        <v>20</v>
      </c>
      <c r="I13" s="48">
        <v>49</v>
      </c>
      <c r="J13" s="48" t="s">
        <v>270</v>
      </c>
    </row>
    <row r="14" spans="1:10" ht="37" thickBot="1" x14ac:dyDescent="0.25">
      <c r="A14" s="50" t="s">
        <v>827</v>
      </c>
      <c r="B14" s="48" t="s">
        <v>279</v>
      </c>
      <c r="C14" s="48" t="s">
        <v>828</v>
      </c>
      <c r="D14" s="48" t="s">
        <v>792</v>
      </c>
      <c r="E14" s="48" t="s">
        <v>793</v>
      </c>
      <c r="F14" s="48" t="s">
        <v>797</v>
      </c>
      <c r="G14" s="48">
        <v>35</v>
      </c>
      <c r="H14" s="48" t="s">
        <v>829</v>
      </c>
      <c r="I14" s="48">
        <v>35</v>
      </c>
      <c r="J14" s="48" t="s">
        <v>820</v>
      </c>
    </row>
    <row r="15" spans="1:10" ht="37" thickBot="1" x14ac:dyDescent="0.25">
      <c r="A15" s="62" t="s">
        <v>830</v>
      </c>
      <c r="B15" s="60" t="s">
        <v>279</v>
      </c>
      <c r="C15" s="60" t="s">
        <v>831</v>
      </c>
      <c r="D15" s="60" t="s">
        <v>792</v>
      </c>
      <c r="E15" s="60" t="s">
        <v>793</v>
      </c>
      <c r="F15" s="64" t="s">
        <v>832</v>
      </c>
      <c r="G15" s="60">
        <v>10</v>
      </c>
      <c r="H15" s="60">
        <v>10</v>
      </c>
      <c r="I15" s="60">
        <v>56</v>
      </c>
      <c r="J15" s="49" t="s">
        <v>875</v>
      </c>
    </row>
    <row r="16" spans="1:10" ht="49" hidden="1" thickBot="1" x14ac:dyDescent="0.25">
      <c r="A16" s="62" t="s">
        <v>833</v>
      </c>
      <c r="B16" s="60" t="s">
        <v>334</v>
      </c>
      <c r="C16" s="60" t="s">
        <v>834</v>
      </c>
      <c r="D16" s="60" t="s">
        <v>792</v>
      </c>
      <c r="E16" s="60" t="s">
        <v>793</v>
      </c>
      <c r="F16" s="60" t="s">
        <v>797</v>
      </c>
      <c r="G16" s="60">
        <v>40</v>
      </c>
      <c r="H16" s="60">
        <v>40</v>
      </c>
      <c r="I16" s="60">
        <v>49</v>
      </c>
      <c r="J16" s="49" t="s">
        <v>872</v>
      </c>
    </row>
    <row r="17" spans="1:10" ht="37" thickBot="1" x14ac:dyDescent="0.25">
      <c r="A17" s="62" t="s">
        <v>835</v>
      </c>
      <c r="B17" s="60" t="s">
        <v>279</v>
      </c>
      <c r="C17" s="60" t="s">
        <v>388</v>
      </c>
      <c r="D17" s="60" t="s">
        <v>792</v>
      </c>
      <c r="E17" s="60" t="s">
        <v>793</v>
      </c>
      <c r="F17" s="60" t="s">
        <v>797</v>
      </c>
      <c r="G17" s="60">
        <v>30</v>
      </c>
      <c r="H17" s="60">
        <v>30</v>
      </c>
      <c r="I17" s="60">
        <v>35</v>
      </c>
      <c r="J17" s="49" t="s">
        <v>873</v>
      </c>
    </row>
    <row r="18" spans="1:10" ht="37" hidden="1" thickBot="1" x14ac:dyDescent="0.25">
      <c r="A18" s="61" t="s">
        <v>836</v>
      </c>
      <c r="B18" s="59" t="s">
        <v>279</v>
      </c>
      <c r="C18" s="59" t="s">
        <v>837</v>
      </c>
      <c r="D18" s="59" t="s">
        <v>792</v>
      </c>
      <c r="E18" s="59" t="s">
        <v>793</v>
      </c>
      <c r="F18" s="63" t="s">
        <v>838</v>
      </c>
      <c r="G18" s="59">
        <v>28</v>
      </c>
      <c r="H18" s="59">
        <v>26</v>
      </c>
      <c r="I18" s="59">
        <v>35</v>
      </c>
      <c r="J18" s="48" t="s">
        <v>820</v>
      </c>
    </row>
    <row r="19" spans="1:10" ht="30" customHeight="1" x14ac:dyDescent="0.2">
      <c r="A19" s="62" t="s">
        <v>839</v>
      </c>
      <c r="B19" s="60" t="s">
        <v>429</v>
      </c>
      <c r="C19" s="60" t="s">
        <v>840</v>
      </c>
      <c r="D19" s="60" t="s">
        <v>792</v>
      </c>
      <c r="E19" s="60" t="s">
        <v>793</v>
      </c>
      <c r="F19" s="60" t="s">
        <v>797</v>
      </c>
      <c r="G19" s="60">
        <v>59</v>
      </c>
      <c r="H19" s="60">
        <v>55</v>
      </c>
      <c r="I19" s="60">
        <v>56</v>
      </c>
      <c r="J19" s="49" t="s">
        <v>874</v>
      </c>
    </row>
    <row r="20" spans="1:10" ht="49" customHeight="1" thickBot="1" x14ac:dyDescent="0.25">
      <c r="A20" s="61" t="s">
        <v>841</v>
      </c>
      <c r="B20" s="59" t="s">
        <v>258</v>
      </c>
      <c r="C20" s="59" t="s">
        <v>450</v>
      </c>
      <c r="D20" s="59" t="s">
        <v>815</v>
      </c>
      <c r="E20" s="59" t="s">
        <v>842</v>
      </c>
      <c r="F20" s="59" t="s">
        <v>843</v>
      </c>
      <c r="G20" s="59">
        <v>35</v>
      </c>
      <c r="H20" s="59">
        <v>35</v>
      </c>
      <c r="I20" s="59">
        <v>90</v>
      </c>
      <c r="J20" s="52" t="s">
        <v>844</v>
      </c>
    </row>
    <row r="21" spans="1:10" ht="37" hidden="1" customHeight="1" thickBot="1" x14ac:dyDescent="0.25">
      <c r="A21" s="61" t="s">
        <v>845</v>
      </c>
      <c r="B21" s="59" t="s">
        <v>175</v>
      </c>
      <c r="C21" s="59" t="s">
        <v>487</v>
      </c>
      <c r="D21" s="59" t="s">
        <v>815</v>
      </c>
      <c r="E21" s="59" t="s">
        <v>100</v>
      </c>
      <c r="F21" s="59" t="s">
        <v>797</v>
      </c>
      <c r="G21" s="59">
        <v>20</v>
      </c>
      <c r="H21" s="59">
        <v>20</v>
      </c>
      <c r="I21" s="59">
        <v>14</v>
      </c>
      <c r="J21" s="48" t="s">
        <v>846</v>
      </c>
    </row>
    <row r="22" spans="1:10" ht="25" hidden="1" customHeight="1" thickBot="1" x14ac:dyDescent="0.25">
      <c r="A22" s="50" t="s">
        <v>847</v>
      </c>
      <c r="B22" s="48" t="s">
        <v>175</v>
      </c>
      <c r="C22" s="48" t="s">
        <v>848</v>
      </c>
      <c r="D22" s="48" t="s">
        <v>815</v>
      </c>
      <c r="E22" s="48" t="s">
        <v>100</v>
      </c>
      <c r="F22" s="48" t="s">
        <v>797</v>
      </c>
      <c r="G22" s="48">
        <v>19</v>
      </c>
      <c r="H22" s="48">
        <v>19</v>
      </c>
      <c r="I22" s="48">
        <v>365</v>
      </c>
      <c r="J22" s="48" t="s">
        <v>801</v>
      </c>
    </row>
    <row r="23" spans="1:10" ht="25" hidden="1" customHeight="1" thickBot="1" x14ac:dyDescent="0.25">
      <c r="A23" s="50" t="s">
        <v>849</v>
      </c>
      <c r="B23" s="48" t="s">
        <v>175</v>
      </c>
      <c r="C23" s="48" t="s">
        <v>850</v>
      </c>
      <c r="D23" s="48" t="s">
        <v>815</v>
      </c>
      <c r="E23" s="48" t="s">
        <v>100</v>
      </c>
      <c r="F23" s="48" t="s">
        <v>797</v>
      </c>
      <c r="G23" s="48">
        <v>26</v>
      </c>
      <c r="H23" s="48">
        <v>26</v>
      </c>
      <c r="I23" s="48">
        <v>365</v>
      </c>
      <c r="J23" s="48" t="s">
        <v>801</v>
      </c>
    </row>
    <row r="24" spans="1:10" ht="37" hidden="1" customHeight="1" thickBot="1" x14ac:dyDescent="0.25">
      <c r="A24" s="50" t="s">
        <v>851</v>
      </c>
      <c r="B24" s="48" t="s">
        <v>175</v>
      </c>
      <c r="C24" s="48" t="s">
        <v>852</v>
      </c>
      <c r="D24" s="48" t="s">
        <v>815</v>
      </c>
      <c r="E24" s="48" t="s">
        <v>100</v>
      </c>
      <c r="F24" s="48" t="s">
        <v>797</v>
      </c>
      <c r="G24" s="48">
        <v>40</v>
      </c>
      <c r="H24" s="48">
        <v>40</v>
      </c>
      <c r="I24" s="48">
        <v>365</v>
      </c>
      <c r="J24" s="48" t="s">
        <v>801</v>
      </c>
    </row>
    <row r="25" spans="1:10" ht="36" hidden="1" x14ac:dyDescent="0.2">
      <c r="A25" s="57" t="s">
        <v>853</v>
      </c>
      <c r="B25" s="56" t="s">
        <v>175</v>
      </c>
      <c r="C25" s="56" t="s">
        <v>564</v>
      </c>
      <c r="D25" s="56" t="s">
        <v>792</v>
      </c>
      <c r="E25" s="56" t="s">
        <v>842</v>
      </c>
      <c r="F25" s="56" t="s">
        <v>797</v>
      </c>
      <c r="G25" s="56">
        <v>39</v>
      </c>
      <c r="H25" s="56">
        <v>39</v>
      </c>
      <c r="I25" s="56">
        <v>365</v>
      </c>
      <c r="J25" s="49" t="s">
        <v>869</v>
      </c>
    </row>
    <row r="26" spans="1:10" ht="24" hidden="1" customHeight="1" thickBot="1" x14ac:dyDescent="0.25">
      <c r="A26" s="57" t="s">
        <v>854</v>
      </c>
      <c r="B26" s="56" t="s">
        <v>175</v>
      </c>
      <c r="C26" s="56" t="s">
        <v>855</v>
      </c>
      <c r="D26" s="56" t="s">
        <v>815</v>
      </c>
      <c r="E26" s="56" t="s">
        <v>100</v>
      </c>
      <c r="F26" s="56" t="s">
        <v>797</v>
      </c>
      <c r="G26" s="56">
        <v>64</v>
      </c>
      <c r="H26" s="56">
        <v>64</v>
      </c>
      <c r="I26" s="56">
        <v>365</v>
      </c>
      <c r="J26" s="49" t="s">
        <v>870</v>
      </c>
    </row>
    <row r="27" spans="1:10" ht="36" hidden="1" customHeight="1" x14ac:dyDescent="0.2">
      <c r="A27" s="57" t="s">
        <v>856</v>
      </c>
      <c r="B27" s="56" t="s">
        <v>175</v>
      </c>
      <c r="C27" s="56" t="s">
        <v>857</v>
      </c>
      <c r="D27" s="56" t="s">
        <v>815</v>
      </c>
      <c r="E27" s="56" t="s">
        <v>100</v>
      </c>
      <c r="F27" s="56" t="s">
        <v>549</v>
      </c>
      <c r="G27" s="56">
        <v>70</v>
      </c>
      <c r="H27" s="56">
        <v>71</v>
      </c>
      <c r="I27" s="56">
        <v>365</v>
      </c>
      <c r="J27" s="49" t="s">
        <v>871</v>
      </c>
    </row>
    <row r="28" spans="1:10" ht="25" hidden="1" customHeight="1" thickBot="1" x14ac:dyDescent="0.25">
      <c r="A28" s="50" t="s">
        <v>858</v>
      </c>
      <c r="B28" s="48" t="s">
        <v>175</v>
      </c>
      <c r="C28" s="48" t="s">
        <v>859</v>
      </c>
      <c r="D28" s="48" t="s">
        <v>815</v>
      </c>
      <c r="E28" s="48" t="s">
        <v>100</v>
      </c>
      <c r="F28" s="48" t="s">
        <v>797</v>
      </c>
      <c r="G28" s="48">
        <v>25</v>
      </c>
      <c r="H28" s="48">
        <v>25</v>
      </c>
      <c r="I28" s="48">
        <v>365</v>
      </c>
      <c r="J28" s="48" t="s">
        <v>801</v>
      </c>
    </row>
    <row r="31" spans="1:10" x14ac:dyDescent="0.2">
      <c r="A31" s="53"/>
    </row>
    <row r="32" spans="1:10" x14ac:dyDescent="0.2">
      <c r="A32" s="53"/>
    </row>
    <row r="33" spans="1:1" x14ac:dyDescent="0.2">
      <c r="A33" s="53"/>
    </row>
    <row r="34" spans="1:1" x14ac:dyDescent="0.2">
      <c r="A34" s="53"/>
    </row>
    <row r="35" spans="1:1" x14ac:dyDescent="0.2">
      <c r="A35" s="53"/>
    </row>
    <row r="36" spans="1:1" x14ac:dyDescent="0.2">
      <c r="A36" s="53"/>
    </row>
  </sheetData>
  <autoFilter ref="A1:J28" xr:uid="{F2F73D98-846F-A04D-81FD-E999D2147C1E}">
    <filterColumn colId="0">
      <filters>
        <filter val="Amit 200826"/>
        <filter val="Govindakumari 202021"/>
        <filter val="Guerra 201127"/>
        <filter val="Hinton 202020"/>
        <filter val="Liu 201729 [1]"/>
        <filter val="Lök 201730"/>
        <filter val="Mahdavi 201731"/>
        <filter val="Mercedeh 201432"/>
        <filter val="Pahlavanzadeh 201034"/>
        <filter val="Shata 201736"/>
        <filter val="Söylemez 201637"/>
        <filter val="Uyar 201925"/>
      </filters>
    </filterColumn>
    <filterColumn colId="6" showButton="0"/>
  </autoFilter>
  <hyperlinks>
    <hyperlink ref="A12" r:id="rId1" location="_ftn1" display="applewebdata://0B7A3ABE-B793-4695-9843-B546E49B4176/ - _ftn1" xr:uid="{7133C8BD-F9AF-5147-9DEE-00CE7C1925F2}"/>
    <hyperlink ref="F15" r:id="rId2" location="_ftn4" display="applewebdata://0B7A3ABE-B793-4695-9843-B546E49B4176/ - _ftn4" xr:uid="{41735347-D439-3647-AA38-82E935A1E806}"/>
    <hyperlink ref="F18" r:id="rId3" location="_ftn5" display="applewebdata://0B7A3ABE-B793-4695-9843-B546E49B4176/ - _ftn5" xr:uid="{9A7A8A8E-49D9-E747-98B6-E86F4136659E}"/>
    <hyperlink ref="J20" r:id="rId4" location="_ftn6" display="applewebdata://0B7A3ABE-B793-4695-9843-B546E49B4176/ - _ftn6" xr:uid="{6AC5F8C9-2AE4-E441-B102-5FCD3ED38E2D}"/>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5B887-0FAF-1048-A68A-0D8CABECA339}">
  <dimension ref="A1:AI31"/>
  <sheetViews>
    <sheetView topLeftCell="Z1" workbookViewId="0">
      <selection activeCell="A2" sqref="A2:A31"/>
    </sheetView>
  </sheetViews>
  <sheetFormatPr baseColWidth="10" defaultRowHeight="15" x14ac:dyDescent="0.2"/>
  <sheetData>
    <row r="1" spans="1:3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2">
      <c r="A2" t="s">
        <v>86</v>
      </c>
      <c r="B2">
        <v>2008</v>
      </c>
      <c r="C2" t="s">
        <v>104</v>
      </c>
      <c r="D2" t="s">
        <v>105</v>
      </c>
      <c r="E2" t="s">
        <v>106</v>
      </c>
      <c r="F2" t="s">
        <v>89</v>
      </c>
      <c r="G2" t="s">
        <v>90</v>
      </c>
      <c r="H2" t="s">
        <v>91</v>
      </c>
      <c r="I2" t="s">
        <v>54</v>
      </c>
      <c r="J2" t="s">
        <v>92</v>
      </c>
      <c r="K2" t="s">
        <v>56</v>
      </c>
      <c r="L2" t="s">
        <v>93</v>
      </c>
      <c r="M2" t="s">
        <v>58</v>
      </c>
      <c r="N2" t="s">
        <v>93</v>
      </c>
      <c r="O2" t="s">
        <v>57</v>
      </c>
      <c r="P2" t="s">
        <v>58</v>
      </c>
      <c r="Q2" t="s">
        <v>57</v>
      </c>
      <c r="R2" t="s">
        <v>107</v>
      </c>
      <c r="S2" t="s">
        <v>108</v>
      </c>
      <c r="T2" t="s">
        <v>109</v>
      </c>
      <c r="U2" t="s">
        <v>110</v>
      </c>
      <c r="X2" t="s">
        <v>111</v>
      </c>
      <c r="AB2" t="s">
        <v>112</v>
      </c>
      <c r="AH2" t="s">
        <v>64</v>
      </c>
    </row>
    <row r="3" spans="1:35" x14ac:dyDescent="0.2">
      <c r="A3" s="8" t="s">
        <v>698</v>
      </c>
      <c r="B3" s="8">
        <v>2020</v>
      </c>
      <c r="C3" s="8" t="s">
        <v>699</v>
      </c>
      <c r="D3" s="8" t="s">
        <v>49</v>
      </c>
      <c r="E3" s="8" t="s">
        <v>75</v>
      </c>
      <c r="F3" s="8" t="s">
        <v>175</v>
      </c>
      <c r="G3" s="8" t="s">
        <v>700</v>
      </c>
      <c r="H3" s="8" t="s">
        <v>701</v>
      </c>
      <c r="I3" s="8" t="s">
        <v>695</v>
      </c>
      <c r="J3" s="8" t="s">
        <v>702</v>
      </c>
      <c r="K3" s="8" t="s">
        <v>703</v>
      </c>
      <c r="L3" s="8" t="s">
        <v>93</v>
      </c>
      <c r="M3" s="8" t="s">
        <v>57</v>
      </c>
      <c r="N3" s="8" t="s">
        <v>93</v>
      </c>
      <c r="O3" s="8" t="s">
        <v>93</v>
      </c>
      <c r="P3" s="8" t="s">
        <v>93</v>
      </c>
      <c r="Q3" s="8" t="s">
        <v>58</v>
      </c>
      <c r="R3" s="8"/>
      <c r="S3" s="10">
        <v>0.52800000000000002</v>
      </c>
      <c r="T3" s="8"/>
      <c r="U3" s="8"/>
      <c r="V3" s="8"/>
      <c r="W3" s="8"/>
      <c r="X3" s="8" t="s">
        <v>736</v>
      </c>
      <c r="Y3" s="8"/>
      <c r="Z3" s="8"/>
      <c r="AA3" s="8" t="s">
        <v>395</v>
      </c>
      <c r="AB3" s="8"/>
      <c r="AC3" s="8"/>
      <c r="AD3" s="8"/>
      <c r="AE3" s="8"/>
      <c r="AF3" s="8"/>
      <c r="AG3" s="8"/>
      <c r="AH3" s="8"/>
      <c r="AI3" s="8"/>
    </row>
    <row r="4" spans="1:35" x14ac:dyDescent="0.2">
      <c r="A4" s="8" t="s">
        <v>713</v>
      </c>
      <c r="B4" s="8">
        <v>2019</v>
      </c>
      <c r="C4" s="8" t="s">
        <v>118</v>
      </c>
      <c r="D4" s="8" t="s">
        <v>49</v>
      </c>
      <c r="E4" s="8" t="s">
        <v>75</v>
      </c>
      <c r="F4" s="8" t="s">
        <v>279</v>
      </c>
      <c r="G4" s="8" t="s">
        <v>714</v>
      </c>
      <c r="H4" s="8" t="s">
        <v>715</v>
      </c>
      <c r="I4" s="8" t="s">
        <v>716</v>
      </c>
      <c r="J4" s="8" t="s">
        <v>452</v>
      </c>
      <c r="K4" s="8" t="s">
        <v>56</v>
      </c>
      <c r="L4" s="8" t="s">
        <v>712</v>
      </c>
      <c r="M4" s="8" t="s">
        <v>57</v>
      </c>
      <c r="N4" s="8" t="s">
        <v>93</v>
      </c>
      <c r="O4" s="8" t="s">
        <v>58</v>
      </c>
      <c r="P4" s="8" t="s">
        <v>58</v>
      </c>
      <c r="Q4" s="8" t="s">
        <v>57</v>
      </c>
      <c r="R4" s="8" t="s">
        <v>724</v>
      </c>
      <c r="S4" s="8"/>
      <c r="T4" s="8" t="s">
        <v>730</v>
      </c>
      <c r="U4" s="9">
        <v>0.88</v>
      </c>
      <c r="V4" s="8"/>
      <c r="W4" s="8"/>
      <c r="X4" s="8" t="s">
        <v>741</v>
      </c>
      <c r="Y4" s="8"/>
      <c r="Z4" s="8"/>
      <c r="AA4" s="8" t="s">
        <v>395</v>
      </c>
      <c r="AB4" s="8"/>
      <c r="AC4" s="8"/>
      <c r="AD4" s="8"/>
      <c r="AE4" s="8"/>
      <c r="AF4" s="8"/>
      <c r="AG4" s="8"/>
      <c r="AH4" s="8"/>
      <c r="AI4" s="8"/>
    </row>
    <row r="5" spans="1:35" x14ac:dyDescent="0.2">
      <c r="A5" s="8" t="s">
        <v>708</v>
      </c>
      <c r="B5" s="8">
        <v>2020</v>
      </c>
      <c r="C5" s="8" t="s">
        <v>312</v>
      </c>
      <c r="D5" s="8" t="s">
        <v>105</v>
      </c>
      <c r="E5" s="8" t="s">
        <v>106</v>
      </c>
      <c r="F5" s="8" t="s">
        <v>89</v>
      </c>
      <c r="G5" s="8" t="s">
        <v>709</v>
      </c>
      <c r="H5" s="8" t="s">
        <v>710</v>
      </c>
      <c r="I5" s="8" t="s">
        <v>711</v>
      </c>
      <c r="J5" s="8" t="s">
        <v>452</v>
      </c>
      <c r="K5" s="8" t="s">
        <v>56</v>
      </c>
      <c r="L5" s="8" t="s">
        <v>712</v>
      </c>
      <c r="M5" s="8" t="s">
        <v>712</v>
      </c>
      <c r="N5" s="8" t="s">
        <v>57</v>
      </c>
      <c r="O5" s="8" t="s">
        <v>57</v>
      </c>
      <c r="P5" s="8" t="s">
        <v>57</v>
      </c>
      <c r="Q5" s="8" t="s">
        <v>57</v>
      </c>
      <c r="R5" s="8"/>
      <c r="S5" s="8"/>
      <c r="T5" s="8"/>
      <c r="U5" s="8"/>
      <c r="V5" s="8"/>
      <c r="W5" s="8"/>
      <c r="X5" s="8" t="s">
        <v>739</v>
      </c>
      <c r="Y5" s="8"/>
      <c r="Z5" s="8"/>
      <c r="AA5" s="8" t="s">
        <v>395</v>
      </c>
      <c r="AB5" s="8"/>
      <c r="AC5" s="8"/>
      <c r="AD5" s="8"/>
      <c r="AE5" s="8"/>
      <c r="AF5" s="8"/>
      <c r="AG5" s="8"/>
      <c r="AH5" s="8"/>
      <c r="AI5" s="8"/>
    </row>
    <row r="6" spans="1:35" x14ac:dyDescent="0.2">
      <c r="A6" t="s">
        <v>117</v>
      </c>
      <c r="B6">
        <v>2011</v>
      </c>
      <c r="C6" t="s">
        <v>118</v>
      </c>
      <c r="D6" t="s">
        <v>105</v>
      </c>
      <c r="E6" t="s">
        <v>106</v>
      </c>
      <c r="F6" t="s">
        <v>119</v>
      </c>
      <c r="G6" t="s">
        <v>120</v>
      </c>
      <c r="H6" t="s">
        <v>91</v>
      </c>
      <c r="I6" t="s">
        <v>54</v>
      </c>
      <c r="J6" t="s">
        <v>121</v>
      </c>
      <c r="K6" t="s">
        <v>56</v>
      </c>
      <c r="L6" t="s">
        <v>93</v>
      </c>
      <c r="M6" t="s">
        <v>58</v>
      </c>
      <c r="N6" t="s">
        <v>93</v>
      </c>
      <c r="O6" t="s">
        <v>57</v>
      </c>
      <c r="P6" t="s">
        <v>58</v>
      </c>
      <c r="Q6" t="s">
        <v>57</v>
      </c>
      <c r="R6" t="s">
        <v>122</v>
      </c>
      <c r="S6" t="s">
        <v>123</v>
      </c>
      <c r="T6" t="s">
        <v>124</v>
      </c>
      <c r="U6" t="s">
        <v>125</v>
      </c>
      <c r="X6" t="s">
        <v>126</v>
      </c>
      <c r="AB6" t="s">
        <v>127</v>
      </c>
      <c r="AH6" t="s">
        <v>64</v>
      </c>
    </row>
    <row r="7" spans="1:35" x14ac:dyDescent="0.2">
      <c r="A7" s="8" t="s">
        <v>691</v>
      </c>
      <c r="B7" s="8">
        <v>2020</v>
      </c>
      <c r="C7" s="8" t="s">
        <v>692</v>
      </c>
      <c r="D7" s="8" t="s">
        <v>105</v>
      </c>
      <c r="E7" s="8" t="s">
        <v>106</v>
      </c>
      <c r="F7" s="8" t="s">
        <v>747</v>
      </c>
      <c r="G7" s="8" t="s">
        <v>693</v>
      </c>
      <c r="H7" s="8" t="s">
        <v>694</v>
      </c>
      <c r="I7" s="8" t="s">
        <v>695</v>
      </c>
      <c r="J7" s="8" t="s">
        <v>696</v>
      </c>
      <c r="K7" s="8" t="s">
        <v>56</v>
      </c>
      <c r="L7" s="8" t="s">
        <v>93</v>
      </c>
      <c r="M7" s="8" t="s">
        <v>58</v>
      </c>
      <c r="N7" s="8" t="s">
        <v>93</v>
      </c>
      <c r="O7" s="8" t="s">
        <v>58</v>
      </c>
      <c r="P7" s="8" t="s">
        <v>93</v>
      </c>
      <c r="Q7" s="8" t="s">
        <v>93</v>
      </c>
      <c r="R7" s="8"/>
      <c r="S7" s="9">
        <v>0.76</v>
      </c>
      <c r="T7" s="8" t="s">
        <v>726</v>
      </c>
      <c r="U7" s="9">
        <v>0.92</v>
      </c>
      <c r="V7" s="8"/>
      <c r="W7" s="8"/>
      <c r="X7" s="8" t="s">
        <v>734</v>
      </c>
      <c r="Y7" s="8"/>
      <c r="Z7" s="8"/>
      <c r="AA7" s="8" t="s">
        <v>395</v>
      </c>
      <c r="AB7" s="8"/>
      <c r="AC7" s="8"/>
      <c r="AD7" s="8"/>
      <c r="AE7" s="8"/>
      <c r="AF7" s="8"/>
      <c r="AG7" s="8"/>
      <c r="AH7" s="8"/>
      <c r="AI7" s="8"/>
    </row>
    <row r="8" spans="1:35" x14ac:dyDescent="0.2">
      <c r="A8" t="s">
        <v>173</v>
      </c>
      <c r="B8">
        <v>2012</v>
      </c>
      <c r="C8" t="s">
        <v>190</v>
      </c>
      <c r="D8" t="s">
        <v>191</v>
      </c>
      <c r="E8" t="s">
        <v>192</v>
      </c>
      <c r="F8" t="s">
        <v>175</v>
      </c>
      <c r="G8" t="s">
        <v>176</v>
      </c>
      <c r="H8" t="s">
        <v>53</v>
      </c>
      <c r="I8" t="s">
        <v>54</v>
      </c>
      <c r="J8" t="s">
        <v>92</v>
      </c>
      <c r="K8" t="s">
        <v>177</v>
      </c>
      <c r="L8" t="s">
        <v>58</v>
      </c>
      <c r="M8" t="s">
        <v>58</v>
      </c>
      <c r="N8" t="s">
        <v>93</v>
      </c>
      <c r="O8" t="s">
        <v>58</v>
      </c>
      <c r="P8" t="s">
        <v>58</v>
      </c>
      <c r="Q8" t="s">
        <v>58</v>
      </c>
      <c r="S8" t="s">
        <v>197</v>
      </c>
      <c r="X8" t="s">
        <v>198</v>
      </c>
      <c r="AB8" t="s">
        <v>199</v>
      </c>
      <c r="AH8" t="s">
        <v>200</v>
      </c>
    </row>
    <row r="9" spans="1:35" x14ac:dyDescent="0.2">
      <c r="A9" t="s">
        <v>226</v>
      </c>
      <c r="B9">
        <v>2017</v>
      </c>
      <c r="C9" t="s">
        <v>227</v>
      </c>
      <c r="D9" t="s">
        <v>105</v>
      </c>
      <c r="E9" t="s">
        <v>106</v>
      </c>
      <c r="F9" t="s">
        <v>175</v>
      </c>
      <c r="G9" t="s">
        <v>228</v>
      </c>
      <c r="H9" t="s">
        <v>91</v>
      </c>
      <c r="I9" t="s">
        <v>54</v>
      </c>
      <c r="J9" t="s">
        <v>121</v>
      </c>
      <c r="K9" t="s">
        <v>56</v>
      </c>
      <c r="L9" t="s">
        <v>58</v>
      </c>
      <c r="M9" t="s">
        <v>58</v>
      </c>
      <c r="N9" t="s">
        <v>93</v>
      </c>
      <c r="O9" t="s">
        <v>58</v>
      </c>
      <c r="P9" t="s">
        <v>58</v>
      </c>
      <c r="Q9" t="s">
        <v>58</v>
      </c>
      <c r="T9" t="s">
        <v>229</v>
      </c>
      <c r="U9" t="s">
        <v>230</v>
      </c>
      <c r="V9" t="s">
        <v>231</v>
      </c>
      <c r="X9" t="s">
        <v>232</v>
      </c>
      <c r="AB9" t="s">
        <v>233</v>
      </c>
      <c r="AH9" t="s">
        <v>64</v>
      </c>
    </row>
    <row r="10" spans="1:35" x14ac:dyDescent="0.2">
      <c r="A10" t="s">
        <v>256</v>
      </c>
      <c r="B10">
        <v>2017</v>
      </c>
      <c r="C10" t="s">
        <v>257</v>
      </c>
      <c r="D10" t="s">
        <v>49</v>
      </c>
      <c r="E10" t="s">
        <v>75</v>
      </c>
      <c r="F10" t="s">
        <v>258</v>
      </c>
      <c r="G10" t="s">
        <v>259</v>
      </c>
      <c r="H10" t="s">
        <v>91</v>
      </c>
      <c r="I10" t="s">
        <v>54</v>
      </c>
      <c r="J10" t="s">
        <v>260</v>
      </c>
      <c r="K10" t="s">
        <v>56</v>
      </c>
      <c r="L10" t="s">
        <v>58</v>
      </c>
      <c r="M10" t="s">
        <v>57</v>
      </c>
      <c r="N10" t="s">
        <v>57</v>
      </c>
      <c r="O10" t="s">
        <v>57</v>
      </c>
      <c r="P10" t="s">
        <v>58</v>
      </c>
      <c r="Q10" t="s">
        <v>57</v>
      </c>
      <c r="S10" t="s">
        <v>261</v>
      </c>
      <c r="T10" t="s">
        <v>262</v>
      </c>
      <c r="U10" t="s">
        <v>263</v>
      </c>
      <c r="X10" t="s">
        <v>264</v>
      </c>
      <c r="AB10" t="s">
        <v>265</v>
      </c>
      <c r="AH10" t="s">
        <v>64</v>
      </c>
    </row>
    <row r="11" spans="1:35" x14ac:dyDescent="0.2">
      <c r="A11" t="s">
        <v>277</v>
      </c>
      <c r="B11">
        <v>2017</v>
      </c>
      <c r="C11" t="s">
        <v>278</v>
      </c>
      <c r="D11" t="s">
        <v>49</v>
      </c>
      <c r="E11" t="s">
        <v>50</v>
      </c>
      <c r="F11" t="s">
        <v>279</v>
      </c>
      <c r="G11" t="s">
        <v>280</v>
      </c>
      <c r="H11" t="s">
        <v>53</v>
      </c>
      <c r="I11" t="s">
        <v>54</v>
      </c>
      <c r="J11" t="s">
        <v>260</v>
      </c>
      <c r="K11" t="s">
        <v>56</v>
      </c>
      <c r="L11" t="s">
        <v>58</v>
      </c>
      <c r="M11" t="s">
        <v>57</v>
      </c>
      <c r="N11" t="s">
        <v>57</v>
      </c>
      <c r="O11" t="s">
        <v>57</v>
      </c>
      <c r="P11" t="s">
        <v>57</v>
      </c>
      <c r="Q11" t="s">
        <v>57</v>
      </c>
      <c r="X11" t="s">
        <v>281</v>
      </c>
      <c r="AB11" t="s">
        <v>282</v>
      </c>
      <c r="AH11" t="s">
        <v>283</v>
      </c>
    </row>
    <row r="12" spans="1:35" x14ac:dyDescent="0.2">
      <c r="A12" t="s">
        <v>277</v>
      </c>
      <c r="B12">
        <v>2017</v>
      </c>
      <c r="C12" t="s">
        <v>295</v>
      </c>
      <c r="D12" t="s">
        <v>49</v>
      </c>
      <c r="E12" t="s">
        <v>50</v>
      </c>
      <c r="F12" t="s">
        <v>279</v>
      </c>
      <c r="G12" t="s">
        <v>280</v>
      </c>
      <c r="H12" t="s">
        <v>53</v>
      </c>
      <c r="I12" t="s">
        <v>54</v>
      </c>
      <c r="J12" t="s">
        <v>260</v>
      </c>
      <c r="K12" t="s">
        <v>56</v>
      </c>
      <c r="L12" t="s">
        <v>58</v>
      </c>
      <c r="M12" t="s">
        <v>57</v>
      </c>
      <c r="N12" t="s">
        <v>57</v>
      </c>
      <c r="O12" t="s">
        <v>57</v>
      </c>
      <c r="P12" t="s">
        <v>57</v>
      </c>
      <c r="Q12" t="s">
        <v>57</v>
      </c>
      <c r="X12" t="s">
        <v>296</v>
      </c>
      <c r="AB12" t="s">
        <v>297</v>
      </c>
      <c r="AH12" t="s">
        <v>283</v>
      </c>
    </row>
    <row r="13" spans="1:35" x14ac:dyDescent="0.2">
      <c r="A13" t="s">
        <v>303</v>
      </c>
      <c r="B13">
        <v>2014</v>
      </c>
      <c r="C13" t="s">
        <v>312</v>
      </c>
      <c r="D13" t="s">
        <v>49</v>
      </c>
      <c r="E13" t="s">
        <v>50</v>
      </c>
      <c r="F13" t="s">
        <v>279</v>
      </c>
      <c r="G13" t="s">
        <v>305</v>
      </c>
      <c r="H13" t="s">
        <v>53</v>
      </c>
      <c r="I13" t="s">
        <v>54</v>
      </c>
      <c r="J13" t="s">
        <v>260</v>
      </c>
      <c r="L13" t="s">
        <v>57</v>
      </c>
      <c r="M13" t="s">
        <v>57</v>
      </c>
      <c r="N13" t="s">
        <v>57</v>
      </c>
      <c r="O13" t="s">
        <v>57</v>
      </c>
      <c r="P13" t="s">
        <v>58</v>
      </c>
      <c r="Q13" t="s">
        <v>57</v>
      </c>
      <c r="U13" t="s">
        <v>306</v>
      </c>
    </row>
    <row r="14" spans="1:35" x14ac:dyDescent="0.2">
      <c r="A14" t="s">
        <v>332</v>
      </c>
      <c r="B14">
        <v>2018</v>
      </c>
      <c r="C14" t="s">
        <v>333</v>
      </c>
      <c r="D14" t="s">
        <v>49</v>
      </c>
      <c r="E14" t="s">
        <v>75</v>
      </c>
      <c r="F14" t="s">
        <v>334</v>
      </c>
      <c r="G14" t="s">
        <v>335</v>
      </c>
      <c r="H14" t="s">
        <v>91</v>
      </c>
      <c r="I14" t="s">
        <v>54</v>
      </c>
      <c r="J14" t="s">
        <v>92</v>
      </c>
      <c r="K14" t="s">
        <v>56</v>
      </c>
      <c r="L14" t="s">
        <v>58</v>
      </c>
      <c r="M14" t="s">
        <v>58</v>
      </c>
      <c r="N14" t="s">
        <v>93</v>
      </c>
      <c r="O14" t="s">
        <v>57</v>
      </c>
      <c r="P14" t="s">
        <v>58</v>
      </c>
      <c r="Q14" t="s">
        <v>57</v>
      </c>
      <c r="T14" t="s">
        <v>336</v>
      </c>
      <c r="U14" t="s">
        <v>337</v>
      </c>
      <c r="X14" t="s">
        <v>338</v>
      </c>
      <c r="AB14" t="s">
        <v>339</v>
      </c>
      <c r="AH14" t="s">
        <v>64</v>
      </c>
    </row>
    <row r="15" spans="1:35" x14ac:dyDescent="0.2">
      <c r="A15" t="s">
        <v>376</v>
      </c>
      <c r="B15">
        <v>2010</v>
      </c>
      <c r="C15" t="s">
        <v>388</v>
      </c>
      <c r="D15" t="s">
        <v>49</v>
      </c>
      <c r="E15" t="s">
        <v>75</v>
      </c>
      <c r="F15" t="s">
        <v>279</v>
      </c>
      <c r="G15" t="s">
        <v>377</v>
      </c>
      <c r="H15" t="s">
        <v>91</v>
      </c>
      <c r="I15" t="s">
        <v>54</v>
      </c>
      <c r="J15" t="s">
        <v>260</v>
      </c>
      <c r="K15" t="s">
        <v>56</v>
      </c>
      <c r="L15" t="s">
        <v>58</v>
      </c>
      <c r="M15" t="s">
        <v>57</v>
      </c>
      <c r="N15" t="s">
        <v>57</v>
      </c>
      <c r="O15" t="s">
        <v>57</v>
      </c>
      <c r="P15" t="s">
        <v>58</v>
      </c>
      <c r="Q15" t="s">
        <v>57</v>
      </c>
      <c r="R15" t="s">
        <v>389</v>
      </c>
      <c r="S15" t="s">
        <v>390</v>
      </c>
      <c r="T15" t="s">
        <v>391</v>
      </c>
      <c r="U15" t="s">
        <v>392</v>
      </c>
      <c r="X15" t="s">
        <v>393</v>
      </c>
      <c r="AB15" t="s">
        <v>394</v>
      </c>
      <c r="AH15" t="s">
        <v>395</v>
      </c>
    </row>
    <row r="16" spans="1:35" x14ac:dyDescent="0.2">
      <c r="A16" s="8" t="s">
        <v>717</v>
      </c>
      <c r="B16" s="8">
        <v>2019</v>
      </c>
      <c r="C16" s="8" t="s">
        <v>118</v>
      </c>
      <c r="D16" s="8" t="s">
        <v>49</v>
      </c>
      <c r="E16" s="8" t="s">
        <v>75</v>
      </c>
      <c r="F16" s="8" t="s">
        <v>175</v>
      </c>
      <c r="G16" s="8" t="s">
        <v>718</v>
      </c>
      <c r="H16" s="8" t="s">
        <v>719</v>
      </c>
      <c r="I16" s="8" t="s">
        <v>54</v>
      </c>
      <c r="J16" s="8" t="s">
        <v>121</v>
      </c>
      <c r="K16" s="8" t="s">
        <v>56</v>
      </c>
      <c r="L16" s="8" t="s">
        <v>93</v>
      </c>
      <c r="M16" s="8" t="s">
        <v>712</v>
      </c>
      <c r="N16" s="8" t="s">
        <v>58</v>
      </c>
      <c r="O16" s="8" t="s">
        <v>58</v>
      </c>
      <c r="P16" s="8" t="s">
        <v>58</v>
      </c>
      <c r="Q16" s="8" t="s">
        <v>58</v>
      </c>
      <c r="R16" s="8"/>
      <c r="S16" s="10">
        <v>0.71430000000000005</v>
      </c>
      <c r="T16" s="8" t="s">
        <v>732</v>
      </c>
      <c r="U16" s="10">
        <v>0.55359999999999998</v>
      </c>
      <c r="V16" s="8"/>
      <c r="W16" s="8"/>
      <c r="X16" s="8" t="s">
        <v>743</v>
      </c>
      <c r="Y16" s="8"/>
      <c r="Z16" s="8"/>
      <c r="AA16" s="8" t="s">
        <v>395</v>
      </c>
      <c r="AB16" s="8"/>
      <c r="AC16" s="8"/>
      <c r="AD16" s="8"/>
      <c r="AE16" s="8"/>
      <c r="AF16" s="8"/>
      <c r="AG16" s="8"/>
      <c r="AH16" s="8"/>
      <c r="AI16" s="8"/>
    </row>
    <row r="17" spans="1:35" x14ac:dyDescent="0.2">
      <c r="A17" t="s">
        <v>405</v>
      </c>
      <c r="B17">
        <v>2017</v>
      </c>
      <c r="C17" t="s">
        <v>417</v>
      </c>
      <c r="D17" t="s">
        <v>49</v>
      </c>
      <c r="E17" t="s">
        <v>75</v>
      </c>
      <c r="F17" t="s">
        <v>279</v>
      </c>
      <c r="G17" t="s">
        <v>406</v>
      </c>
      <c r="H17" t="s">
        <v>53</v>
      </c>
      <c r="I17" t="s">
        <v>54</v>
      </c>
      <c r="J17" t="s">
        <v>260</v>
      </c>
      <c r="K17" t="s">
        <v>56</v>
      </c>
      <c r="L17" t="s">
        <v>58</v>
      </c>
      <c r="M17" t="s">
        <v>57</v>
      </c>
      <c r="N17" t="s">
        <v>57</v>
      </c>
      <c r="O17" t="s">
        <v>57</v>
      </c>
      <c r="P17" t="s">
        <v>58</v>
      </c>
      <c r="Q17" t="s">
        <v>57</v>
      </c>
      <c r="T17" t="s">
        <v>418</v>
      </c>
      <c r="U17" t="s">
        <v>419</v>
      </c>
      <c r="V17" t="s">
        <v>420</v>
      </c>
      <c r="X17" t="s">
        <v>421</v>
      </c>
      <c r="AB17" t="s">
        <v>422</v>
      </c>
      <c r="AH17" t="s">
        <v>64</v>
      </c>
    </row>
    <row r="18" spans="1:35" x14ac:dyDescent="0.2">
      <c r="A18" t="s">
        <v>427</v>
      </c>
      <c r="B18">
        <v>2017</v>
      </c>
      <c r="C18" t="s">
        <v>439</v>
      </c>
      <c r="D18" t="s">
        <v>49</v>
      </c>
      <c r="E18" t="s">
        <v>50</v>
      </c>
      <c r="F18" t="s">
        <v>429</v>
      </c>
      <c r="G18" t="s">
        <v>430</v>
      </c>
      <c r="H18" t="s">
        <v>91</v>
      </c>
      <c r="I18" t="s">
        <v>54</v>
      </c>
      <c r="J18" t="s">
        <v>260</v>
      </c>
      <c r="K18" t="s">
        <v>56</v>
      </c>
      <c r="L18" t="s">
        <v>93</v>
      </c>
      <c r="M18" t="s">
        <v>57</v>
      </c>
      <c r="N18" t="s">
        <v>57</v>
      </c>
      <c r="O18" t="s">
        <v>57</v>
      </c>
      <c r="P18" t="s">
        <v>58</v>
      </c>
      <c r="Q18" t="s">
        <v>57</v>
      </c>
      <c r="T18" t="s">
        <v>440</v>
      </c>
      <c r="U18" t="s">
        <v>441</v>
      </c>
      <c r="X18" t="s">
        <v>442</v>
      </c>
      <c r="AB18" t="s">
        <v>443</v>
      </c>
      <c r="AH18" t="s">
        <v>64</v>
      </c>
    </row>
    <row r="19" spans="1:35" x14ac:dyDescent="0.2">
      <c r="A19" t="s">
        <v>449</v>
      </c>
      <c r="B19">
        <v>2016</v>
      </c>
      <c r="C19" t="s">
        <v>450</v>
      </c>
      <c r="D19" t="s">
        <v>49</v>
      </c>
      <c r="E19" t="s">
        <v>75</v>
      </c>
      <c r="F19" t="s">
        <v>258</v>
      </c>
      <c r="G19" t="s">
        <v>451</v>
      </c>
      <c r="H19" t="s">
        <v>53</v>
      </c>
      <c r="I19" t="s">
        <v>54</v>
      </c>
      <c r="J19" t="s">
        <v>452</v>
      </c>
      <c r="K19" t="s">
        <v>56</v>
      </c>
      <c r="L19" t="s">
        <v>58</v>
      </c>
      <c r="M19" t="s">
        <v>58</v>
      </c>
      <c r="N19" t="s">
        <v>58</v>
      </c>
      <c r="O19" t="s">
        <v>57</v>
      </c>
      <c r="P19" t="s">
        <v>58</v>
      </c>
      <c r="Q19" t="s">
        <v>57</v>
      </c>
      <c r="R19" t="s">
        <v>453</v>
      </c>
      <c r="S19" t="s">
        <v>454</v>
      </c>
      <c r="T19" t="s">
        <v>455</v>
      </c>
      <c r="U19" t="s">
        <v>456</v>
      </c>
      <c r="X19" t="s">
        <v>457</v>
      </c>
      <c r="AB19" t="s">
        <v>458</v>
      </c>
      <c r="AH19" t="s">
        <v>209</v>
      </c>
    </row>
    <row r="20" spans="1:35" x14ac:dyDescent="0.2">
      <c r="A20" t="s">
        <v>486</v>
      </c>
      <c r="B20">
        <v>2012</v>
      </c>
      <c r="C20" t="s">
        <v>487</v>
      </c>
      <c r="D20" t="s">
        <v>191</v>
      </c>
      <c r="E20" t="s">
        <v>192</v>
      </c>
      <c r="F20" t="s">
        <v>175</v>
      </c>
      <c r="G20" t="s">
        <v>176</v>
      </c>
      <c r="H20" t="s">
        <v>53</v>
      </c>
      <c r="I20" t="s">
        <v>54</v>
      </c>
      <c r="J20" t="s">
        <v>260</v>
      </c>
      <c r="K20" t="s">
        <v>488</v>
      </c>
      <c r="L20" t="s">
        <v>58</v>
      </c>
      <c r="M20" t="s">
        <v>58</v>
      </c>
      <c r="N20" t="s">
        <v>93</v>
      </c>
      <c r="O20" t="s">
        <v>57</v>
      </c>
      <c r="P20" t="s">
        <v>58</v>
      </c>
      <c r="Q20" t="s">
        <v>57</v>
      </c>
      <c r="R20" t="s">
        <v>491</v>
      </c>
      <c r="S20" t="s">
        <v>433</v>
      </c>
      <c r="AA20" t="s">
        <v>492</v>
      </c>
      <c r="AC20" t="s">
        <v>493</v>
      </c>
      <c r="AH20" t="s">
        <v>494</v>
      </c>
    </row>
    <row r="21" spans="1:35" x14ac:dyDescent="0.2">
      <c r="A21" t="s">
        <v>505</v>
      </c>
      <c r="B21">
        <v>2010</v>
      </c>
      <c r="C21" t="s">
        <v>520</v>
      </c>
      <c r="D21" t="s">
        <v>191</v>
      </c>
      <c r="E21" t="s">
        <v>192</v>
      </c>
      <c r="F21" t="s">
        <v>175</v>
      </c>
      <c r="G21" t="s">
        <v>507</v>
      </c>
      <c r="H21" t="s">
        <v>53</v>
      </c>
      <c r="I21" t="s">
        <v>54</v>
      </c>
      <c r="J21" t="s">
        <v>92</v>
      </c>
      <c r="K21" t="s">
        <v>177</v>
      </c>
      <c r="L21" t="s">
        <v>58</v>
      </c>
      <c r="M21" t="s">
        <v>58</v>
      </c>
      <c r="N21" t="s">
        <v>93</v>
      </c>
      <c r="O21" t="s">
        <v>58</v>
      </c>
      <c r="P21" t="s">
        <v>58</v>
      </c>
      <c r="Q21" t="s">
        <v>58</v>
      </c>
      <c r="R21" t="s">
        <v>521</v>
      </c>
      <c r="S21" t="s">
        <v>522</v>
      </c>
      <c r="X21" t="s">
        <v>523</v>
      </c>
      <c r="AB21" t="s">
        <v>524</v>
      </c>
      <c r="AH21" t="s">
        <v>525</v>
      </c>
    </row>
    <row r="22" spans="1:35" x14ac:dyDescent="0.2">
      <c r="A22" t="s">
        <v>530</v>
      </c>
      <c r="B22">
        <v>2010</v>
      </c>
      <c r="C22" t="s">
        <v>539</v>
      </c>
      <c r="D22" t="s">
        <v>105</v>
      </c>
      <c r="E22" t="s">
        <v>687</v>
      </c>
      <c r="F22" t="s">
        <v>175</v>
      </c>
      <c r="G22" t="s">
        <v>531</v>
      </c>
      <c r="H22" t="s">
        <v>53</v>
      </c>
      <c r="I22" t="s">
        <v>54</v>
      </c>
      <c r="J22" t="s">
        <v>92</v>
      </c>
      <c r="K22" t="s">
        <v>532</v>
      </c>
      <c r="L22" t="s">
        <v>58</v>
      </c>
      <c r="M22" t="s">
        <v>58</v>
      </c>
      <c r="N22" t="s">
        <v>93</v>
      </c>
      <c r="O22" t="s">
        <v>58</v>
      </c>
      <c r="P22" t="s">
        <v>58</v>
      </c>
      <c r="Q22" t="s">
        <v>58</v>
      </c>
      <c r="R22" t="s">
        <v>543</v>
      </c>
      <c r="S22" t="s">
        <v>544</v>
      </c>
      <c r="X22" t="s">
        <v>545</v>
      </c>
      <c r="AB22" t="s">
        <v>546</v>
      </c>
      <c r="AH22" t="s">
        <v>525</v>
      </c>
    </row>
    <row r="23" spans="1:35" x14ac:dyDescent="0.2">
      <c r="A23" s="8" t="s">
        <v>704</v>
      </c>
      <c r="B23" s="8">
        <v>2019</v>
      </c>
      <c r="C23" s="8" t="s">
        <v>118</v>
      </c>
      <c r="D23" s="8" t="s">
        <v>191</v>
      </c>
      <c r="E23" s="8" t="s">
        <v>192</v>
      </c>
      <c r="F23" s="8" t="s">
        <v>258</v>
      </c>
      <c r="G23" s="8" t="s">
        <v>705</v>
      </c>
      <c r="H23" s="8" t="s">
        <v>706</v>
      </c>
      <c r="I23" s="8" t="s">
        <v>706</v>
      </c>
      <c r="J23" s="8" t="s">
        <v>707</v>
      </c>
      <c r="K23" s="8" t="s">
        <v>56</v>
      </c>
      <c r="L23" s="8" t="s">
        <v>93</v>
      </c>
      <c r="M23" s="8" t="s">
        <v>57</v>
      </c>
      <c r="N23" s="8" t="s">
        <v>93</v>
      </c>
      <c r="O23" s="8" t="s">
        <v>58</v>
      </c>
      <c r="P23" s="8" t="s">
        <v>58</v>
      </c>
      <c r="Q23" s="8" t="s">
        <v>57</v>
      </c>
      <c r="R23" s="8" t="s">
        <v>722</v>
      </c>
      <c r="S23" s="10">
        <v>0.76700000000000002</v>
      </c>
      <c r="T23" s="8" t="s">
        <v>728</v>
      </c>
      <c r="U23" s="10">
        <v>0.83330000000000004</v>
      </c>
      <c r="V23" s="8"/>
      <c r="W23" s="8"/>
      <c r="X23" s="8" t="s">
        <v>737</v>
      </c>
      <c r="Y23" s="8"/>
      <c r="Z23" s="8"/>
      <c r="AA23" s="8" t="s">
        <v>395</v>
      </c>
      <c r="AB23" s="8"/>
      <c r="AC23" s="8"/>
      <c r="AD23" s="8"/>
      <c r="AE23" s="8"/>
      <c r="AF23" s="8"/>
      <c r="AG23" s="8"/>
      <c r="AH23" s="8"/>
      <c r="AI23" s="8"/>
    </row>
    <row r="24" spans="1:35" x14ac:dyDescent="0.2">
      <c r="A24" t="s">
        <v>547</v>
      </c>
      <c r="B24">
        <v>2010</v>
      </c>
      <c r="C24" t="s">
        <v>118</v>
      </c>
      <c r="D24" t="s">
        <v>191</v>
      </c>
      <c r="E24" t="s">
        <v>192</v>
      </c>
      <c r="F24" t="s">
        <v>175</v>
      </c>
      <c r="G24" t="s">
        <v>549</v>
      </c>
      <c r="H24" t="s">
        <v>53</v>
      </c>
      <c r="I24" t="s">
        <v>54</v>
      </c>
      <c r="J24" t="s">
        <v>92</v>
      </c>
      <c r="K24" t="s">
        <v>177</v>
      </c>
      <c r="L24" t="s">
        <v>58</v>
      </c>
      <c r="M24" t="s">
        <v>57</v>
      </c>
      <c r="N24" t="s">
        <v>93</v>
      </c>
      <c r="O24" t="s">
        <v>57</v>
      </c>
      <c r="P24" t="s">
        <v>58</v>
      </c>
      <c r="Q24" t="s">
        <v>57</v>
      </c>
      <c r="X24" t="s">
        <v>560</v>
      </c>
      <c r="AB24" t="s">
        <v>561</v>
      </c>
      <c r="AH24" t="s">
        <v>562</v>
      </c>
    </row>
    <row r="25" spans="1:35" x14ac:dyDescent="0.2">
      <c r="A25" t="s">
        <v>563</v>
      </c>
      <c r="B25">
        <v>2012</v>
      </c>
      <c r="C25" t="s">
        <v>564</v>
      </c>
      <c r="D25" t="s">
        <v>49</v>
      </c>
      <c r="E25" t="s">
        <v>50</v>
      </c>
      <c r="F25" t="s">
        <v>175</v>
      </c>
      <c r="G25" t="s">
        <v>565</v>
      </c>
      <c r="H25" t="s">
        <v>91</v>
      </c>
      <c r="I25" t="s">
        <v>54</v>
      </c>
      <c r="J25" t="s">
        <v>121</v>
      </c>
      <c r="K25" t="s">
        <v>56</v>
      </c>
      <c r="L25" t="s">
        <v>58</v>
      </c>
      <c r="M25" t="s">
        <v>57</v>
      </c>
      <c r="N25" t="s">
        <v>57</v>
      </c>
      <c r="O25" t="s">
        <v>57</v>
      </c>
      <c r="P25" t="s">
        <v>58</v>
      </c>
      <c r="Q25" t="s">
        <v>57</v>
      </c>
      <c r="S25" t="s">
        <v>566</v>
      </c>
      <c r="T25" t="s">
        <v>567</v>
      </c>
      <c r="U25" t="s">
        <v>568</v>
      </c>
      <c r="V25" t="s">
        <v>569</v>
      </c>
      <c r="W25" t="s">
        <v>570</v>
      </c>
      <c r="X25" t="s">
        <v>571</v>
      </c>
      <c r="AB25" t="s">
        <v>572</v>
      </c>
      <c r="AH25" t="s">
        <v>64</v>
      </c>
    </row>
    <row r="26" spans="1:35" x14ac:dyDescent="0.2">
      <c r="A26" t="s">
        <v>589</v>
      </c>
      <c r="B26">
        <v>2014</v>
      </c>
      <c r="C26" t="s">
        <v>520</v>
      </c>
      <c r="D26" t="s">
        <v>191</v>
      </c>
      <c r="E26" t="s">
        <v>192</v>
      </c>
      <c r="F26" t="s">
        <v>175</v>
      </c>
      <c r="G26" t="s">
        <v>590</v>
      </c>
      <c r="H26" t="s">
        <v>53</v>
      </c>
      <c r="I26" t="s">
        <v>54</v>
      </c>
      <c r="J26" t="s">
        <v>260</v>
      </c>
      <c r="K26" t="s">
        <v>56</v>
      </c>
      <c r="L26" t="s">
        <v>58</v>
      </c>
      <c r="M26" t="s">
        <v>57</v>
      </c>
      <c r="N26" t="s">
        <v>93</v>
      </c>
      <c r="O26" t="s">
        <v>57</v>
      </c>
      <c r="P26" t="s">
        <v>58</v>
      </c>
      <c r="Q26" t="s">
        <v>57</v>
      </c>
      <c r="X26" t="s">
        <v>603</v>
      </c>
      <c r="AB26" t="s">
        <v>604</v>
      </c>
      <c r="AH26" t="s">
        <v>605</v>
      </c>
    </row>
    <row r="27" spans="1:35" x14ac:dyDescent="0.2">
      <c r="A27" t="s">
        <v>606</v>
      </c>
      <c r="B27">
        <v>2017</v>
      </c>
      <c r="C27" t="s">
        <v>607</v>
      </c>
      <c r="D27" t="s">
        <v>105</v>
      </c>
      <c r="E27" t="s">
        <v>608</v>
      </c>
      <c r="F27" t="s">
        <v>175</v>
      </c>
      <c r="G27" t="s">
        <v>609</v>
      </c>
      <c r="H27" t="s">
        <v>91</v>
      </c>
      <c r="I27" t="s">
        <v>54</v>
      </c>
      <c r="J27" t="s">
        <v>260</v>
      </c>
      <c r="K27" t="s">
        <v>610</v>
      </c>
      <c r="L27" t="s">
        <v>58</v>
      </c>
      <c r="M27" t="s">
        <v>58</v>
      </c>
      <c r="N27" t="s">
        <v>57</v>
      </c>
      <c r="O27" t="s">
        <v>57</v>
      </c>
      <c r="P27" t="s">
        <v>58</v>
      </c>
      <c r="Q27" t="s">
        <v>57</v>
      </c>
      <c r="T27" t="s">
        <v>611</v>
      </c>
      <c r="U27" t="s">
        <v>612</v>
      </c>
      <c r="V27" t="s">
        <v>613</v>
      </c>
      <c r="W27" t="s">
        <v>614</v>
      </c>
      <c r="X27" t="s">
        <v>615</v>
      </c>
      <c r="AB27" t="s">
        <v>616</v>
      </c>
      <c r="AH27" t="s">
        <v>64</v>
      </c>
    </row>
    <row r="28" spans="1:35" x14ac:dyDescent="0.2">
      <c r="A28" t="s">
        <v>623</v>
      </c>
      <c r="B28">
        <v>2017</v>
      </c>
      <c r="C28" t="s">
        <v>627</v>
      </c>
      <c r="D28" t="s">
        <v>105</v>
      </c>
      <c r="E28" t="s">
        <v>608</v>
      </c>
      <c r="F28" t="s">
        <v>175</v>
      </c>
      <c r="G28" t="s">
        <v>624</v>
      </c>
      <c r="H28" t="s">
        <v>91</v>
      </c>
      <c r="I28" t="s">
        <v>54</v>
      </c>
      <c r="J28" t="s">
        <v>260</v>
      </c>
      <c r="K28" t="s">
        <v>56</v>
      </c>
      <c r="L28" t="s">
        <v>58</v>
      </c>
      <c r="M28" t="s">
        <v>57</v>
      </c>
      <c r="N28" t="s">
        <v>57</v>
      </c>
      <c r="O28" t="s">
        <v>57</v>
      </c>
      <c r="P28" t="s">
        <v>58</v>
      </c>
      <c r="Q28" t="s">
        <v>57</v>
      </c>
      <c r="R28" t="s">
        <v>628</v>
      </c>
      <c r="S28" t="s">
        <v>629</v>
      </c>
      <c r="X28" t="s">
        <v>630</v>
      </c>
      <c r="AB28" t="s">
        <v>631</v>
      </c>
      <c r="AH28" t="s">
        <v>64</v>
      </c>
    </row>
    <row r="29" spans="1:35" x14ac:dyDescent="0.2">
      <c r="A29" t="s">
        <v>632</v>
      </c>
      <c r="B29">
        <v>2017</v>
      </c>
      <c r="C29" t="s">
        <v>640</v>
      </c>
      <c r="D29" t="s">
        <v>191</v>
      </c>
      <c r="E29" t="s">
        <v>641</v>
      </c>
      <c r="F29" t="s">
        <v>175</v>
      </c>
      <c r="G29" t="s">
        <v>633</v>
      </c>
      <c r="H29" t="s">
        <v>91</v>
      </c>
      <c r="I29" t="s">
        <v>54</v>
      </c>
      <c r="J29" t="s">
        <v>55</v>
      </c>
      <c r="K29" t="s">
        <v>634</v>
      </c>
      <c r="L29" t="s">
        <v>58</v>
      </c>
      <c r="M29" t="s">
        <v>57</v>
      </c>
      <c r="N29" t="s">
        <v>57</v>
      </c>
      <c r="O29" t="s">
        <v>57</v>
      </c>
      <c r="P29" t="s">
        <v>58</v>
      </c>
      <c r="Q29" t="s">
        <v>57</v>
      </c>
      <c r="R29" t="s">
        <v>642</v>
      </c>
      <c r="S29" t="s">
        <v>643</v>
      </c>
      <c r="X29" t="s">
        <v>644</v>
      </c>
      <c r="AB29" t="s">
        <v>645</v>
      </c>
      <c r="AH29" t="s">
        <v>646</v>
      </c>
    </row>
    <row r="30" spans="1:35" x14ac:dyDescent="0.2">
      <c r="A30" s="8" t="s">
        <v>720</v>
      </c>
      <c r="B30" s="8">
        <v>2020</v>
      </c>
      <c r="C30" s="8" t="s">
        <v>118</v>
      </c>
      <c r="D30" s="8" t="s">
        <v>49</v>
      </c>
      <c r="E30" s="8" t="s">
        <v>75</v>
      </c>
      <c r="F30" s="8" t="s">
        <v>279</v>
      </c>
      <c r="G30" s="8" t="s">
        <v>721</v>
      </c>
      <c r="H30" s="8"/>
      <c r="I30" s="8"/>
      <c r="J30" s="8"/>
      <c r="K30" s="8" t="s">
        <v>56</v>
      </c>
      <c r="L30" s="8" t="s">
        <v>93</v>
      </c>
      <c r="M30" s="8" t="s">
        <v>712</v>
      </c>
      <c r="N30" s="8" t="s">
        <v>93</v>
      </c>
      <c r="O30" s="8" t="s">
        <v>93</v>
      </c>
      <c r="P30" s="8" t="s">
        <v>93</v>
      </c>
      <c r="Q30" s="8" t="s">
        <v>93</v>
      </c>
      <c r="R30" s="8"/>
      <c r="S30" s="8"/>
      <c r="T30" s="8"/>
      <c r="U30" s="8"/>
      <c r="V30" s="8"/>
      <c r="W30" s="8"/>
      <c r="X30" s="8" t="s">
        <v>745</v>
      </c>
      <c r="Y30" s="8"/>
      <c r="Z30" s="8"/>
      <c r="AA30" s="8" t="s">
        <v>395</v>
      </c>
      <c r="AB30" s="8"/>
      <c r="AC30" s="8"/>
      <c r="AD30" s="8"/>
      <c r="AE30" s="8"/>
      <c r="AF30" s="8"/>
      <c r="AG30" s="8"/>
      <c r="AH30" s="8"/>
      <c r="AI30" s="8"/>
    </row>
    <row r="31" spans="1:35" x14ac:dyDescent="0.2">
      <c r="A31" t="s">
        <v>647</v>
      </c>
      <c r="B31">
        <v>2010</v>
      </c>
      <c r="C31" t="s">
        <v>648</v>
      </c>
      <c r="D31" t="s">
        <v>191</v>
      </c>
      <c r="E31" t="s">
        <v>192</v>
      </c>
      <c r="F31" t="s">
        <v>175</v>
      </c>
      <c r="G31" t="s">
        <v>176</v>
      </c>
      <c r="H31" t="s">
        <v>53</v>
      </c>
      <c r="I31" t="s">
        <v>54</v>
      </c>
      <c r="J31" t="s">
        <v>260</v>
      </c>
      <c r="K31" t="s">
        <v>488</v>
      </c>
      <c r="L31" t="s">
        <v>58</v>
      </c>
      <c r="M31" t="s">
        <v>58</v>
      </c>
      <c r="N31" t="s">
        <v>93</v>
      </c>
      <c r="O31" t="s">
        <v>58</v>
      </c>
      <c r="P31" t="s">
        <v>58</v>
      </c>
      <c r="Q31" t="s">
        <v>58</v>
      </c>
      <c r="X31" t="s">
        <v>649</v>
      </c>
      <c r="AB31" t="s">
        <v>650</v>
      </c>
      <c r="AH31" t="s">
        <v>651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11</vt:i4>
      </vt:variant>
    </vt:vector>
  </HeadingPairs>
  <TitlesOfParts>
    <vt:vector size="17" baseType="lpstr">
      <vt:lpstr>Previous studies</vt:lpstr>
      <vt:lpstr>New studies</vt:lpstr>
      <vt:lpstr>Sheet3</vt:lpstr>
      <vt:lpstr>Combined</vt:lpstr>
      <vt:lpstr>Sheet1</vt:lpstr>
      <vt:lpstr>Combined_info</vt:lpstr>
      <vt:lpstr>Sheet1!_ftn1</vt:lpstr>
      <vt:lpstr>Sheet1!_ftn2</vt:lpstr>
      <vt:lpstr>Sheet1!_ftn3</vt:lpstr>
      <vt:lpstr>Sheet1!_ftn4</vt:lpstr>
      <vt:lpstr>Sheet1!_ftn5</vt:lpstr>
      <vt:lpstr>Sheet1!_ftn6</vt:lpstr>
      <vt:lpstr>Sheet1!_ftnref1</vt:lpstr>
      <vt:lpstr>Sheet1!_ftnref4</vt:lpstr>
      <vt:lpstr>Sheet1!_ftnref5</vt:lpstr>
      <vt:lpstr>Sheet1!_ftnref6</vt:lpstr>
      <vt:lpstr>Sheet1!OLE_LINK9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mbp16</dc:creator>
  <cp:lastModifiedBy>Microsoft Office User</cp:lastModifiedBy>
  <dcterms:created xsi:type="dcterms:W3CDTF">2022-12-15T04:11:54Z</dcterms:created>
  <dcterms:modified xsi:type="dcterms:W3CDTF">2022-12-19T07:26:55Z</dcterms:modified>
</cp:coreProperties>
</file>