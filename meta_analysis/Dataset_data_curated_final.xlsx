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3"/>
  <workbookPr/>
  <mc:AlternateContent xmlns:mc="http://schemas.openxmlformats.org/markup-compatibility/2006">
    <mc:Choice Requires="x15">
      <x15ac:absPath xmlns:x15ac="http://schemas.microsoft.com/office/spreadsheetml/2010/11/ac" url="/Users/mbp16/Documents/Coding/HP407/meta_analysis/"/>
    </mc:Choice>
  </mc:AlternateContent>
  <xr:revisionPtr revIDLastSave="0" documentId="13_ncr:1_{FA7404B1-2D21-F741-810B-B05C1F881C37}" xr6:coauthVersionLast="47" xr6:coauthVersionMax="47" xr10:uidLastSave="{00000000-0000-0000-0000-000000000000}"/>
  <bookViews>
    <workbookView xWindow="7780" yWindow="2280" windowWidth="22780" windowHeight="17880" activeTab="2" xr2:uid="{00000000-000D-0000-FFFF-FFFF00000000}"/>
  </bookViews>
  <sheets>
    <sheet name="caregiver_Burden" sheetId="1" r:id="rId1"/>
    <sheet name="caregiver_MentalHealth" sheetId="2" r:id="rId2"/>
    <sheet name="caregiver_Behaviour" sheetId="3" r:id="rId3"/>
  </sheets>
  <definedNames>
    <definedName name="_xlnm._FilterDatabase" localSheetId="2" hidden="1">caregiver_Behaviour!$A$1:$BH$33</definedName>
    <definedName name="_xlnm._FilterDatabase" localSheetId="0" hidden="1">caregiver_Burden!$A$1:$AR$19</definedName>
    <definedName name="_xlnm._FilterDatabase" localSheetId="1" hidden="1">caregiver_MentalHealth!$A$1:$BI$27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31" i="1" l="1"/>
  <c r="AL30" i="1"/>
  <c r="AI31" i="1"/>
  <c r="AI30" i="1"/>
  <c r="AR21" i="3"/>
  <c r="AU21" i="3"/>
  <c r="AU20" i="3"/>
  <c r="AR20" i="3"/>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8">
    <bk>
      <extLst>
        <ext uri="{3e2802c4-a4d2-4d8b-9148-e3be6c30e623}">
          <xlrd:rvb i="0"/>
        </ext>
      </extLst>
    </bk>
    <bk>
      <extLst>
        <ext uri="{3e2802c4-a4d2-4d8b-9148-e3be6c30e623}">
          <xlrd:rvb i="90"/>
        </ext>
      </extLst>
    </bk>
    <bk>
      <extLst>
        <ext uri="{3e2802c4-a4d2-4d8b-9148-e3be6c30e623}">
          <xlrd:rvb i="135"/>
        </ext>
      </extLst>
    </bk>
    <bk>
      <extLst>
        <ext uri="{3e2802c4-a4d2-4d8b-9148-e3be6c30e623}">
          <xlrd:rvb i="180"/>
        </ext>
      </extLst>
    </bk>
    <bk>
      <extLst>
        <ext uri="{3e2802c4-a4d2-4d8b-9148-e3be6c30e623}">
          <xlrd:rvb i="254"/>
        </ext>
      </extLst>
    </bk>
    <bk>
      <extLst>
        <ext uri="{3e2802c4-a4d2-4d8b-9148-e3be6c30e623}">
          <xlrd:rvb i="380"/>
        </ext>
      </extLst>
    </bk>
    <bk>
      <extLst>
        <ext uri="{3e2802c4-a4d2-4d8b-9148-e3be6c30e623}">
          <xlrd:rvb i="452"/>
        </ext>
      </extLst>
    </bk>
    <bk>
      <extLst>
        <ext uri="{3e2802c4-a4d2-4d8b-9148-e3be6c30e623}">
          <xlrd:rvb i="531"/>
        </ext>
      </extLst>
    </bk>
  </futureMetadata>
  <valueMetadata count="8">
    <bk>
      <rc t="1" v="0"/>
    </bk>
    <bk>
      <rc t="1" v="1"/>
    </bk>
    <bk>
      <rc t="1" v="2"/>
    </bk>
    <bk>
      <rc t="1" v="3"/>
    </bk>
    <bk>
      <rc t="1" v="4"/>
    </bk>
    <bk>
      <rc t="1" v="5"/>
    </bk>
    <bk>
      <rc t="1" v="6"/>
    </bk>
    <bk>
      <rc t="1" v="7"/>
    </bk>
  </valueMetadata>
</metadata>
</file>

<file path=xl/sharedStrings.xml><?xml version="1.0" encoding="utf-8"?>
<sst xmlns="http://schemas.openxmlformats.org/spreadsheetml/2006/main" count="2670" uniqueCount="561">
  <si>
    <t>Study Identifier</t>
  </si>
  <si>
    <t>Year</t>
  </si>
  <si>
    <t>Intervention</t>
  </si>
  <si>
    <t>Intervention types</t>
  </si>
  <si>
    <t>Intervention subgroups</t>
  </si>
  <si>
    <t>Country</t>
  </si>
  <si>
    <t>Setting</t>
  </si>
  <si>
    <t>Types of disease_clean</t>
  </si>
  <si>
    <t>Type of disease in two categories (dementia and MCI)</t>
  </si>
  <si>
    <t>Updated Dementia Severity</t>
  </si>
  <si>
    <t>Is this a study focusing on carers of people living with dementia or mild cognitive impairment?</t>
  </si>
  <si>
    <t>Domain 1</t>
  </si>
  <si>
    <t>Domain 2</t>
  </si>
  <si>
    <t>Domain 3</t>
  </si>
  <si>
    <t>Domain 4</t>
  </si>
  <si>
    <t>Domain 5</t>
  </si>
  <si>
    <t>Overall</t>
  </si>
  <si>
    <t>Baseline Educational level (indicate how this was measured)</t>
  </si>
  <si>
    <t>Baseline Female (percent)</t>
  </si>
  <si>
    <t>Baseline For studies in carers only: Caregiver age in years (mean)</t>
  </si>
  <si>
    <t>Baseline For studies in carers only: Caregiver female (percent)</t>
  </si>
  <si>
    <t>Baseline For studies in carers only: Full-time working (percent)</t>
  </si>
  <si>
    <t>Baseline MMSE score (mean)</t>
  </si>
  <si>
    <t>Baseline Rural setting (percent)</t>
  </si>
  <si>
    <t>Baseline Urban setting (percent)</t>
  </si>
  <si>
    <t>Intervention Brief description of intervention</t>
  </si>
  <si>
    <t>Intervention Intervention details...97</t>
  </si>
  <si>
    <t>Intervention Intervention details (duration and intensity of the intervention, dosage of drugs, existence of a protocol or manual for psychosocial, training or education interventions)</t>
  </si>
  <si>
    <t>Intervention Interv. type [SELECT: Pharmaceutical; Traditional Chinese Medicine; Other trad. medicines; Non-pharmacol.; Multicomponent (record each component); Interv. for carers; End of life care; Treatment/prevention of co-morbidities; Technology; Diagn</t>
  </si>
  <si>
    <t>Amit 2008</t>
  </si>
  <si>
    <t>Control</t>
  </si>
  <si>
    <t>No intervention</t>
  </si>
  <si>
    <t>India</t>
  </si>
  <si>
    <t>Caregivers of people living with dementia were recruited from the community. “The study was conducted in Goa, on the west coast of India. Goa is in an advanced stage of the epidemiological and demographic transition in the country, with some of the best health indicators [7] and a rising proportion of older people; the 2001 Census reported that 8.3% of the total population was aged over 60 years[8]. The consensus figure for prevalence of dementia in India is 1.9% above the age of 60 years [3]The present trial was carried out in two of the largest administrative blocks (talukas) in the state - Bardez and Tiswadi with a population of approximately 340,000.”</t>
  </si>
  <si>
    <t>Dementia (general/unspecified)</t>
  </si>
  <si>
    <t>Dementia</t>
  </si>
  <si>
    <t>Mild to moderate</t>
  </si>
  <si>
    <t>Yes</t>
  </si>
  <si>
    <t>low risk</t>
  </si>
  <si>
    <t>some concerns</t>
  </si>
  <si>
    <t>high risk</t>
  </si>
  <si>
    <t>Below primary: 19%</t>
  </si>
  <si>
    <t>32.5</t>
  </si>
  <si>
    <t>53.8</t>
  </si>
  <si>
    <t>85</t>
  </si>
  <si>
    <t>Education and information (wait list for intervention)</t>
  </si>
  <si>
    <t>“The control arm dyads received only education and information regarding dementia and were then placed in a waiting list to receive the intervention after 6 months. They were free to utilize the existing health services during this time.”</t>
  </si>
  <si>
    <t>N/A</t>
  </si>
  <si>
    <t>Home care program</t>
  </si>
  <si>
    <t>Training and education for carers</t>
  </si>
  <si>
    <t>Training and education for unpaid carers</t>
  </si>
  <si>
    <t>Below primary: 16%</t>
  </si>
  <si>
    <t>36.6</t>
  </si>
  <si>
    <t>53.2</t>
  </si>
  <si>
    <t>90.2</t>
  </si>
  <si>
    <t>Flexible home-care program tailored to needs of the individual with dementia and their family, delivered by a team of home care advisors, specialist doctor, and counsellor, over 6 months.</t>
  </si>
  <si>
    <t>“The intervention was delivered by a Community Team, one for each taluka. Each team comprised two full-time Home Care Advisors (HCA), and a part-time local psychiatrist from the public health services, and a part-time lay counselor (who was shared by both teams). The minimum requirements for being a HCA were knowledge of the local language, being literate, preferably passed higher secondary school, and motivated to be involved in the community care of older people. They received intensive training for a week through role play and interactive training methods. The HCA were trained in key skills including listening and counselling skills, bereavement counseling, stress management and health advice for common health problems. The specific components of the intervention carried out by the HCA were: Basic education about dementia (what is the disease, its course, its features etc); Education about common behaviour problems and how they can be managed; Support to the caregiver, for example for an elderly caregiver living alone with the patient, in activities of daily living; Referral to psychiatrists or the family doctor when behaviour problems are severe and warrant medication intervention; Networking of families to enable the formation of support groups; Advice regarding existing government schemes for elders. The HCA applied a flexible home-care program tailored to the needs of the individual and the family. The baseline information collected by the researchers was made available to the HCA before they initiated the intervention. The minimum frequency of visits was at least once a fortnight for six months. The maximum was based on the needs as assessed by the HCA. Thus, the visits could be more frequent depending on the need of that particular family.”</t>
  </si>
  <si>
    <t>Intervention for carers</t>
  </si>
  <si>
    <t>Pahlavanzadeh 2010</t>
  </si>
  <si>
    <t>Iran</t>
  </si>
  <si>
    <t>Modares Psychiatric Hospital and Shariati Psychiatric clinic in the city of Isfahan, which are the centers for elderly with dementia</t>
  </si>
  <si>
    <t>Not specified</t>
  </si>
  <si>
    <t>Illiterate: 16%; Primary school: 68%; Guidance school: 8%; High school diploma: 8%; Higher education: 0%</t>
  </si>
  <si>
    <t>56</t>
  </si>
  <si>
    <t>46.56</t>
  </si>
  <si>
    <t>68</t>
  </si>
  <si>
    <t>No details</t>
  </si>
  <si>
    <t>64.50</t>
  </si>
  <si>
    <t>25</t>
  </si>
  <si>
    <t>25.13</t>
  </si>
  <si>
    <t>43.28</t>
  </si>
  <si>
    <t>13.08</t>
  </si>
  <si>
    <t>46.8</t>
  </si>
  <si>
    <t>3.13</t>
  </si>
  <si>
    <t>Family education program</t>
  </si>
  <si>
    <t>Support for carers</t>
  </si>
  <si>
    <t>Information, education, and training to support carers</t>
  </si>
  <si>
    <t>Illiterate: 48%; Primary school: 32%; Guidance school: 4%; High school diploma: 16%; Higher education: 0%</t>
  </si>
  <si>
    <t>44</t>
  </si>
  <si>
    <t>42.88</t>
  </si>
  <si>
    <t>84</t>
  </si>
  <si>
    <t>Family education programme for caregivers; 5 weekly group sessions for 90 minutes each, plus recordings on CD</t>
  </si>
  <si>
    <t>"Caregivers of the case group attended family educational program after signing a consent form. Patients and controls were not present in this program. The content of the program was based on an educational pamphlet prepared and edited by the researchers through reading books and articles. The content was approved by 10 psychiatrists, neurologist and faculty members of the School of Nursing and Midwifery of Isfahan University of Medical Sciences. This program included 5 weekly sessions22 using lecturing, group discussions (10-15 members in groups), and question and answer as table 1 presents. The duration of each session was 90 minutes23 and the place was Noor Hospital in Isfahan. This program was conducted under the supervision of the first researcher who has several years of experience as a university lecturer and patients and their families’ educator and also has a master degree in psychiatry. Meanwhile, CDs of all the sessions were provided to caregivers of the case group."</t>
  </si>
  <si>
    <t>Intervention for caregivers</t>
  </si>
  <si>
    <t>56.33</t>
  </si>
  <si>
    <t>54.14</t>
  </si>
  <si>
    <t>42</t>
  </si>
  <si>
    <t>65.17</t>
  </si>
  <si>
    <t>44.35</t>
  </si>
  <si>
    <t>65.15</t>
  </si>
  <si>
    <t>Guerra 2011</t>
  </si>
  <si>
    <t>Intervention group</t>
  </si>
  <si>
    <t>Peru</t>
  </si>
  <si>
    <t>Intervention was carried out at the participant's home.</t>
  </si>
  <si>
    <t>Any severity stage</t>
  </si>
  <si>
    <t>55.5% completed secondary or more</t>
  </si>
  <si>
    <t>79.3</t>
  </si>
  <si>
    <t>53.3</t>
  </si>
  <si>
    <t>85.7</t>
  </si>
  <si>
    <t>10/66 caregiver intervention consisting of education and training in 5 weekly 30-minute sessions</t>
  </si>
  <si>
    <t>"The 10/66 intervention targets the main caregiver, but it also includes members of the immediate and extended family. The aim is to provide basic education about dementia and specific training on managing problem behaviors. The three simple, manualised modules are delivered over five weekly sessions with 30 minutes each. Module 1 - Assessment (one session): a) Cognitive and functional impairments; b) Caregiver’s knowledge and understanding of dementia; andc) Care arrangements (Who are the family members? Who lives with the person with dementia? How do they assist the main caregiver? Which behavioral problems present most difficulties? How burdened do they feel?). Module 2 - Basic education (two sessions): a) General introduction to the illness; b) What to expect in the future; c) What causes and what does not cause dementia?; and d) Locally available care and treatment. Module 3 - Training on problem behaviors (two sessions):Up to eight problem behaviors identified in the assessment are addressed (personal hygiene, dressing, incontinence, repeated questioning, clinging, aggression, wandering, and apathy)"</t>
  </si>
  <si>
    <t>Waiting list control group</t>
  </si>
  <si>
    <t>37.0% completed secondary or more; 2 missing values</t>
  </si>
  <si>
    <t>69.0</t>
  </si>
  <si>
    <t>47.6</t>
  </si>
  <si>
    <t>89.7</t>
  </si>
  <si>
    <t>Waiting list</t>
  </si>
  <si>
    <t>" caregivers of people with dementia that received the intervention six months later"</t>
  </si>
  <si>
    <t>Aboulafia-Brakha 2014</t>
  </si>
  <si>
    <t>Cognitive–behavioural group therapy</t>
  </si>
  <si>
    <t>Group support and therapy</t>
  </si>
  <si>
    <t>Brazil</t>
  </si>
  <si>
    <t>"The recruitment was carried out at the Cognitive Disorders Reference Center – CEREDIC of the Medical School of Universidade de S~ao Paulo – Clinical Hospital (HCFMUSP)."</t>
  </si>
  <si>
    <t>Alzheimer's Disease</t>
  </si>
  <si>
    <t>Moderate to severe</t>
  </si>
  <si>
    <t>59.42</t>
  </si>
  <si>
    <t>100</t>
  </si>
  <si>
    <t>(8.3% were in paid emplyment)</t>
  </si>
  <si>
    <t>Structured group discussion and CBT sessions for caregivers (90 minutes, 1/week, over 8 weeks)</t>
  </si>
  <si>
    <t>"CBT group: caregivers allocated to this group were
divided in small groups of six to eight participants.
They benefited from eight 90-minute group sessions
held once a week, with pre-established discussion
themes. These included life activities before
and after caring for their AD relative, the family
dynamic around the affected member and the caregiver
relationship with his/her relative. Using cognitive–
behavioural techniques, such as cognitive
restructuring and behaviour modifications, participants
were encouraged to resume some of the activities
they had abandoned after becoming a
caregiver and to favour the inclusion of other family
members in caregiving activities. For example,
in one of the sessions, participants chose one activity
they wanted to carry out during the next week
and that was feasible if someone else took care of
their proxy. Cognitions and emotions related to this
attitude were discussed prior to exposure, and participants
could also benefit from encouragement of
the other group fellows. The following week, they
were invited to share their experience in the group,
where alternative ways of thinking and feeling
about the situation were identified. Further, psychoeducation facts transmitted to the EDUC
group (including management of AD’s neuropsychiatric
symptoms) were also covered in the CBT
group, but in an interactive manner, which explains
the need for slightly longer sessions. Discussions
between group members and role-plays were regularly
encouraged in order to strengthen the understanding
of the different topics. In order to test and
apply the skills learned during the sessions, homework
tasks were recommended, such as practicing
in vivo what was rehearsed in role-plays."</t>
  </si>
  <si>
    <t>38.1</t>
  </si>
  <si>
    <t>11</t>
  </si>
  <si>
    <t>12.9</t>
  </si>
  <si>
    <t>35.0</t>
  </si>
  <si>
    <t>13.5</t>
  </si>
  <si>
    <t>Psychoeducation group programme (Control)</t>
  </si>
  <si>
    <t>55.07</t>
  </si>
  <si>
    <t>67</t>
  </si>
  <si>
    <t>(53.3% were in paid employment)</t>
  </si>
  <si>
    <t>Structured group education session for caregivers (60 minutes,  1/week, over 8 weeks)</t>
  </si>
  <si>
    <t>EDUC group: in this group, caregivers participated
in eight 60-minute group sessions held once
a week, with up to 17 participants together. They
received information on AD. The programme was based on the work of Zarit, Anthony, and Boutselis
(1987) and Parks and Novielli (2000), and covered
the diagnosis process, cognitive symptoms,
different stages of the disease and available treatment
methods. Advices concerning interaction
with the patient, how to deal with neuropsychiatric
symptoms such as disinhibition, aggressiveness
and delusions, as well as security issues
were also given. Information was transmitted in a
structured format with the aid of presentation software.
At the end of the sessions, participants were
allowed to ask questions, but little opportunity
was given for discussion of personal issues and
interactions between participants."</t>
  </si>
  <si>
    <t>34.2</t>
  </si>
  <si>
    <t>15</t>
  </si>
  <si>
    <t>16.3</t>
  </si>
  <si>
    <t>31.3</t>
  </si>
  <si>
    <t>11.9</t>
  </si>
  <si>
    <t>Kamkhagi 2015</t>
  </si>
  <si>
    <t>Body awareness therapy (BAT)</t>
  </si>
  <si>
    <t>psychogeriatric clinic of a tertiary hospital in Brazil (Institute of Psychiatry, Faculty of Medicine, Uni-versity of Sao Paulo</t>
  </si>
  <si>
    <t>94% high school or higher</t>
  </si>
  <si>
    <t>55.7</t>
  </si>
  <si>
    <t>70</t>
  </si>
  <si>
    <t>Body Awareness Therapy once a week in a total of 14 group sessions of 90 minutes of duration each.</t>
  </si>
  <si>
    <t>"The facilitators of BAT sessions were a physical therapist and a psychologist." "The BAT intervention was designed according to the “Func-tional Symbolic Dynamics” methodology, created by Marcia Taques Bittencourt17, which has as a major goal to bring the patient to bodily self-awareness. This intervention started with a physical evaluation by the therapist and uses several physiotherapeutic backgrounds such as calatonia, eutonia, feldenkrais, relaxing, somatic experience, spontaneous movements and dance. Petho Sándor18 established in 1974 the basis for the utilization of soft touches in specific points, which uses the high potential of the skin sensitivity, promoting a multi-sensorial experience, physical and psychological rebalancing, and leading the recipients of the intervention to pay more attention to themselves. Body relaxation is considered a psychophysiological reconditioning method. In eutonia, through attention and self-observation, using auxiliary objects, the individual can get in contact with his/her internal rhythm. The sequence of Feldenkrais slow movements will explore the patterns and limits of the body. During the sessions, some tools were used to awaken new perceptions, such as: bed linen, clay, little balls and drawings."</t>
  </si>
  <si>
    <t>Non-pharmacological intervention</t>
  </si>
  <si>
    <t>37.1</t>
  </si>
  <si>
    <t>17</t>
  </si>
  <si>
    <t>9.8</t>
  </si>
  <si>
    <t>48.9</t>
  </si>
  <si>
    <t>15.1</t>
  </si>
  <si>
    <t>Psychodynamic group therapy (PGT)</t>
  </si>
  <si>
    <t>85% high school or higher</t>
  </si>
  <si>
    <t>62.1</t>
  </si>
  <si>
    <t>75</t>
  </si>
  <si>
    <t>Psychodynamic group therapy once a week in a total of 14 group sessions of 90 minutes of duration each.</t>
  </si>
  <si>
    <t>"In the PGT group, several aspects of the caregiver roles were dealt with through the intervention program, reinforcing their resilience abilities. The most frequent aspects, usually raised spontaneously by participants (otherwise prompted by facilitators) were: loneliness and helplessness associated with the caregiver’s role, occurrence of family conflicts, and changing roles within the family dynamics. Participants were encouraged by the facilitators to get in contact with their feelings of sadness, frustration, anger and guilt, and to further name and elaborate the feelings they experience when dealing with these situations. In the first moment, the participants were asked to think about their previous relationship with the patient under their care, as it used to be before the onset of dementia, and then to update this notion to the present reality, thus enabling the elaboration of new ways to maintain an affectionate caring relationship with their relative. In a second moment, facilitators of the PGT group worked on other roles that the caregiver used to play in the family dynam-ics before the onset of the illness, and the necessary adaptations to the present time, particularly due to the necessity of performing unwanted roles and having to abandon (or at least cutback) the engagement in other competing roles. Some effort is dedicated by fa-cilitators to establish and reinforce empathy with the difficulties faced by the subject, discussing strategies to better cope with the various sources of burden of care. Towards the completion of the program, facilitators discuss the lack of recognition of the caregiver’s efforts by other family members and encourage participants to nominate their perceived and unattended rights; this “caregiver declaration of rights” usually warrants them a place of existence and gratefulness for their feelings and concerns."</t>
  </si>
  <si>
    <t>24.0</t>
  </si>
  <si>
    <t>20</t>
  </si>
  <si>
    <t>7.7</t>
  </si>
  <si>
    <t>35.3</t>
  </si>
  <si>
    <t>12.8</t>
  </si>
  <si>
    <t>Söylemez 2016</t>
  </si>
  <si>
    <t>Progressively Lowered Stress Threshold-based intervention</t>
  </si>
  <si>
    <t>Turkey</t>
  </si>
  <si>
    <t>Western Turkey, home based. Patient lists were obtained from dementia outpatient clinics at one university hospital and the office of the Alzheimer’s Association in Izmir.</t>
  </si>
  <si>
    <t>Mild</t>
  </si>
  <si>
    <t>Primary school: 69%; High school: 14%; University: 17%</t>
  </si>
  <si>
    <t>63</t>
  </si>
  <si>
    <t>61.2</t>
  </si>
  <si>
    <t>74</t>
  </si>
  <si>
    <t>0</t>
  </si>
  <si>
    <t>Progressively Lowered Stress Threshold-based intervention for 3 months</t>
  </si>
  <si>
    <t>"The PLST model (Hall &amp; Buckwalter, 1987) provides the foundation for a psychoeduca-tional intervention that assists formal and informal caregivers in understanding behaviors and plan-ning care for individuals with de-mentia. It has been tested widely since 1988. The model can be eas-ily understood by professional and non-professional caregivers and allows for flexible modification of the care plan based on individuals’ changing needs. The PLST model is a conceptual framework that organizes symp-toms, suggests causes of challenging behaviors, and teaches caregivers methods of modifying the envi-ronment to eliminate or minimize behavioral symptoms. The rea-sons for, or triggers of, symptoms can usually be modified in any setting, resulting in a decrease in behaviors distressing to caregiv-ers and individuals with dementia. The PLST model should empower caregivers by helping them pre-vent and manage the most difficult behaviors in Alzheimer’s disease. 
 [...] Interventions were conduct-ed at patients’ homes in their usual environment. Individuals with de-mentia and their caregivers in the experimental group were seen four times in a 6-month period. Each session lasted at least 1 hour. The intervention phase lasted 3 months. [...] The first home visit focused on understanding the behaviors of the individuals with dementia, how caregivers coped with these behav-iors, and difficulties experienced by caregivers. After 2 weeks, during the second home visit for caregivers in the experimental group, the PLST-based intervention was pro-vided and demonstrated. At the third home visit 2 months later, the care plan was reviewed, more techniques were taught, and writ-ten materials summarizing the care plan were provided. After the third home visit, follow-up telephone calls were made every 2 weeks. Ex-perimental group members also re-ceived a caregiver booklet prepared by the authors that contained a variety of educational and support materials, such as general informa-tion about the disease, common problems (e.g., sleep disturbances), how to administer medications, bathing, toileting, physical activi-ties, nutrition, and communication, as well as recommended reading for family members caring for individ-uals with dementia."</t>
  </si>
  <si>
    <t>34.71</t>
  </si>
  <si>
    <t>35</t>
  </si>
  <si>
    <t>18.82</t>
  </si>
  <si>
    <t>38.02</t>
  </si>
  <si>
    <t>21.49</t>
  </si>
  <si>
    <t>88.51</t>
  </si>
  <si>
    <t>8.28</t>
  </si>
  <si>
    <t>86</t>
  </si>
  <si>
    <t>9.15</t>
  </si>
  <si>
    <t>Routine care (control)</t>
  </si>
  <si>
    <t>Primary school: 49%; High school: 34%; University: 17%</t>
  </si>
  <si>
    <t>54</t>
  </si>
  <si>
    <t>62.28</t>
  </si>
  <si>
    <t>71</t>
  </si>
  <si>
    <t>Routine care</t>
  </si>
  <si>
    <t>"Comparison group members received routine care. In the routine care program, following diagnosis, caregivers were informed about the disease by physicians and given leaflets. When caregivers came to the outpatient visit with the pa-tients, they had an opportunity to ask physicians questions. Fre-quency of outpatient visits varied between every 6 months and once per year. Participants in the com-parison group were seen four times in a 6-month period at their home. Each session lasted approximately 1 hour. The first home visit fo-cused on a review of the study aims and protocols, obtaining informed consent, and data collection. After 2 weeks, during the second home visit for caregivers in the compari-son group, general information about care of individuals with de-mentia was presented and updated leaflets were provided. At the third home visit 2 months later, data were collected. At the last home visit 3 months later, data were again collected. After the study was completed, participants in the comparison group were provided with the experimental group pro-tocols."</t>
  </si>
  <si>
    <t>35.66</t>
  </si>
  <si>
    <t>17.07</t>
  </si>
  <si>
    <t>31.19</t>
  </si>
  <si>
    <t>16.54</t>
  </si>
  <si>
    <t>85.23</t>
  </si>
  <si>
    <t>5.68</t>
  </si>
  <si>
    <t>87.2</t>
  </si>
  <si>
    <t>5.69</t>
  </si>
  <si>
    <t>Shata 2017</t>
  </si>
  <si>
    <t>Control (No intervention)</t>
  </si>
  <si>
    <t>Psychogeriatric out‑patient clinic of Al‑Maamoura Psychiatric Hospital. Alexandria (urban setting)</t>
  </si>
  <si>
    <t>47.97</t>
  </si>
  <si>
    <t>69.5</t>
  </si>
  <si>
    <t>50.0</t>
  </si>
  <si>
    <t>59</t>
  </si>
  <si>
    <t>12.6</t>
  </si>
  <si>
    <t>0.74</t>
  </si>
  <si>
    <t>0.84</t>
  </si>
  <si>
    <t>0.15</t>
  </si>
  <si>
    <t>0.40</t>
  </si>
  <si>
    <t>Group psychosocial intervention programme</t>
  </si>
  <si>
    <t>49.35</t>
  </si>
  <si>
    <t>61.8</t>
  </si>
  <si>
    <t>8 week multi-component group psychosocial programme</t>
  </si>
  <si>
    <t>8 week multi-component group psychosocial programme. "Short‑term goalsincluded (1) improving caregivers’ knowledge aboutdementia, (2) helping caregivers to identify differentproblematic behaviors of care recipients and differentstrategies to handle such behaviors, and (3) providingsocial support for caregivers. Long‑term goals incorporated(1) acquiring the skills of handling problematic behaviors ofcare recipients, (2) enhancing caregivers’ skills and strategiesfor managing the burden of care, and (3) improvingcaregivers’ emotional status through acquiring skills ofcoping and stress management.  The program included three components: grouppsychoeducation (two sessions), brief group CBT(six sessions), and group support sessions that wereheld throughout the program covering topics similar topsychoeducation/CBT topics as illustrated in Table 1. Eachsession took 45–60 min. Training was conducted througha collaborative approach using illustrations, vignettes, roleplaying, brainstorming, group discussion, and audio‑visualaids. Different methods were used to achieve differentobjectives of the program. An intervention protocol withall details covering the above‑mentioned sessions wasprepared based on caregivers’ needs reported by them inthe early assessment phase, and on reviewing literaturefor other programs directed to caregivers’ of people withNCDs, worldwide. Culturally sensitive sessions weredesigned taking into consideration the characteristics ofparticipants. The program was implemented by the principalinvestigator (second author)."</t>
  </si>
  <si>
    <t>52.1</t>
  </si>
  <si>
    <t>55</t>
  </si>
  <si>
    <t>-17.40</t>
  </si>
  <si>
    <t>8.38</t>
  </si>
  <si>
    <t>-17.36</t>
  </si>
  <si>
    <t>8.34</t>
  </si>
  <si>
    <t>Lök 2017</t>
  </si>
  <si>
    <t>"First You Should Get Stronger" caregiving programme</t>
  </si>
  <si>
    <t>Erenköy - a rural village (population circa 1500) in Turkey. Intervention delivered at carers homes</t>
  </si>
  <si>
    <t>45.0</t>
  </si>
  <si>
    <t>52.97</t>
  </si>
  <si>
    <t>70.0</t>
  </si>
  <si>
    <t>7 session home delivered bespoke caregiver information programme focused on for strengthening the caregiver, decreasing the caregiving burden and developing healthy life style behaviours</t>
  </si>
  <si>
    <t>"Visits were carried
out by the researcher once every week with each session lasting
45 min. [...] The content of the program was designed in accordance with
the relevant literature before the study was implemented entia
(Alves, Teixeira, Azevedo, Duarte, &amp; Paúl, 2015; Arango-Lasprilla
et al., 2014; Ducharme et al., 2015; Hou et al., 2013; Pinquar and
Sörensen, 2006). We sought expert opinions from four faculty
members in the psychiatric nursing department (1), public health
nursing department (2), internal medical nursing department(1)
who were specialized in working with the families of patients with
dementia. Final revisions were made in the program in accordance
with the opinions of experts. The program consists of seven
sessions for strengthening the caregiver, decreasing the caregiving
burden and developing healthy life style behaviors (Table 1). [...] Session 1 Introduction, learning about dementia and the
individual for whom care is given
Session 2 Communication with individuals with dementia
(caregiving without being derogatory)
Session 3 Defining the difficulties experienced by the
individual with dementia
Session 4 Carrying out the systematics of daily works
Session 5 Determining social support systems
Session 6 Carrying out activities for enhancing and developing
the health of the caregiver
Session 7 General evaluation and closure"</t>
  </si>
  <si>
    <t>67.10</t>
  </si>
  <si>
    <t>7.18</t>
  </si>
  <si>
    <t>78.3</t>
  </si>
  <si>
    <t>4.46</t>
  </si>
  <si>
    <t>51.76</t>
  </si>
  <si>
    <t>65.0</t>
  </si>
  <si>
    <t>Appears to be no intervention</t>
  </si>
  <si>
    <t>79.30</t>
  </si>
  <si>
    <t>3.79</t>
  </si>
  <si>
    <t>78.45</t>
  </si>
  <si>
    <t>3.26</t>
  </si>
  <si>
    <t>Novelli 2018</t>
  </si>
  <si>
    <t>The study was conducted in the homes of the participating dyads of persons with dementia and caregivers, in a large city in Brazil (Santos)</t>
  </si>
  <si>
    <t>8.56 years</t>
  </si>
  <si>
    <t>53.33</t>
  </si>
  <si>
    <t>68.16</t>
  </si>
  <si>
    <t>73.33</t>
  </si>
  <si>
    <t>Waiting list for 4 months</t>
  </si>
  <si>
    <t>32.47</t>
  </si>
  <si>
    <t>11.55</t>
  </si>
  <si>
    <t>35.33</t>
  </si>
  <si>
    <t>13.55</t>
  </si>
  <si>
    <t>36.53</t>
  </si>
  <si>
    <t>3.64</t>
  </si>
  <si>
    <t>35.73</t>
  </si>
  <si>
    <t>4.08</t>
  </si>
  <si>
    <t>Tailored Activity Program - Brazilian Version (TAP-BR)</t>
  </si>
  <si>
    <t>Structured therapeutic psychosocial interventions</t>
  </si>
  <si>
    <t>Occupational therapy</t>
  </si>
  <si>
    <t>11.40 years</t>
  </si>
  <si>
    <t>46.66</t>
  </si>
  <si>
    <t>64.33</t>
  </si>
  <si>
    <t>93.33</t>
  </si>
  <si>
    <t>Tailored Activity Program - Brazilian Version (TAP-BR) for 4 months, including 8 sessions with an occupational therapist</t>
  </si>
  <si>
    <t>"The TAP-BR focuses on matching activities to the cognitive and functional capabilities, previous roles, habits, and interests of the person with dementia, as well as training family caregivers in their use as part of daily care. True to the original intervention, TAP-BR involved 8 sessions delivered by occupational therapists over 4 months in the home.The  program  has  been  described  in  more  detail elsewhere. Briefly, it is composed of 3 treatment phases. In phase 1 (assessment), the interventionist used a set of assessments to identify preserved capabilities (cognitive, physical and social skills, work performance,and mood), previous interests,frequency, and intensity of BPSD in the person with dementia,as well as communication techniques and daily care routines of the caregiver and the characteristics of home environment. As to the latter, lighting, access, seating, and other factors were considered in the locations of the home in which the chosen activities were to be performed. In phase 2 (implementation), interventionists applied the assessment data obtained in phase 1, worked with the care-givers and, if possible, the person with dementia, to identify and implement 3 potential activities of interest to be implemented therapeutically. Interventionists then tailored the chosen activities to match the capabilities of the person with dementia. For example, a person with dementia who is at fall risk, would be provided a seated activity; a person with moderate dementia who can recognize colors and shapes, but not sequencing, might be provided a sorting activity. Caregivers are provided with training about how to set up the activity and environment, 
 how to give instructions and offer cues, and how to lower their standard of performance (relax the rules). Emphasis is placed on communication and simplification techniques to ensure a supportive environment for the person with dementia and for the conduct of the activity. Each activity is demonstrated directly to the person with dementia, and contacts are spaced to provide families the opportunity to practice and use the activities independently. In phase 3 (generalization), interventionists continue to provide caregiver training and support by working with the caregiver, to learn how to simplify the activity in preparation for future declines, and how to generalize the strategies learned (eg, communication and task simplification) to other care challenges."</t>
  </si>
  <si>
    <t>Non-pharmacological intervention; intervention for carers</t>
  </si>
  <si>
    <t>30.33</t>
  </si>
  <si>
    <t>11.44</t>
  </si>
  <si>
    <t>30.40</t>
  </si>
  <si>
    <t>15.39</t>
  </si>
  <si>
    <t>38.67</t>
  </si>
  <si>
    <t>5.64</t>
  </si>
  <si>
    <t>41.47</t>
  </si>
  <si>
    <t>4.07</t>
  </si>
  <si>
    <t>Primary Cognition Measure standardized z-score change</t>
  </si>
  <si>
    <t>Type</t>
  </si>
  <si>
    <t>Baseline Score - Primary Cognition</t>
  </si>
  <si>
    <t>Number of Participants at Baseline</t>
  </si>
  <si>
    <t>Baseline SD</t>
  </si>
  <si>
    <t>Post Treatment Score</t>
  </si>
  <si>
    <t>Post Treatment N</t>
  </si>
  <si>
    <t>Post Treatment SD</t>
  </si>
  <si>
    <t>Post Treatment Time (Weeks from Start)</t>
  </si>
  <si>
    <t>Post Treatment Time (Months from Start)</t>
  </si>
  <si>
    <t>Intervention Brief introduction to the intervention</t>
  </si>
  <si>
    <t>Intervention Intervention details...98</t>
  </si>
  <si>
    <t>Wang 2010b</t>
  </si>
  <si>
    <t>Control group</t>
  </si>
  <si>
    <t>China</t>
  </si>
  <si>
    <t>Community</t>
  </si>
  <si>
    <t>No</t>
  </si>
  <si>
    <t>Chinese Mini Mental State Examination (CMMSE)</t>
  </si>
  <si>
    <t>Raw</t>
  </si>
  <si>
    <t>19.48</t>
  </si>
  <si>
    <t>40</t>
  </si>
  <si>
    <t>2.84</t>
  </si>
  <si>
    <t>18.5</t>
  </si>
  <si>
    <t>3.1</t>
  </si>
  <si>
    <t>12</t>
  </si>
  <si>
    <t>Home care as usual for a year</t>
  </si>
  <si>
    <t>Home care guidance</t>
  </si>
  <si>
    <t>Non-pharmacol</t>
  </si>
  <si>
    <t>Comprehensive care interventions</t>
  </si>
  <si>
    <t>Individual-based interventions</t>
  </si>
  <si>
    <t>19.21</t>
  </si>
  <si>
    <t>3.93</t>
  </si>
  <si>
    <t>21.02</t>
  </si>
  <si>
    <t>3.88</t>
  </si>
  <si>
    <t>Community comprehensive intervention for a year</t>
  </si>
  <si>
    <t>Phone contact weekly, Home visit monthly, for 1 year, covering the following 4 components: 1) Health Education, 2) Basic personal care, 3) Psycho-emotional support, 4) Rehabilitation training guide. "干预组开展全面、 综合的社区护理。健康知识宣教 社区护理人员根据 AD 患者及家属健康知识需求， 定期开展知识讲座， 发放 AD 患者及照顾者健康教育和康复指导手册， 并详细讲解， 使其理解掌握， 能够简单复述宣教内容； 每周电话访问 1 次， 倾听患者及家属的问题， 建立良好的护患关系， 取得患者信任； 每个月家庭访视 1 次， 现场进行健康教育宣传及护理技术指导， 为期 1 年。基础生活护理 ① 基础护理： 实施 “无缝医疗保健”［3］，社区护理人员与家属共同讨论确定患者在家中适合的照料方式。 给予患者细心的呵护， 安排合理的作息时间， 保证良好的睡眠质量； 保持皮肤清洁， 衣物洁净， 注意保暖， 预防皮肤及肺部等各系统的感染； 按时服药， 促进疾病恢复； 根据身体状况， 做适当的户外运动， 锻炼身体， 增强体质。 ② 安全护理：家里地面不宜过于光滑， 必要时在盥洗室等处安扶手， 防止患者 跌 倒； 行动困难患者如厕、 洗浴要有人陪伴， 以 防 意 外 发生； 家中锐器物品、 药品妥善放置， 避免患者自伤或误服； 易走失的患者， 随身携带与家人联系的卡片， 避免单独外出， 防止 丢 失 迷 路。 ③ 饮 食 护 理： 一日三餐定时定量， 饥 饱 适 宜，膳 食 搭 配 合 理， 以清淡营养丰富为主， 多 食 豆 类、 奶 类、 瘦肉、 蔬菜、 海鲜、 粗纤维等食物， 保证优质蛋白质、 多不饱和脂肪酸及维生素等营养素的摄取。心理情感支持 全面评估患者， 根据其性格特征， 采取个性化护理， 充分体现 “以人为本”。 定期为患者做心理情感咨询， 了解患者的心理情绪状态， 减少患者因情绪异常引起行为问题的发生。 鼓励患者参加力所能及的家庭社会活动， 如看书、 读报、 听广播、 种花、 下棋、 打球、 参加社区老人联谊会等， 以 分 散 注 意 力， 排 遣 不 良 情 绪， 增 加 交 流， 提 高 沟 通 能力， 使其感受到生活的乐趣及自身价值， 促进心理健康。 指导照顾者掌握与老年痴呆患者交流的方法， 用理解、 宽容， 诚恳的态度对待病人， 耐心听取病人的诉说， 细心观察患者的情绪变化， 尽量满足其合理要求； 成立社区老年痴呆患者照顾者病友会， 提供照顾者之间分享照顾技巧的途径， 同时有助于减轻照顾者的照顾感受压力。康 复 训 练 指 导 ① 益 智 训 练： 减 缓 记 忆、 智 能 衰 退，指导家属要经常提醒患者日期、 时间、 地址、 家中电话号码等信息， 鼓励患者对往事的回忆， 要不厌其烦， 帮助其强化近期记忆和激发远期记忆。 让患者做一些简单的数字排列和运算，识图， 折纸等活动， 每日不少于 30 min。 组织患者参加适宜的集体活动， 增强其自信心， 促进计算， 判断， 思维， 理解等认知能力及语言能力的恢复。 ② 日常生活能力训练： 根据患者自理能力， 选择力所能及的生活内容进行训练。 自理能力较好的患者， 尽量让其自己完成做饭、 吃饭、 穿衣、 洗漱、 洗澡、打扫房间等日常生活， 四肢关节经常活动能够保持手脚灵活，促进血液循环； 自理能力较差的患者， 家属协助其完成复杂的生活活动， 并做好肢体功能康复训练。"</t>
  </si>
  <si>
    <t>Multicomponent: i) non-pharmcol, ii) Interv for carers</t>
  </si>
  <si>
    <t>control group</t>
  </si>
  <si>
    <t>MMSE</t>
  </si>
  <si>
    <t>4.20</t>
  </si>
  <si>
    <t>Wang 2014a</t>
  </si>
  <si>
    <t>retried cadre's sanitarium</t>
  </si>
  <si>
    <t>14.12</t>
  </si>
  <si>
    <t>61</t>
  </si>
  <si>
    <t>3.12</t>
  </si>
  <si>
    <t>11.99</t>
  </si>
  <si>
    <t>6.39</t>
  </si>
  <si>
    <t>Memantine + Aricept + Usual community healthcare service and personal care for 1 year</t>
  </si>
  <si>
    <t>"对照组只给予一般
的社区卫生服务和生活护理，未进行居家护理干预"</t>
  </si>
  <si>
    <t>Multicoponent: Pharmaceutical, Non-pharmacol</t>
  </si>
  <si>
    <t>44.53</t>
  </si>
  <si>
    <t>7.56</t>
  </si>
  <si>
    <t>38.95</t>
  </si>
  <si>
    <t>6.57</t>
  </si>
  <si>
    <t>treatment group</t>
  </si>
  <si>
    <t>14.19</t>
  </si>
  <si>
    <t>62</t>
  </si>
  <si>
    <t>15.98</t>
  </si>
  <si>
    <t>5.49</t>
  </si>
  <si>
    <t>Memantine + Aricept + Standardised home care intervention, incl. carer training on personl care, psychosocial support, safety, rehabilitation, and regular home visit; for 1 year</t>
  </si>
  <si>
    <t>"所有患者均由神经内科专科医生处方给药，主要为安理申和美金刚，均坚持服药治疗。试验组采用规范的居家护理干预模式进行为期 员 年的规范干预。"</t>
  </si>
  <si>
    <t>Multicoponent: Pharmaceutical, Non-pharmacol, Interv. for carers</t>
  </si>
  <si>
    <t>32.99</t>
  </si>
  <si>
    <t>6.35</t>
  </si>
  <si>
    <t>33.16</t>
  </si>
  <si>
    <t>5.29</t>
  </si>
  <si>
    <t>Mercedeh 2014</t>
  </si>
  <si>
    <t>Controlled group</t>
  </si>
  <si>
    <t>Precise setting not stated but members of an Alzheimers Association and took place in urban Tehran.</t>
  </si>
  <si>
    <t>100%</t>
  </si>
  <si>
    <t>44.7</t>
  </si>
  <si>
    <t>10</t>
  </si>
  <si>
    <t>13.71</t>
  </si>
  <si>
    <t>25.30</t>
  </si>
  <si>
    <t>7.33</t>
  </si>
  <si>
    <t>19.4</t>
  </si>
  <si>
    <t>9.21</t>
  </si>
  <si>
    <t>12.7</t>
  </si>
  <si>
    <t>4.57</t>
  </si>
  <si>
    <t>37.57</t>
  </si>
  <si>
    <t>12.80</t>
  </si>
  <si>
    <t>47.61</t>
  </si>
  <si>
    <t>18.32</t>
  </si>
  <si>
    <t>Experimental group</t>
  </si>
  <si>
    <t>17.6</t>
  </si>
  <si>
    <t>17.46</t>
  </si>
  <si>
    <t>24</t>
  </si>
  <si>
    <t>14.25</t>
  </si>
  <si>
    <t>31.60</t>
  </si>
  <si>
    <t>16.36</t>
  </si>
  <si>
    <t>6.7</t>
  </si>
  <si>
    <t>2.54</t>
  </si>
  <si>
    <t>6.16</t>
  </si>
  <si>
    <t>68.93</t>
  </si>
  <si>
    <t>18.3</t>
  </si>
  <si>
    <t>70.98</t>
  </si>
  <si>
    <t>11.11</t>
  </si>
  <si>
    <t>58.01</t>
  </si>
  <si>
    <t>24.01</t>
  </si>
  <si>
    <t>Baseline For studies in carers only: Part-time working (percent)</t>
  </si>
  <si>
    <t>Wang 2012e</t>
  </si>
  <si>
    <t>Mutual support group</t>
  </si>
  <si>
    <t>"The caregivers were recruited from a list of people with dementia attending one of two dementia resources and respite care centers in Guangzhou, Guangdong Province of mainland China. The resource center provided daytime physical care, self-care and skills training for clients, respite care, social and recreational activi-ties, and care-giving resources to about 3,000 clients with dementia, and their family members. The cli-ents with dementia were received to this center from mainly three sources, including: a regional psychiat-ric center, two psychiatric outpatient departments, and Social Security and Welfare Department of The Government."</t>
  </si>
  <si>
    <t>51.3</t>
  </si>
  <si>
    <t>35.9% (18-30yr);   41% (31-50yr);      23.1% (51-70yr)</t>
  </si>
  <si>
    <t>59.0</t>
  </si>
  <si>
    <t>33.3</t>
  </si>
  <si>
    <t>25.7</t>
  </si>
  <si>
    <t>Peer-led mutual support group sessions, 1.5 hours every two weeks over a 24-week period, in addition to usual care</t>
  </si>
  <si>
    <t>"The peer-led mutual support group met bi-weekly, for a total of 12 1.5-hour sessions. All group sessions mainly consisted of information giving, sharing and discussion, psychological support, and problem solving; and a group protocol was spe-cifi cally designed for this study, based on evidence from other mutual support group intervention studies (Almberg et al., 1997; Fung &amp; Chien 2002; Toseland et al., 1989). Seven major themes of fam-ily support groups formed the basis for group members’ interactions and purposive activities in each session, including: (1) information about cli-ent’s condition; (2) development of group as a sup-port system; (3) emotional impact of care-giving; (4) learning about self-care; (5) improvement of interpersonal relationships; (6) establishing sup-port outside the group; and (7) improvement of home care skills. The protocol of the mutual sup-port group is presented in Table 1.To foster the use of problem-solving strategy within the group, at least one group members shared personal care-giving problems with other members in each session and these problems were worked on using a six-step model suggested by Zarit, Orr, and Zarit (1985). These six steps consisted of defi ning the problem, generation of alternatives, examining and evaluating each alternative, cognitive rehearsal of action plan, execution of the plan as homework, and evaluation of agreed outcomes.An advanced practice psychiatric nurse, who had more than 5 years of experience in dementia care and community mental health services and had experienced group facilitation, was chosen as facilitator for the supportive group. This nurse attended a 2-day training workshop organized by the research team on facilitation of a mutual sup-port group before the study was started. During the 24-week group intervention, the audio-taped group sessions were reviewed by the facilitator, together with the research team, to monitor treat-ment integrity, adherence to the protocol and any questions from group members.One to two peer leaders, elected by the group members, agreed to coordinate and plan the group sessions with the facilitator’s consultation, as suggested by Chien et al. (2006) and Toseland et al. (1989). The elected leaders were experienced in family and dementia care and received three 4-hour training sessions on planning and leading a mutual support group, using the protocol."</t>
  </si>
  <si>
    <t>114.02</t>
  </si>
  <si>
    <t>39</t>
  </si>
  <si>
    <t>13.98</t>
  </si>
  <si>
    <t>97.89</t>
  </si>
  <si>
    <t>14.11</t>
  </si>
  <si>
    <t>Routine care group (control)</t>
  </si>
  <si>
    <t>33.3% (18-30yr);    43.6% (31-50yr);    23.1% (51.70yr)</t>
  </si>
  <si>
    <t>64.1</t>
  </si>
  <si>
    <t>25.6</t>
  </si>
  <si>
    <t>Conventional family services provided by dementia centers, including medical consultation, financial and social services advice, educational talks on dementia care, and referals and advice on medical and social services</t>
  </si>
  <si>
    <t>"The control group received the conventional family services provided by the dementia centers. Similar to the other big cities in Guangdong and other Provinces of mainland China, the services included: (1) medical consultation of client and advice to family on client’s illness condition,  treatment plan and effects of med-ications provided on monthly basis by two visiting doctors; (2) advice and referrals of fi nancial aids and social welfare services provided by a social worker; (3) educational talk or seminars in dementia care conducted by registered general nurses; and (4) refer-rals and advices on medical and social services by the center staff. In other developing cities and sub-urban or remote areas, there is not any dementia care cen-ter and the only health care service that those fami-lies can obtain is the medical consultation by visiting doctors and their referrals to hospital care whenever necessary.Participants in the control group were informed about community supporting ser-vices for dementia care and referral to appropri-ate agencies for respite could be obtained from staff in the dementia center. After post-test, the research assistant asked them whether they would like to participate in a mutual support group spe-cifi cally organized for them."</t>
  </si>
  <si>
    <t>88.19</t>
  </si>
  <si>
    <t>103.71</t>
  </si>
  <si>
    <t>9.28</t>
  </si>
  <si>
    <t>Lin 2017</t>
  </si>
  <si>
    <t>Nursing intervention</t>
  </si>
  <si>
    <t>urban, community</t>
  </si>
  <si>
    <t>66.54</t>
  </si>
  <si>
    <t>66.67</t>
  </si>
  <si>
    <t>25.64</t>
  </si>
  <si>
    <t>"Nursing intervention according to the community nurse family visit program set up in this study, including the caregiver training, issued “dementia caregivers manual’’ and telephone follow—up for period of 3 months"</t>
  </si>
  <si>
    <t xml:space="preserve">"1．2．1．1方案制定及社区护士培训 研究者在文献 查阅基础上形成初稿，经4位精神科及老年科护理领 域专家论证后，最终形成《社区失智老人居家照顾者照 护技能培训方案》及《失智症照顾者手册》。社区护士 失智症管理培训以学习讲座形式进行，由4位失智症 护理及老年护理领域专家授课，内容主要包括：①家庭 访视的方法和技巧；②认识失智症；③失智症的家庭护 理；④失智症日常康复训练；⑤照顾者自我照顾及社区 资源支持；⑥常规护理实践指导；⑦失智症日常生活照 顾实践指导等。采用体验式学习法，以情景模拟体验、 案例分析分享、小组讨论交流等多种方式进行，由授课 专家对培训护士进行理论及实践操作考核。共计5次 课程，每次3 h～4 h。 1．2．1．2人员分配及家庭访视 根据社区医护人员 课程培训结果，对培训合格的社区护士进行人员分配 及职责划分，每名护士负责3例～4例失智老人居家 照顾者的家庭访视，每2周进行1次集中讨论，讨论本 组内失智老人及其照顾者的现况并实时更新记录，如 遇不能解决的照顾问题，及时向专家求助。家庭访视 每周1次，每次1．5 h～2．0 h，具体工作可进行个体化 调整，注重理论学习与实际生活的联系，所有内容都要
针对照顾者家庭的实际情况由社区护士进行一对一指 导。首次家庭访视时主动进行自我介绍，获得照顾者 的信任和许可后，发放《失智症照顾者手册》及用以预 防失智老人走失的“黄手环”，评估失智老人的基本情 况(病人病情、日常生活能力等)及照顾者需求(疾病知 识、协助病人日常活动、环境安全设施设置等)等问题 并记录，结合手册进行失智症疾病基础知识的指导，使 照顾者意识到失智症并非是正常老化所造成的，是需 要治疗和护理的，让照顾者对失智症有一定的了解。 第2次结合“日常生活照顾指导”主题，按照家庭访视 常规流程进行，以手册为基础对照顾者进行饮食、口腔 卫生、排泄、洗澡穿衣及睡眠休息等内容的指导，如何 为失智老人提供营养丰富的三餐，运用定时如厕等方 法避免失智老人弄脏衣裤等。第3次进行“安全护理” 及“康复技能”指导，如何预防与应对异常行为、定向力 及记忆力训练等内容，引导失智老人浏览老照片、讲述 老故事以延缓记忆衰退等。第4次进行“照顾者自我 照顾”及“社区医疗资源利用”指导，引导照顾者接纳病 人，进行自我心理调适；合理安排时间，多参与健身及 娱乐活动以丰富生活，同时减轻照顾压力；多与家庭成 员交流，勇于表达自己的难处，接受外界的帮助，建立 有效的家庭支持系统；合理接纳和利用来自社区医疗 机构及心理援助组织的相关医疗支持；了解日间照护中心、“护老者之家”、喘息服务等政府养老服务资源并 学会根据自己的实际情况做出最佳的医疗服务决策。 在进行理论学习的同时，根据被访家庭的具体情况，由 社区护士为其提供个性化的支持和指导，注重与照顾 者的交流，利用倾听、共情、肢体接触等方式为照顾者 提供心理及情感支持，允许照顾者通过抱怨、哭泣等方 式进行不良情绪的发泄；将社区养老服务机构的宣传 资料发给照顾者，详细介绍社区资源的使用条件及方 法，同照顾者一起根据失智老人的健康状况及家庭条 件选择最佳的养老服务；陪照顾者检视家庭环境，排除 存在跌倒风险的居家陈设，减少青团、糕团等易诱发噎 食的食物，引导照顾者积极对待照顾活动，将所学知识 真正融人实际生活。 1．2．1．3 电话随访 家庭访视结束后，每周1次电话 随访照顾者，通过与照顾者电话沟通了解仍未解决的 问题，并予以指导，根据情况可以安排再次进行人户。 第2个月开始每两周进行1次电话随访，直至干预 结束。 "
</t>
  </si>
  <si>
    <t>15.49</t>
  </si>
  <si>
    <t>33.64</t>
  </si>
  <si>
    <t>16.10</t>
  </si>
  <si>
    <t>53.51</t>
  </si>
  <si>
    <t>5.88</t>
  </si>
  <si>
    <t>55.04</t>
  </si>
  <si>
    <t>48.82</t>
  </si>
  <si>
    <t>Routine community management (control)</t>
  </si>
  <si>
    <t>62.79</t>
  </si>
  <si>
    <t>56.41</t>
  </si>
  <si>
    <t>28.21</t>
  </si>
  <si>
    <t>Routine community management</t>
  </si>
  <si>
    <t>"接受常规社区卫生服务，依照社区精 神类疾病护理管理常规进行，照顾者根据失智老人病 情变化可随时根据需要前往社区卫生服务中心等医疗 单位就诊。 "</t>
  </si>
  <si>
    <t>community management</t>
  </si>
  <si>
    <t>10.60</t>
  </si>
  <si>
    <t>58.26</t>
  </si>
  <si>
    <t>9.18</t>
  </si>
  <si>
    <t>56.46</t>
  </si>
  <si>
    <t>4.00</t>
  </si>
  <si>
    <t>46.77</t>
  </si>
  <si>
    <t>48.67</t>
  </si>
  <si>
    <t>Measurement method</t>
  </si>
  <si>
    <t>Baseline</t>
  </si>
  <si>
    <t>Baseline_N</t>
  </si>
  <si>
    <t>Baseline_SD</t>
  </si>
  <si>
    <t>Post-study</t>
  </si>
  <si>
    <t>Post-study_N</t>
  </si>
  <si>
    <t>Post-study_SD</t>
  </si>
  <si>
    <t>Duration</t>
  </si>
  <si>
    <t>6 months</t>
  </si>
  <si>
    <t>ZBI</t>
  </si>
  <si>
    <t>Mesurement type</t>
  </si>
  <si>
    <t>Change from baseline</t>
  </si>
  <si>
    <t>Change from baseline (Adjusted standardised mean difference between intervention and control groups)</t>
  </si>
  <si>
    <t>8 weeks</t>
  </si>
  <si>
    <t>14 weeks</t>
  </si>
  <si>
    <t>7 weeks</t>
  </si>
  <si>
    <t>4 months</t>
  </si>
  <si>
    <t>1 month</t>
  </si>
  <si>
    <t>Note</t>
  </si>
  <si>
    <t>Follow-up</t>
  </si>
  <si>
    <t>Follow-up_N</t>
  </si>
  <si>
    <t>Follow-up_SD</t>
  </si>
  <si>
    <t>3 months</t>
  </si>
  <si>
    <t>Change from baseline (Raw)</t>
  </si>
  <si>
    <t>Caregiver Burden Inventory (CBI)</t>
  </si>
  <si>
    <t>Alternative_measurement</t>
  </si>
  <si>
    <t>BPSD (NPI-Q)</t>
  </si>
  <si>
    <t>Caregiver distress</t>
  </si>
  <si>
    <t>Caregiver psychological morbidity</t>
  </si>
  <si>
    <t>SRQ-20</t>
  </si>
  <si>
    <t>Measured variable</t>
  </si>
  <si>
    <t>Caregiver burden</t>
  </si>
  <si>
    <t>Unspecified</t>
  </si>
  <si>
    <t>Depression</t>
  </si>
  <si>
    <t>Caregiver physical quality of life</t>
  </si>
  <si>
    <t>WHO-QoL-Bref</t>
  </si>
  <si>
    <t>Quality of life</t>
  </si>
  <si>
    <t>Caregiver quality of life</t>
  </si>
  <si>
    <t>QOL-AD caregivers</t>
  </si>
  <si>
    <t>WHOQOL-BREF</t>
  </si>
  <si>
    <t>Activities of Daily Living</t>
  </si>
  <si>
    <t>ADL</t>
  </si>
  <si>
    <t>24 weeks</t>
  </si>
  <si>
    <t>1 month after 24 week intervention</t>
  </si>
  <si>
    <t>12 months</t>
  </si>
  <si>
    <t>The study has two measurement points (6 months and 12 months)</t>
  </si>
  <si>
    <t>The study doesn't have measurements immediately after the intervention</t>
  </si>
  <si>
    <t>Hinton 2020</t>
  </si>
  <si>
    <t>REACH VA is based on REACH II and consists of four “core” training sessions on problem solving, mood management/cognitive restructuring, stress management (eg, signal breath, pleasant event scheduling), and communication, plus up to two additional sessions based on caregiver’s needs and clinical judgment. In REACH VA, the sessions last 1 hour and are delivered by a trained interventionist by telephone, telehealth, or face-to-face. Our culturally adapted and manualized intervention, REACH VN, is based on the REACH VA intervention, with modifications to make it suitable for the context of a semi-rural area in Vietnam. We used a multi-step cultural adaptation process guided by existing frameworks commonly used in global health. 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t>
  </si>
  <si>
    <t>Vietnam</t>
  </si>
  <si>
    <t>Mild to Severe Alzheimer’s Disease (CDR &gt; 1)</t>
  </si>
  <si>
    <t>Alzheimer’s Disease</t>
  </si>
  <si>
    <t>Mild to Severe</t>
  </si>
  <si>
    <t>Implementation of discharge guidance plan, establishment of Wechat group for the discharged patients, opening of hotline, online provision of AD rehabilitation, nursing and medication guidance. The Wechat group and hotline mainly have the following functions, inquiry function. After the patients release or call to raise nursing and medication issues within the group, the designated nursing team members should reply within 1 d and organize appropriate case extension analysis and discussion within the Wechat group. For privacy problems of the individual patients and nursing staff, Wechat private chat or telephone contact was used. When the problems could not be solved remotely, the patients were required to return to the hospital for further consultation. The control group received routine health education and nursing guidance after discharge, while the observation group received additional extended nursing scheme for 1 y, including daily living ability training, body function training, language training, memory training, music therapy, psychological nursing support and offline collective activities of patients. ​ ​</t>
  </si>
  <si>
    <t>Moderate to Severe Alzheimer's Disease</t>
  </si>
  <si>
    <t>Moderate to Severe</t>
  </si>
  <si>
    <t>Chen 2020</t>
  </si>
  <si>
    <t>Uyar 2019</t>
  </si>
  <si>
    <t>The group received group training and support, home visits and individual support through telephonic interviews. Caregivers were unable to attend group training when they could not find anyone to leave their patients. This handicap was tried to be overcome with the WhatsApp group and house visits. WhatsApp group was set up to make caregivers communicate and interact with each other and researchers. During 16 weeks, caregivers were interviewed routinely per month; four face-to-face interviews were conducted with each patient–caregiver dyad. We interviewed the CG (n = 31) two times during the data collection process. The group received just routine hospital care. At the end of 16 weeks, the programme was provided to this group too.</t>
  </si>
  <si>
    <t>Mild to Severe Alzheimer’s Disease</t>
  </si>
  <si>
    <t>Mild to Severe </t>
  </si>
  <si>
    <t>Govindakumari 2020</t>
  </si>
  <si>
    <t>selected community settings of Puducherry</t>
  </si>
  <si>
    <t>Mild dementia</t>
  </si>
  <si>
    <t>Mild dementia </t>
  </si>
  <si>
    <t>Some concerns</t>
  </si>
  <si>
    <t>Ghaffari 2019</t>
  </si>
  <si>
    <t>The study population consisted of family caregivers of elderly Alzheimer’s patients who referred to hospitals and neurologists’ offices located in the western cities of Mazandaran province, Iran (Ghaemshahr Razi Hospital; Ramsar, Tonekabon, and Ghaemshahr neurologists’ offices)</t>
  </si>
  <si>
    <t>Mild cognitive impairment.</t>
  </si>
  <si>
    <t>Mild cognitive impairment</t>
  </si>
  <si>
    <t>Pan 2019</t>
  </si>
  <si>
    <t>Zarepour 2020</t>
  </si>
  <si>
    <t>Moderate to Severe dementia (MMSE ≤17)</t>
  </si>
  <si>
    <t>Soc Son, a semi-rural district in Hanoi with a longstanding history of collaboration with the NGH. Soc Son is more economically advantaged compared with many other semirural areas due to its proximity to Hanoi and location near the international airport, an area undergoing considerable economic development. A convenience sample of 12 clusters was chosen based on their proximity to NGH, their participation in the NGH dementia registry, and history of successfully participating in prior research projects and initiatives.</t>
  </si>
  <si>
    <t>Enhanced control</t>
  </si>
  <si>
    <t>Participants assigned to the enhanced control condition received a single face-to-face session at the time of enrollment in the caregiver’s home (or another place of their choosing) that focused on education about the nature of dementia and included the provision of written educational materials. In addition, any safety issues identified during the single home visit were addressed by research staff.</t>
  </si>
  <si>
    <t>REACH VN</t>
  </si>
  <si>
    <t>58.7 ± 13.9 years</t>
  </si>
  <si>
    <t>59.0 ± 10.4 years</t>
  </si>
  <si>
    <t>Depression/anxiety</t>
  </si>
  <si>
    <t>PHQ-4</t>
  </si>
  <si>
    <t>Yes (Intervention was implemented among carer, but outcomes were measured among patients)</t>
  </si>
  <si>
    <t>Observation group</t>
  </si>
  <si>
    <t>Patients with moderate and severe AD admitted to the People’s Hospital of Nanjing Medical University from February 2016 to March 2018</t>
  </si>
  <si>
    <t>Urban, Manisa Celal Bayar University (MCBU) Hafsa Sultan Hospital Dementia Outpatient Clinic in Manisa</t>
  </si>
  <si>
    <t>The group received just routine hospital care. At the end of 16 weeks, the programme was provided to this group too.</t>
  </si>
  <si>
    <t>8/30 illiterate, 3/30 literate, 15/30 primary school, 1/30 middle school, 2/30 high school, 1/30 university</t>
  </si>
  <si>
    <t>4/31 illiterate, 9/31 literate, 9/31 primary school, 3/31 middle school, 3/31 high school, 3/30 university</t>
  </si>
  <si>
    <t>&gt; 53 years: 40% (12/30)</t>
  </si>
  <si>
    <t>&gt; 53 years: 58% (18/31)</t>
  </si>
  <si>
    <t>16 weeks</t>
  </si>
  <si>
    <t>NPI-D</t>
  </si>
  <si>
    <t>Multiple metrics available: SF36 mental health, BDI, BAI, NPI-D</t>
  </si>
  <si>
    <t>BDI</t>
  </si>
  <si>
    <t>BAI</t>
  </si>
  <si>
    <t>Anxiety</t>
  </si>
  <si>
    <t>Quality of Life Scale SF36 mental health</t>
  </si>
  <si>
    <t>Mental health</t>
  </si>
  <si>
    <t>Cognitive training was given to all eligible subjects individually two sessions weekly continuously for a period of 1 month i.e. a total of 8 sessions. Each session will take approximately 1 hour.</t>
  </si>
  <si>
    <t>None stated</t>
  </si>
  <si>
    <t>The authors used SE rather than SD</t>
  </si>
  <si>
    <t>Overall quality of life</t>
  </si>
  <si>
    <t>Quality of life - Physical health</t>
  </si>
  <si>
    <t>SF36 Physical health</t>
  </si>
  <si>
    <t>9/25 primary education, 11/25 high school diploma, 5/25 university education</t>
  </si>
  <si>
    <t>3/25 primary education, 8/25 high school diploma, 14/25 university education</t>
  </si>
  <si>
    <t>43.4 ± 6.3 years</t>
  </si>
  <si>
    <t>42.6 ± 6.2 years</t>
  </si>
  <si>
    <t>The intervention was administered as a training program that aimed to promote resilience development through PowerPoint presentations and educational pamphlets. These were supplied through a lecture for the intervention group. The program was based on HendersonMilstein and Kravets’ resilience education projects, as presented in Table 1 (11, 12).</t>
  </si>
  <si>
    <t>There was no intervention designed for the control group and the participants in this group received routine care, such as education on medicinal and non-medicinal care for their patients.</t>
  </si>
  <si>
    <t>The authors did not measure caregiver burden</t>
  </si>
  <si>
    <t>Intervention was implemented among carer, but outcomes were measured among patients</t>
  </si>
  <si>
    <t>Family caregivers were recruited via resident and staff referrals from community health centers and neurological units of a tertiary hospital of a city in southeast China.</t>
  </si>
  <si>
    <t>This NLCBI comprised five monthly 60-minute individual sessions conducted at caregivers’ homes at the beginning of each month by appointment, with a 20- to 30-minute consultation call in the middle of the month. Duration of the intervention and follow up was determined based on the time of an interventional effect and retention of respondents. Five RNs were trained on the intervention protocol and psychosocial communication techniques. Although nurses were instructed to follow the protocol, minimal flexibility was allowed to adapt to individual caregivers. A discussion group in an E-chat room using WeChat software was set up for communication among nurse interventionists to ensure consistency in the intervention. At the initial session, caregivers agreed to make up a session within a few days after a missed appointment.</t>
  </si>
  <si>
    <t>Caregivers in the control group were provided with five monthly, short (5 to 10 minutes), general conversations with a nurse interventionist at the beginning of each month either at caregivers’ homes, at the hospital, or via telephone as convenient. No in-depth instructions were given; conversations were casual chats on caregivers’ daily lives and health.</t>
  </si>
  <si>
    <t>63.27 ± 11.22</t>
  </si>
  <si>
    <t>62.09 ± 10.56</t>
  </si>
  <si>
    <t>Mutality</t>
  </si>
  <si>
    <t>Active coping</t>
  </si>
  <si>
    <t>Passive coping</t>
  </si>
  <si>
    <t>CES-D</t>
  </si>
  <si>
    <t>2 months</t>
  </si>
  <si>
    <t>Caregiver psychological quality of life</t>
  </si>
  <si>
    <t>Multiple metrics available: SRQ-20, WHO-QoL-Bref, BPSD (NPI-Q)</t>
  </si>
  <si>
    <t>15-item Mutuality Scale</t>
  </si>
  <si>
    <t>Simplified Coping Scale</t>
  </si>
  <si>
    <t>Multiple metrics available</t>
  </si>
  <si>
    <t>Geriatric clinic in Imam Reza and other neurology clinics affiliated to Shiraz University of Medical Sciences, Shiraz, Iran. The target population included family caregivers of the elderly people with dementia living in Shiraz.</t>
  </si>
  <si>
    <t>The intervention group was provided with educational intervention and a scientifically valid educational book approved by faculty members in Shiraz University of Medical Sciences.</t>
  </si>
  <si>
    <t>The control group did not receive any formal education regarding the care of the elderly with dementia, during the study. In order to have ethical considerations in the research, after conducting the study, the educational programs were carried out and also, a book was provided for them.</t>
  </si>
  <si>
    <t>Spielberger questionnaires</t>
  </si>
  <si>
    <t>Somatic symptoms</t>
  </si>
  <si>
    <t>Social dysfunction</t>
  </si>
  <si>
    <t>GHQ-28</t>
  </si>
  <si>
    <t>Anxiety/insomnia</t>
  </si>
  <si>
    <t>The authors used SE rather than SD. I converted SE to SD, assuming N = 157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</si>
</sst>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FF0000"/>
      <name val="Calibri"/>
      <family val="2"/>
      <scheme val="minor"/>
    </font>
    <font>
      <sz val="8"/>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rgb="FFDCE6F1"/>
        <bgColor rgb="FF000000"/>
      </patternFill>
    </fill>
  </fills>
  <borders count="1">
    <border>
      <left/>
      <right/>
      <top/>
      <bottom/>
      <diagonal/>
    </border>
  </borders>
  <cellStyleXfs count="1">
    <xf numFmtId="0" fontId="0" fillId="0" borderId="0"/>
  </cellStyleXfs>
  <cellXfs count="12">
    <xf numFmtId="0" fontId="0" fillId="0" borderId="0" xfId="0"/>
    <xf numFmtId="0" fontId="0" fillId="2" borderId="0" xfId="0" applyFill="1"/>
    <xf numFmtId="0" fontId="0" fillId="3" borderId="0" xfId="0" applyFill="1"/>
    <xf numFmtId="10" fontId="0" fillId="3" borderId="0" xfId="0" applyNumberFormat="1" applyFill="1"/>
    <xf numFmtId="9" fontId="0" fillId="3" borderId="0" xfId="0" applyNumberFormat="1" applyFill="1"/>
    <xf numFmtId="0" fontId="1" fillId="3" borderId="0" xfId="0" applyFont="1" applyFill="1"/>
    <xf numFmtId="10" fontId="1" fillId="3" borderId="0" xfId="0" applyNumberFormat="1" applyFont="1" applyFill="1"/>
    <xf numFmtId="0" fontId="1" fillId="2" borderId="0" xfId="0" applyFont="1" applyFill="1"/>
    <xf numFmtId="0" fontId="0" fillId="4" borderId="0" xfId="0" applyFill="1"/>
    <xf numFmtId="0" fontId="1" fillId="0" borderId="0" xfId="0" applyFont="1"/>
    <xf numFmtId="0" fontId="1" fillId="4" borderId="0" xfId="0" applyFont="1" applyFill="1"/>
    <xf numFmtId="9" fontId="1" fillId="3"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0/07/relationships/rdRichValueWebImage" Target="richData/rdRichValueWebImage.xml"/><Relationship Id="rId13" Type="http://schemas.microsoft.com/office/2017/06/relationships/rdSupportingPropertyBagStructure" Target="richData/rdsupportingpropertybagstructure.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06/relationships/richStyles" Target="richData/rich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Array" Target="richData/rdarray.xml"/><Relationship Id="rId5" Type="http://schemas.openxmlformats.org/officeDocument/2006/relationships/styles" Target="styles.xml"/><Relationship Id="rId15" Type="http://schemas.microsoft.com/office/2017/06/relationships/rdRichValueTypes" Target="richData/rdRichValueTyp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 Id="rId14" Type="http://schemas.microsoft.com/office/2017/06/relationships/rdSupportingPropertyBag" Target="richData/rdsupportingpropertybag.xml"/></Relationship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vietnam" TargetMode="External"/><Relationship Id="rId3" Type="http://schemas.openxmlformats.org/officeDocument/2006/relationships/hyperlink" Target="https://www.bing.com/th?id=AMMS_937daafe5b9e6fc2f4fedb027ace1105&amp;qlt=95" TargetMode="External"/><Relationship Id="rId7" Type="http://schemas.openxmlformats.org/officeDocument/2006/relationships/hyperlink" Target="https://www.bing.com/th?id=AMMS_f63a1a3d7e447e702a8dee0300def445&amp;qlt=95" TargetMode="External"/><Relationship Id="rId2" Type="http://schemas.openxmlformats.org/officeDocument/2006/relationships/hyperlink" Target="https://www.bing.com/images/search?form=xlimg&amp;q=india" TargetMode="External"/><Relationship Id="rId1" Type="http://schemas.openxmlformats.org/officeDocument/2006/relationships/hyperlink" Target="https://www.bing.com/th?id=AMMS_8f636e3a9026f54a814b5a86b90d2876&amp;qlt=95" TargetMode="External"/><Relationship Id="rId6" Type="http://schemas.openxmlformats.org/officeDocument/2006/relationships/hyperlink" Target="https://www.bing.com/images/search?form=xlimg&amp;q=china" TargetMode="External"/><Relationship Id="rId5" Type="http://schemas.openxmlformats.org/officeDocument/2006/relationships/hyperlink" Target="https://www.bing.com/th?id=AMMS_e4398ddce352c97429d2472a6a6471ea&amp;qlt=95" TargetMode="External"/><Relationship Id="rId4" Type="http://schemas.openxmlformats.org/officeDocument/2006/relationships/hyperlink" Target="https://www.bing.com/images/search?form=xlimg&amp;q=egypt"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Srd>
</file>

<file path=xl/richData/rdarray.xml><?xml version="1.0" encoding="utf-8"?>
<arrayData xmlns="http://schemas.microsoft.com/office/spreadsheetml/2017/richdata2" count="30">
  <a r="10">
    <v t="r">21</v>
    <v t="r">22</v>
    <v t="r">23</v>
    <v t="r">24</v>
    <v t="r">25</v>
    <v t="r">26</v>
    <v t="r">27</v>
    <v t="r">28</v>
    <v t="r">29</v>
    <v t="r">30</v>
  </a>
  <a r="2">
    <v t="s">Hindi</v>
    <v t="s">Indian English</v>
  </a>
  <a r="35">
    <v t="r">49</v>
    <v t="r">50</v>
    <v t="r">51</v>
    <v t="r">52</v>
    <v t="r">53</v>
    <v t="r">54</v>
    <v t="r">55</v>
    <v t="r">56</v>
    <v t="r">57</v>
    <v t="r">58</v>
    <v t="r">59</v>
    <v t="r">60</v>
    <v t="r">61</v>
    <v t="r">62</v>
    <v t="r">63</v>
    <v t="r">64</v>
    <v t="r">65</v>
    <v t="r">66</v>
    <v t="r">67</v>
    <v t="r">68</v>
    <v t="r">69</v>
    <v t="r">70</v>
    <v t="r">71</v>
    <v t="r">72</v>
    <v t="r">73</v>
    <v t="r">74</v>
    <v t="r">75</v>
    <v t="r">76</v>
    <v t="r">77</v>
    <v t="r">78</v>
    <v t="r">79</v>
    <v t="r">80</v>
    <v t="r">81</v>
    <v t="r">82</v>
    <v t="s">Geography of Jammu and Kashmir</v>
  </a>
  <a r="1">
    <v t="s">Indian Standard Time</v>
  </a>
  <a r="3">
    <v t="r">109</v>
    <v t="s">Mohammad Mokhber (Vice President)</v>
    <v t="r">110</v>
  </a>
  <a r="1">
    <v t="s">Persian</v>
  </a>
  <a r="1">
    <v t="s">Iran Standard Time</v>
  </a>
  <a r="5">
    <v t="s">Alejandro Neyra (Minister)</v>
    <v t="s">Ariela Luna (Minister)</v>
    <v t="s">Pedro Castillo (President)</v>
    <v t="s">Dina Boluarte (Vice President)</v>
    <v t="s">Aníbal Torres (Prime Minister)</v>
  </a>
  <a r="3">
    <v t="s">Spanish</v>
    <v t="s">Aymara language</v>
    <v t="s">Quechuan languages</v>
  </a>
  <a r="2">
    <v t="r">171</v>
    <v t="r">172</v>
  </a>
  <a r="2">
    <v t="s">Peru Time Zone</v>
    <v t="s">UTC−05:00</v>
  </a>
  <a r="4">
    <v t="r">200</v>
    <v t="s">Milton Ribeiro (Minister)</v>
    <v t="s">Eduardo Pazuello (Minister)</v>
    <v t="r">201</v>
  </a>
  <a r="1">
    <v t="s">Portuguese</v>
  </a>
  <a r="27">
    <v t="r">220</v>
    <v t="r">221</v>
    <v t="r">222</v>
    <v t="r">223</v>
    <v t="r">224</v>
    <v t="r">225</v>
    <v t="r">226</v>
    <v t="r">227</v>
    <v t="r">228</v>
    <v t="r">229</v>
    <v t="r">230</v>
    <v t="r">231</v>
    <v t="r">232</v>
    <v t="r">233</v>
    <v t="r">234</v>
    <v t="r">235</v>
    <v t="r">236</v>
    <v t="r">237</v>
    <v t="r">238</v>
    <v t="r">239</v>
    <v t="r">240</v>
    <v t="r">241</v>
    <v t="r">242</v>
    <v t="r">243</v>
    <v t="r">244</v>
    <v t="r">245</v>
    <v t="r">246</v>
  </a>
  <a r="3">
    <v t="s">Fernando de Noronha Time Zone</v>
    <v t="s">Brasília Time Zone</v>
    <v t="s">Amazon Time Zone</v>
  </a>
  <a r="2">
    <v t="r">274</v>
    <v t="r">275</v>
  </a>
  <a r="1">
    <v t="s">Turkish</v>
  </a>
  <a r="80">
    <v t="r">294</v>
    <v t="r">295</v>
    <v t="r">296</v>
    <v t="r">297</v>
    <v t="r">298</v>
    <v t="r">299</v>
    <v t="r">300</v>
    <v t="r">301</v>
    <v t="r">302</v>
    <v t="r">303</v>
    <v t="r">304</v>
    <v t="r">305</v>
    <v t="r">306</v>
    <v t="r">307</v>
    <v t="r">308</v>
    <v t="r">309</v>
    <v t="r">310</v>
    <v t="r">311</v>
    <v t="r">312</v>
    <v t="r">313</v>
    <v t="r">314</v>
    <v t="r">315</v>
    <v t="r">316</v>
    <v t="r">317</v>
    <v t="r">318</v>
    <v t="r">319</v>
    <v t="r">320</v>
    <v t="r">321</v>
    <v t="r">322</v>
    <v t="r">323</v>
    <v t="r">324</v>
    <v t="r">325</v>
    <v t="r">326</v>
    <v t="r">327</v>
    <v t="r">328</v>
    <v t="r">329</v>
    <v t="r">330</v>
    <v t="r">331</v>
    <v t="r">332</v>
    <v t="r">333</v>
    <v t="r">334</v>
    <v t="r">335</v>
    <v t="r">336</v>
    <v t="r">337</v>
    <v t="r">338</v>
    <v t="r">339</v>
    <v t="r">340</v>
    <v t="r">341</v>
    <v t="r">342</v>
    <v t="r">343</v>
    <v t="r">344</v>
    <v t="r">345</v>
    <v t="r">346</v>
    <v t="r">347</v>
    <v t="r">348</v>
    <v t="r">349</v>
    <v t="r">350</v>
    <v t="r">351</v>
    <v t="r">352</v>
    <v t="r">353</v>
    <v t="r">354</v>
    <v t="r">355</v>
    <v t="r">356</v>
    <v t="r">357</v>
    <v t="r">358</v>
    <v t="r">359</v>
    <v t="r">360</v>
    <v t="r">361</v>
    <v t="r">362</v>
    <v t="r">363</v>
    <v t="r">364</v>
    <v t="r">365</v>
    <v t="r">366</v>
    <v t="r">367</v>
    <v t="r">368</v>
    <v t="r">369</v>
    <v t="r">370</v>
    <v t="r">371</v>
    <v t="r">372</v>
    <v t="r">373</v>
  </a>
  <a r="2">
    <v t="r">400</v>
    <v t="r">401</v>
  </a>
  <a r="1">
    <v t="s">Modern Standard Arabic</v>
  </a>
  <a r="26">
    <v t="r">419</v>
    <v t="r">420</v>
    <v t="r">421</v>
    <v t="r">422</v>
    <v t="r">423</v>
    <v t="r">424</v>
    <v t="r">425</v>
    <v t="r">426</v>
    <v t="r">427</v>
    <v t="r">428</v>
    <v t="r">429</v>
    <v t="r">430</v>
    <v t="r">431</v>
    <v t="r">432</v>
    <v t="r">433</v>
    <v t="r">434</v>
    <v t="r">435</v>
    <v t="r">436</v>
    <v t="r">437</v>
    <v t="r">438</v>
    <v t="r">439</v>
    <v t="r">440</v>
    <v t="r">441</v>
    <v t="r">442</v>
    <v t="r">443</v>
    <v t="r">444</v>
  </a>
  <a r="2">
    <v t="s">Eastern European Time Zone</v>
    <v t="s">Egypt Standard Time</v>
  </a>
  <a r="2">
    <v t="r">473</v>
    <v t="r">474</v>
  </a>
  <a r="1">
    <v t="s">Standard Chinese</v>
  </a>
  <a r="34">
    <v t="r">493</v>
    <v t="r">494</v>
    <v t="r">495</v>
    <v t="r">458</v>
    <v t="r">496</v>
    <v t="r">472</v>
    <v t="r">497</v>
    <v t="r">498</v>
    <v t="r">499</v>
    <v t="r">500</v>
    <v t="r">501</v>
    <v t="r">502</v>
    <v t="r">503</v>
    <v t="r">504</v>
    <v t="r">505</v>
    <v t="r">506</v>
    <v t="r">507</v>
    <v t="r">508</v>
    <v t="r">509</v>
    <v t="r">510</v>
    <v t="r">511</v>
    <v t="r">512</v>
    <v t="r">513</v>
    <v t="r">514</v>
    <v t="r">515</v>
    <v t="r">516</v>
    <v t="r">517</v>
    <v t="r">518</v>
    <v t="r">519</v>
    <v t="s">Taiwan Province, People's Republic of China</v>
    <v t="r">520</v>
    <v t="r">521</v>
    <v t="r">522</v>
    <v t="r">523</v>
  </a>
  <a r="1">
    <v t="s">China Standard Time</v>
  </a>
  <a r="2">
    <v t="r">552</v>
    <v t="s">Phạm Minh Chính (Prime Minister)</v>
  </a>
  <a r="1">
    <v t="s">Vietnamese</v>
  </a>
  <a r="5">
    <v t="r">537</v>
    <v t="r">571</v>
    <v t="r">551</v>
    <v t="r">572</v>
    <v t="r">573</v>
  </a>
  <a r="1">
    <v t="s">Indochina Time Zone</v>
  </a>
</arrayData>
</file>

<file path=xl/richData/rdrichvalue.xml><?xml version="1.0" encoding="utf-8"?>
<rvData xmlns="http://schemas.microsoft.com/office/spreadsheetml/2017/richdata" count="581">
  <rv s="0">
    <v>536870912</v>
    <v>India</v>
    <v>85fa63d3-9596-adb9-b4eb-502273d84f56</v>
    <v>en-GB</v>
    <v>Map</v>
  </rv>
  <rv s="1">
    <fb>0.60447196445568596</fb>
    <v>29</v>
  </rv>
  <rv s="1">
    <fb>3287263</fb>
    <v>30</v>
  </rv>
  <rv s="1">
    <fb>3031000</fb>
    <v>30</v>
  </rv>
  <rv s="1">
    <fb>17.856999999999999</fb>
    <v>31</v>
  </rv>
  <rv s="1">
    <fb>91</fb>
    <v>32</v>
  </rv>
  <rv s="0">
    <v>536870912</v>
    <v>New Delhi</v>
    <v>b474d3c7-a39a-d5ba-7426-18e00042f03e</v>
    <v>en-GB</v>
    <v>Map</v>
  </rv>
  <rv s="1">
    <fb>2407671.5260000001</fb>
    <v>30</v>
  </rv>
  <rv s="1">
    <fb>180.43581241118</fb>
    <v>33</v>
  </rv>
  <rv s="1">
    <fb>7.6596947427925291E-2</fb>
    <v>29</v>
  </rv>
  <rv s="1">
    <fb>804.51422808927896</fb>
    <v>30</v>
  </rv>
  <rv s="1">
    <fb>2.222</fb>
    <v>31</v>
  </rv>
  <rv s="1">
    <fb>0.23833121474746</fb>
    <v>29</v>
  </rv>
  <rv s="1">
    <fb>73.576979087800794</fb>
    <v>34</v>
  </rv>
  <rv s="1">
    <fb>0.97</fb>
    <v>35</v>
  </rv>
  <rv s="1">
    <fb>2611000000000.0098</fb>
    <v>36</v>
  </rv>
  <rv s="1">
    <fb>1.1295785999999999</fb>
    <v>29</v>
  </rv>
  <rv s="1">
    <fb>0.28060550000000001</fb>
    <v>29</v>
  </rv>
  <rv s="2">
    <v>0</v>
    <v>27</v>
    <v>37</v>
    <v>6</v>
    <v>0</v>
    <v>Image of India</v>
  </rv>
  <rv s="1">
    <fb>29.9</fb>
    <v>34</v>
  </rv>
  <rv s="0">
    <v>536870912</v>
    <v>Kurebhar</v>
    <v>569c78c5-65db-1b70-c201-09e40a0ec28e</v>
    <v>en-GB</v>
    <v>Map</v>
  </rv>
  <rv s="0">
    <v>805306368</v>
    <v>Ram Nath Kovind (President)</v>
    <v>a42f5c17-4611-c316-bfe4-c2c9b57841b4</v>
    <v>en-GB</v>
    <v>Generic</v>
  </rv>
  <rv s="0">
    <v>805306368</v>
    <v>Amit Shah (Minister)</v>
    <v>2d9a8abc-8fa4-620b-cf5f-c5c212f38516</v>
    <v>en-GB</v>
    <v>Generic</v>
  </rv>
  <rv s="0">
    <v>805306368</v>
    <v>Smriti Irani (Minister)</v>
    <v>07b03f43-2af0-f150-1933-2c74e7a63b0a</v>
    <v>en-GB</v>
    <v>Generic</v>
  </rv>
  <rv s="0">
    <v>805306368</v>
    <v>Mahendra Nath Pandey (Minister)</v>
    <v>fcb8bc0a-59ba-26c3-5fac-7f3bcec1d3ab</v>
    <v>en-GB</v>
    <v>Generic</v>
  </rv>
  <rv s="0">
    <v>805306368</v>
    <v>Rajnath Singh (Minister)</v>
    <v>7dd7d84c-a149-b920-f49d-043dc1e0de75</v>
    <v>en-GB</v>
    <v>Generic</v>
  </rv>
  <rv s="0">
    <v>805306368</v>
    <v>Nirmala Sitharaman (Minister)</v>
    <v>2f88c75b-5285-dbaf-1376-14da212339a3</v>
    <v>en-GB</v>
    <v>Generic</v>
  </rv>
  <rv s="0">
    <v>805306368</v>
    <v>Subrahmanyam Jaishankar (Minister)</v>
    <v>11b3306b-7a3f-4e42-9df9-6c5ceee18ef9</v>
    <v>en-GB</v>
    <v>Generic</v>
  </rv>
  <rv s="0">
    <v>805306368</v>
    <v>Piyush Goyal (Minister)</v>
    <v>9cf6adbd-c797-d4e0-b6bb-7a409e789cb3</v>
    <v>en-GB</v>
    <v>Generic</v>
  </rv>
  <rv s="0">
    <v>805306368</v>
    <v>Arjun Munda (Minister)</v>
    <v>40445594-35c2-fe65-cbad-296daad999dc</v>
    <v>en-GB</v>
    <v>Generic</v>
  </rv>
  <rv s="0">
    <v>805306368</v>
    <v>Ravi Shankar Prasad (Minister)</v>
    <v>45141aa8-42a8-9ec1-ad7f-fb3f6f83b047</v>
    <v>en-GB</v>
    <v>Generic</v>
  </rv>
  <rv s="3">
    <v>0</v>
  </rv>
  <rv s="4">
    <v>https://www.bing.com/search?q=india&amp;form=skydnc</v>
    <v>Learn more on Bing</v>
  </rv>
  <rv s="1">
    <fb>69.415999999999997</fb>
    <v>34</v>
  </rv>
  <rv s="1">
    <fb>2179781240000</fb>
    <v>36</v>
  </rv>
  <rv s="1">
    <fb>145</fb>
    <v>34</v>
  </rv>
  <rv s="1">
    <fb>0.3</fb>
    <v>35</v>
  </rv>
  <rv s="3">
    <v>1</v>
  </rv>
  <rv s="1">
    <fb>0.65060906480000003</fb>
    <v>29</v>
  </rv>
  <rv s="1">
    <fb>0.85709999999999997</fb>
    <v>31</v>
  </rv>
  <rv s="1">
    <fb>1366417754</fb>
    <v>30</v>
  </rv>
  <rv s="1">
    <fb>0.20300000000000001</fb>
    <v>29</v>
  </rv>
  <rv s="1">
    <fb>0.317</fb>
    <v>29</v>
  </rv>
  <rv s="1">
    <fb>0.46200000000000002</fb>
    <v>29</v>
  </rv>
  <rv s="1">
    <fb>3.3000000000000002E-2</fb>
    <v>29</v>
  </rv>
  <rv s="1">
    <fb>7.6999999999999999E-2</fb>
    <v>29</v>
  </rv>
  <rv s="1">
    <fb>0.111</fb>
    <v>29</v>
  </rv>
  <rv s="1">
    <fb>0.14699999999999999</fb>
    <v>29</v>
  </rv>
  <rv s="1">
    <fb>0.49292999267578097</fb>
    <v>29</v>
  </rv>
  <rv s="0">
    <v>536870912</v>
    <v>Tamil Nadu</v>
    <v>6e3e5a82-8737-a613-1d99-0b4d68370109</v>
    <v>en-GB</v>
    <v>Map</v>
  </rv>
  <rv s="0">
    <v>536870912</v>
    <v>Uttar Pradesh</v>
    <v>f624b656-1585-9836-7a98-128016c67d52</v>
    <v>en-GB</v>
    <v>Map</v>
  </rv>
  <rv s="0">
    <v>536870912</v>
    <v>Andaman and Nicobar Islands</v>
    <v>0543bce3-574a-8949-ac01-944cd0418886</v>
    <v>en-GB</v>
    <v>Map</v>
  </rv>
  <rv s="0">
    <v>536870912</v>
    <v>Arunachal Pradesh</v>
    <v>c2da5cc2-b1a0-f17a-707d-e5067136b9e9</v>
    <v>en-GB</v>
    <v>Map</v>
  </rv>
  <rv s="0">
    <v>536870912</v>
    <v>Goa</v>
    <v>d9bda1c6-a2c4-994c-5335-195386cef40a</v>
    <v>en-GB</v>
    <v>Map</v>
  </rv>
  <rv s="0">
    <v>536870912</v>
    <v>Delhi</v>
    <v>275e8ab8-7bd0-4633-9c89-0133be92e587</v>
    <v>en-GB</v>
    <v>Map</v>
  </rv>
  <rv s="0">
    <v>536870912</v>
    <v>Gujarat</v>
    <v>c70b768e-21ab-4f53-a356-564e8da2291e</v>
    <v>en-GB</v>
    <v>Map</v>
  </rv>
  <rv s="0">
    <v>536870912</v>
    <v>Andhra Pradesh</v>
    <v>9e3a52bb-38ae-c817-5cd2-7a8dd2a4c0e5</v>
    <v>en-GB</v>
    <v>Map</v>
  </rv>
  <rv s="0">
    <v>536870912</v>
    <v>Rajasthan</v>
    <v>58d414c6-9557-d15b-60ff-52f256e32345</v>
    <v>en-GB</v>
    <v>Map</v>
  </rv>
  <rv s="0">
    <v>536870912</v>
    <v>Uttarakhand</v>
    <v>41a39bbc-6b82-df10-b345-3afffff3985d</v>
    <v>en-GB</v>
    <v>Map</v>
  </rv>
  <rv s="0">
    <v>536870912</v>
    <v>Kerala</v>
    <v>9d932c0c-d3e6-abbd-5274-6b53036ca764</v>
    <v>en-GB</v>
    <v>Map</v>
  </rv>
  <rv s="0">
    <v>536870912</v>
    <v>Maharashtra</v>
    <v>8e20e4dc-1423-75a9-a049-5e500370aafa</v>
    <v>en-GB</v>
    <v>Map</v>
  </rv>
  <rv s="0">
    <v>536870912</v>
    <v>West Bengal</v>
    <v>067d886f-4d7d-8889-c8c7-d54e2dbc1cb8</v>
    <v>en-GB</v>
    <v>Map</v>
  </rv>
  <rv s="0">
    <v>536870912</v>
    <v>Bihar</v>
    <v>e402c108-ade8-40dd-b6d7-f36882e8e3e3</v>
    <v>en-GB</v>
    <v>Map</v>
  </rv>
  <rv s="0">
    <v>536870912</v>
    <v>Madhya Pradesh</v>
    <v>bcbcd891-852b-6dac-1671-8d00b9eae5ea</v>
    <v>en-GB</v>
    <v>Map</v>
  </rv>
  <rv s="0">
    <v>536870912</v>
    <v>Punjab</v>
    <v>d98d08e1-818e-a7ba-30a5-4637a11eec3e</v>
    <v>en-GB</v>
    <v>Map</v>
  </rv>
  <rv s="0">
    <v>536870912</v>
    <v>Manipur</v>
    <v>774dc6a3-56a4-d8f3-26d2-6e2536af50a5</v>
    <v>en-GB</v>
    <v>Map</v>
  </rv>
  <rv s="0">
    <v>536870912</v>
    <v>Karnataka</v>
    <v>216903eb-bbc1-497e-b914-8eb69db6f747</v>
    <v>en-GB</v>
    <v>Map</v>
  </rv>
  <rv s="0">
    <v>536870912</v>
    <v>Chandigarh</v>
    <v>10beaf9e-bdab-00b9-8037-79ffe16cf357</v>
    <v>en-GB</v>
    <v>Map</v>
  </rv>
  <rv s="0">
    <v>536870912</v>
    <v>Assam</v>
    <v>a9d4e5df-f559-c28f-dc41-7c72a82dfaf7</v>
    <v>en-GB</v>
    <v>Map</v>
  </rv>
  <rv s="0">
    <v>536870912</v>
    <v>Sikkim</v>
    <v>aa8e9a23-8c5b-d667-7f28-62e9ce93f9bd</v>
    <v>en-GB</v>
    <v>Map</v>
  </rv>
  <rv s="0">
    <v>536870912</v>
    <v>Odisha</v>
    <v>becca699-9820-c027-8e14-b5840348a600</v>
    <v>en-GB</v>
    <v>Map</v>
  </rv>
  <rv s="0">
    <v>536870912</v>
    <v>Nagaland</v>
    <v>9097c945-eb0e-f294-cb7f-43ad572c6903</v>
    <v>en-GB</v>
    <v>Map</v>
  </rv>
  <rv s="0">
    <v>536870912</v>
    <v>Haryana</v>
    <v>f50b36c9-0e06-9b0a-b657-100ebb295bb1</v>
    <v>en-GB</v>
    <v>Map</v>
  </rv>
  <rv s="0">
    <v>536870912</v>
    <v>Chhattisgarh</v>
    <v>91e8d1d3-b929-8697-13f5-91241ae0d1b6</v>
    <v>en-GB</v>
    <v>Map</v>
  </rv>
  <rv s="0">
    <v>536870912</v>
    <v>Mizoram</v>
    <v>a1dcfd92-e2ab-1111-48a2-8c885ebd1155</v>
    <v>en-GB</v>
    <v>Map</v>
  </rv>
  <rv s="0">
    <v>536870912</v>
    <v>Tripura</v>
    <v>a7fa8608-5e0d-f0d4-37a2-b87e3fe2b039</v>
    <v>en-GB</v>
    <v>Map</v>
  </rv>
  <rv s="0">
    <v>536870912</v>
    <v>Telangana</v>
    <v>19abdc7d-29ea-4ed5-99d8-3a1d7bc90b05</v>
    <v>en-GB</v>
    <v>Map</v>
  </rv>
  <rv s="0">
    <v>536870912</v>
    <v>Himachal Pradesh</v>
    <v>0e213229-adc2-378d-f093-949050fffa34</v>
    <v>en-GB</v>
    <v>Map</v>
  </rv>
  <rv s="0">
    <v>536870912</v>
    <v>Meghalaya</v>
    <v>b317786c-1e28-16cc-03ca-835f315a094d</v>
    <v>en-GB</v>
    <v>Map</v>
  </rv>
  <rv s="0">
    <v>536870912</v>
    <v>Jharkhand</v>
    <v>9cf33868-3d76-c243-1cd3-91dda44b77e3</v>
    <v>en-GB</v>
    <v>Map</v>
  </rv>
  <rv s="0">
    <v>536870912</v>
    <v>Lakshadweep</v>
    <v>90dcf823-b8a7-5ca7-11dd-dcf29ea357f2</v>
    <v>en-GB</v>
    <v>Map</v>
  </rv>
  <rv s="0">
    <v>536870912</v>
    <v>Dadra and Nagar Haveli</v>
    <v>15bc8541-5d7a-066b-4d9b-31821cb3f94e</v>
    <v>en-GB</v>
    <v>Map</v>
  </rv>
  <rv s="0">
    <v>536870912</v>
    <v>Daman and Diu</v>
    <v>6cc5ae73-aac4-1afd-9be5-2199d168555a</v>
    <v>en-GB</v>
    <v>Map</v>
  </rv>
  <rv s="3">
    <v>2</v>
  </rv>
  <rv s="1">
    <fb>0.111799218352875</fb>
    <v>29</v>
  </rv>
  <rv s="3">
    <v>3</v>
  </rv>
  <rv s="1">
    <fb>0.49700000000000005</fb>
    <v>29</v>
  </rv>
  <rv s="1">
    <fb>5.35500001907349E-2</fb>
    <v>38</v>
  </rv>
  <rv s="1">
    <fb>471031528</fb>
    <v>30</v>
  </rv>
  <rv s="5">
    <v>#VALUE!</v>
    <v>21</v>
    <v>22</v>
    <v>India</v>
    <v>25</v>
    <v>26</v>
    <v>Map</v>
    <v>27</v>
    <v>28</v>
    <v>en-GB</v>
    <v>85fa63d3-9596-adb9-b4eb-502273d84f56</v>
    <v>536870912</v>
    <v>1</v>
    <v>IN</v>
    <v>1</v>
    <v>2</v>
    <v>3</v>
    <v>4</v>
    <v>5</v>
    <v>6</v>
    <v>7</v>
    <v>8</v>
    <v>9</v>
    <v>INR</v>
    <v>India, officially the Republic of India, is a country in South Asia. It is the seventh-largest country by area, the second-most populous country, and the most populous democracy in the world. Bounded by the Indian Ocean on the south, the Arabian Sea on the southwest, and the Bay of Bengal on the southeast, it shares land borders with Pakistan to the west; China, Nepal, and Bhutan to the north; and Bangladesh and Myanmar to the east. In the Indian Ocean, India is in the vicinity of Sri Lanka and the Maldives; its Andaman and Nicobar Islands share a maritime border with Thailand, Myanmar and Indonesia.</v>
    <v>10</v>
    <v>11</v>
    <v>12</v>
    <v>13</v>
    <v>14</v>
    <v>15</v>
    <v>16</v>
    <v>17</v>
    <v>18</v>
    <v>19</v>
    <v>20</v>
    <v>31</v>
    <v>32</v>
    <v>33</v>
    <v>34</v>
    <v>35</v>
    <v>36</v>
    <v>India</v>
    <v>Jana Gana Mana</v>
    <v>37</v>
    <v>Republic of India</v>
    <v>38</v>
    <v>39</v>
    <v>40</v>
    <v>41</v>
    <v>42</v>
    <v>43</v>
    <v>44</v>
    <v>45</v>
    <v>46</v>
    <v>47</v>
    <v>48</v>
    <v>83</v>
    <v>84</v>
    <v>85</v>
    <v>86</v>
    <v>87</v>
    <v>India</v>
    <v>88</v>
    <v>mdp/vdpid/113</v>
  </rv>
  <rv s="0">
    <v>536870912</v>
    <v>Iran</v>
    <v>502b5268-992d-26c9-a0d8-6f206338406e</v>
    <v>en-GB</v>
    <v>Map</v>
  </rv>
  <rv s="1">
    <fb>0.28214101525086599</fb>
    <v>29</v>
  </rv>
  <rv s="1">
    <fb>1648195</fb>
    <v>30</v>
  </rv>
  <rv s="1">
    <fb>563000</fb>
    <v>30</v>
  </rv>
  <rv s="1">
    <fb>18.783000000000001</fb>
    <v>31</v>
  </rv>
  <rv s="1">
    <fb>98</fb>
    <v>32</v>
  </rv>
  <rv s="0">
    <v>536870912</v>
    <v>Tehran</v>
    <v>08033170-d738-6401-e42a-fb99d1cdb464</v>
    <v>en-GB</v>
    <v>Map</v>
  </rv>
  <rv s="1">
    <fb>661710.15</fb>
    <v>30</v>
  </rv>
  <rv s="1">
    <fb>550.92942529120603</fb>
    <v>33</v>
  </rv>
  <rv s="1">
    <fb>0.39907345569778302</fb>
    <v>29</v>
  </rv>
  <rv s="1">
    <fb>3022.12256298599</fb>
    <v>30</v>
  </rv>
  <rv s="1">
    <fb>2.137</fb>
    <v>31</v>
  </rv>
  <rv s="1">
    <fb>6.5644910660563896E-2</fb>
    <v>29</v>
  </rv>
  <rv s="1">
    <fb>99.022580545301807</fb>
    <v>34</v>
  </rv>
  <rv s="1">
    <fb>0.39900000000000002</fb>
    <v>35</v>
  </rv>
  <rv s="1">
    <fb>445345282122.68201</fb>
    <v>36</v>
  </rv>
  <rv s="1">
    <fb>1.1070754</fb>
    <v>29</v>
  </rv>
  <rv s="1">
    <fb>0.68116089999999996</fb>
    <v>29</v>
  </rv>
  <rv s="1">
    <fb>12.4</fb>
    <v>34</v>
  </rv>
  <rv s="0">
    <v>805306368</v>
    <v>Ali Khamenei (Supreme leader)</v>
    <v>1f928f25-2e0f-80cc-5768-c25fdbbddd37</v>
    <v>en-GB</v>
    <v>Generic</v>
  </rv>
  <rv s="0">
    <v>805306368</v>
    <v>Ebrahim Raisi (President)</v>
    <v>f6890262-5877-5b01-f045-08a22405151a</v>
    <v>en-GB</v>
    <v>Generic</v>
  </rv>
  <rv s="3">
    <v>4</v>
  </rv>
  <rv s="4">
    <v>https://www.bing.com/search?q=iran&amp;form=skydnc</v>
    <v>Learn more on Bing</v>
  </rv>
  <rv s="1">
    <fb>76.478999999999999</fb>
    <v>34</v>
  </rv>
  <rv s="1">
    <fb>320671170000</fb>
    <v>36</v>
  </rv>
  <rv s="1">
    <fb>16</fb>
    <v>34</v>
  </rv>
  <rv s="1">
    <fb>1.58</fb>
    <v>35</v>
  </rv>
  <rv s="3">
    <v>5</v>
  </rv>
  <rv s="1">
    <fb>0.39660448610000004</fb>
    <v>29</v>
  </rv>
  <rv s="1">
    <fb>1.5844</fb>
    <v>31</v>
  </rv>
  <rv s="1">
    <fb>82913906</fb>
    <v>30</v>
  </rv>
  <rv s="1">
    <fb>0.217</fb>
    <v>29</v>
  </rv>
  <rv s="1">
    <fb>0.313</fb>
    <v>29</v>
  </rv>
  <rv s="1">
    <fb>0.47299999999999998</fb>
    <v>29</v>
  </rv>
  <rv s="1">
    <fb>2.3E-2</fb>
    <v>29</v>
  </rv>
  <rv s="1">
    <fb>5.9000000000000004E-2</fb>
    <v>29</v>
  </rv>
  <rv s="1">
    <fb>0.10300000000000001</fb>
    <v>29</v>
  </rv>
  <rv s="1">
    <fb>0.14800000000000002</fb>
    <v>29</v>
  </rv>
  <rv s="1">
    <fb>0.44665000915527303</fb>
    <v>29</v>
  </rv>
  <rv s="1">
    <fb>7.3584780414963205E-2</fb>
    <v>29</v>
  </rv>
  <rv s="3">
    <v>6</v>
  </rv>
  <rv s="1">
    <fb>0.44700000000000001</fb>
    <v>29</v>
  </rv>
  <rv s="1">
    <fb>0.11381999969482401</fb>
    <v>38</v>
  </rv>
  <rv s="1">
    <fb>62509623</fb>
    <v>30</v>
  </rv>
  <rv s="6">
    <v>#VALUE!</v>
    <v>46</v>
    <v>47</v>
    <v>Iran</v>
    <v>25</v>
    <v>48</v>
    <v>Map</v>
    <v>27</v>
    <v>49</v>
    <v>en-GB</v>
    <v>502b5268-992d-26c9-a0d8-6f206338406e</v>
    <v>536870912</v>
    <v>1</v>
    <v>IR</v>
    <v>91</v>
    <v>92</v>
    <v>93</v>
    <v>94</v>
    <v>95</v>
    <v>96</v>
    <v>97</v>
    <v>98</v>
    <v>99</v>
    <v>IRR</v>
    <v>Iran, also called Persia, and officially the Islamic Republic of Iran, is a country in Western Asia. It is bordered by Iraq and Turkey to the west, by Azerbaijan and Armenia to the northwest, by the Caspian Sea and Turkmenistan to the north, by Afghanistan and Pakistan to the east, and by the Gulf of Oman and the Persian Gulf to the south. It covers an area of 1,648,195 km², making it the fourth-largest country entirely in Asia and the second-largest country in Western Asia behind Saudi Arabia. Iran has a population of 85 million, making it the 17th-most populous country in the world. Its largest cities, in descending order, are the capital Tehran, Mashhad, Isfahan, Karaj, Shiraz, and Tabriz.</v>
    <v>100</v>
    <v>101</v>
    <v>102</v>
    <v>103</v>
    <v>104</v>
    <v>105</v>
    <v>106</v>
    <v>107</v>
    <v>108</v>
    <v>96</v>
    <v>111</v>
    <v>112</v>
    <v>113</v>
    <v>114</v>
    <v>115</v>
    <v>116</v>
    <v>Iran</v>
    <v>National Anthem of the Islamic Republic of Iran</v>
    <v>117</v>
    <v>Islamic Republic of Iran</v>
    <v>118</v>
    <v>119</v>
    <v>120</v>
    <v>121</v>
    <v>122</v>
    <v>123</v>
    <v>124</v>
    <v>125</v>
    <v>126</v>
    <v>127</v>
    <v>128</v>
    <v>129</v>
    <v>130</v>
    <v>131</v>
    <v>132</v>
    <v>Iran</v>
    <v>133</v>
    <v>mdp/vdpid/116</v>
  </rv>
  <rv s="0">
    <v>536870912</v>
    <v>Peru</v>
    <v>02dd0e01-24ad-0f52-3d28-54e36db1ce25</v>
    <v>en-GB</v>
    <v>Map</v>
  </rv>
  <rv s="1">
    <fb>0.18505468749999998</fb>
    <v>29</v>
  </rv>
  <rv s="1">
    <fb>1285216</fb>
    <v>30</v>
  </rv>
  <rv s="1">
    <fb>158000</fb>
    <v>30</v>
  </rv>
  <rv s="1">
    <fb>17.949000000000002</fb>
    <v>31</v>
  </rv>
  <rv s="1">
    <fb>51</fb>
    <v>32</v>
  </rv>
  <rv s="0">
    <v>536870912</v>
    <v>Lima</v>
    <v>56111e08-84b2-d298-3309-317c86bbca62</v>
    <v>en-GB</v>
    <v>Map</v>
  </rv>
  <rv s="1">
    <fb>57414.218999999997</fb>
    <v>30</v>
  </rv>
  <rv s="1">
    <fb>129.78454434275901</fb>
    <v>33</v>
  </rv>
  <rv s="1">
    <fb>2.1371534256997799E-2</fb>
    <v>29</v>
  </rv>
  <rv s="1">
    <fb>1345.8795888743</fb>
    <v>30</v>
  </rv>
  <rv s="1">
    <fb>2.254</fb>
    <v>31</v>
  </rv>
  <rv s="1">
    <fb>0.57660467529296899</fb>
    <v>29</v>
  </rv>
  <rv s="1">
    <fb>79.555683573486803</fb>
    <v>34</v>
  </rv>
  <rv s="1">
    <fb>0.99</fb>
    <v>35</v>
  </rv>
  <rv s="1">
    <fb>226848050819.52499</fb>
    <v>36</v>
  </rv>
  <rv s="1">
    <fb>1.0694512</fb>
    <v>29</v>
  </rv>
  <rv s="1">
    <fb>0.70737859999999997</fb>
    <v>29</v>
  </rv>
  <rv s="1">
    <fb>11.1</fb>
    <v>34</v>
  </rv>
  <rv s="3">
    <v>7</v>
  </rv>
  <rv s="4">
    <v>https://www.bing.com/search?q=peru&amp;form=skydnc</v>
    <v>Learn more on Bing</v>
  </rv>
  <rv s="1">
    <fb>76.516000000000005</fb>
    <v>34</v>
  </rv>
  <rv s="1">
    <fb>98964960000</fb>
    <v>36</v>
  </rv>
  <rv s="1">
    <fb>88</fb>
    <v>34</v>
  </rv>
  <rv s="1">
    <fb>1.28</fb>
    <v>35</v>
  </rv>
  <rv s="3">
    <v>8</v>
  </rv>
  <rv s="1">
    <fb>0.30916759560000001</fb>
    <v>29</v>
  </rv>
  <rv s="1">
    <fb>1.27</fb>
    <v>31</v>
  </rv>
  <rv s="1">
    <fb>32510453</fb>
    <v>30</v>
  </rv>
  <rv s="1">
    <fb>0.22</fb>
    <v>29</v>
  </rv>
  <rv s="1">
    <fb>0.32100000000000001</fb>
    <v>29</v>
  </rv>
  <rv s="1">
    <fb>0.48299999999999998</fb>
    <v>29</v>
  </rv>
  <rv s="1">
    <fb>1.8000000000000002E-2</fb>
    <v>29</v>
  </rv>
  <rv s="1">
    <fb>4.9000000000000002E-2</fb>
    <v>29</v>
  </rv>
  <rv s="1">
    <fb>9.9000000000000005E-2</fb>
    <v>29</v>
  </rv>
  <rv s="1">
    <fb>0.77633003234863296</fb>
    <v>29</v>
  </rv>
  <rv s="0">
    <v>536870912</v>
    <v>Callao</v>
    <v>08e03471-8aab-c10c-9015-7df825c18e7b</v>
    <v>en-GB</v>
    <v>Map</v>
  </rv>
  <rv s="0">
    <v>536870912</v>
    <v>Lima Province</v>
    <v>c1af6300-c27c-5029-87f7-5a46bbbe02ac</v>
    <v>en-GB</v>
    <v>Map</v>
  </rv>
  <rv s="3">
    <v>9</v>
  </rv>
  <rv s="1">
    <fb>0.14321901146650698</fb>
    <v>29</v>
  </rv>
  <rv s="3">
    <v>10</v>
  </rv>
  <rv s="1">
    <fb>0.36799999999999999</fb>
    <v>29</v>
  </rv>
  <rv s="1">
    <fb>3.3099999427795401E-2</fb>
    <v>38</v>
  </rv>
  <rv s="1">
    <fb>25390339</fb>
    <v>30</v>
  </rv>
  <rv s="7">
    <v>#VALUE!</v>
    <v>57</v>
    <v>58</v>
    <v>Peru</v>
    <v>25</v>
    <v>48</v>
    <v>Map</v>
    <v>27</v>
    <v>59</v>
    <v>en-GB</v>
    <v>02dd0e01-24ad-0f52-3d28-54e36db1ce25</v>
    <v>536870912</v>
    <v>1</v>
    <v>PE</v>
    <v>136</v>
    <v>137</v>
    <v>138</v>
    <v>139</v>
    <v>140</v>
    <v>141</v>
    <v>142</v>
    <v>143</v>
    <v>144</v>
    <v>PEN</v>
    <v>Peru, officially the Republic of Peru, is a country in western South America. It is bordered in the north by Ecuador and Colombia, in the east by Brazil, in the southeast by Bolivia, in the south by Chile, and in the south and west by the Pacific Ocean. Peru is a megadiverse country with habitats ranging from the arid plains of the Pacific coastal region in the west to the peaks of the Andes mountains extending from the north to the southeast of the country to the tropical Amazon basin rainforest in the east with the Amazon River. Peru has a population of 34 million, and its capital and largest city is Lima. At 1.28 million km², Peru is the 19th largest country in the world, and the third largest in South America.</v>
    <v>145</v>
    <v>146</v>
    <v>147</v>
    <v>148</v>
    <v>149</v>
    <v>150</v>
    <v>151</v>
    <v>152</v>
    <v>153</v>
    <v>141</v>
    <v>154</v>
    <v>155</v>
    <v>156</v>
    <v>157</v>
    <v>158</v>
    <v>159</v>
    <v>Peru</v>
    <v>National Anthem of Peru</v>
    <v>160</v>
    <v>Republic of Peru</v>
    <v>161</v>
    <v>162</v>
    <v>163</v>
    <v>164</v>
    <v>165</v>
    <v>166</v>
    <v>167</v>
    <v>168</v>
    <v>169</v>
    <v>127</v>
    <v>170</v>
    <v>173</v>
    <v>174</v>
    <v>175</v>
    <v>176</v>
    <v>177</v>
    <v>Peru</v>
    <v>178</v>
    <v>mdp/vdpid/187</v>
  </rv>
  <rv s="0">
    <v>536870912</v>
    <v>Brazil</v>
    <v>a828cf41-b938-49fe-7986-4b336618d413</v>
    <v>en-GB</v>
    <v>Map</v>
  </rv>
  <rv s="1">
    <fb>0.33924533448829503</fb>
    <v>29</v>
  </rv>
  <rv s="1">
    <fb>8515770</fb>
    <v>30</v>
  </rv>
  <rv s="1">
    <fb>730000</fb>
    <v>30</v>
  </rv>
  <rv s="1">
    <fb>13.923999999999999</fb>
    <v>31</v>
  </rv>
  <rv s="1">
    <fb>55</fb>
    <v>32</v>
  </rv>
  <rv s="0">
    <v>536870912</v>
    <v>Brasília</v>
    <v>0f4c1a26-f33c-b6de-a63f-578da6617369</v>
    <v>en-GB</v>
    <v>Map</v>
  </rv>
  <rv s="1">
    <fb>462298.69</fb>
    <v>30</v>
  </rv>
  <rv s="1">
    <fb>167.397860280061</fb>
    <v>33</v>
  </rv>
  <rv s="1">
    <fb>3.7329762121689397E-2</fb>
    <v>29</v>
  </rv>
  <rv s="1">
    <fb>2619.96061573831</fb>
    <v>30</v>
  </rv>
  <rv s="1">
    <fb>1.73</fb>
    <v>31</v>
  </rv>
  <rv s="1">
    <fb>0.58931054038338704</fb>
    <v>29</v>
  </rv>
  <rv s="1">
    <fb>59.1075326389753</fb>
    <v>34</v>
  </rv>
  <rv s="1">
    <fb>1.02</fb>
    <v>35</v>
  </rv>
  <rv s="1">
    <fb>1839758040765.6201</fb>
    <v>36</v>
  </rv>
  <rv s="1">
    <fb>1.1544783999999999</fb>
    <v>29</v>
  </rv>
  <rv s="1">
    <fb>0.513436</fb>
    <v>29</v>
  </rv>
  <rv s="1">
    <fb>12.8</fb>
    <v>34</v>
  </rv>
  <rv s="0">
    <v>536870912</v>
    <v>São Paulo</v>
    <v>c6cf2f6e-626c-4267-ae48-9e13ea74d2b9</v>
    <v>en-GB</v>
    <v>Map</v>
  </rv>
  <rv s="0">
    <v>805306368</v>
    <v>Jair Bolsonaro (President)</v>
    <v>e5c2a3dc-a01d-9ba4-59d7-7920ab72e453</v>
    <v>en-GB</v>
    <v>Generic</v>
  </rv>
  <rv s="0">
    <v>805306368</v>
    <v>Hamilton Mourão (Vice President)</v>
    <v>82d9ec69-ca73-987b-d035-f269280ea4a8</v>
    <v>en-GB</v>
    <v>Generic</v>
  </rv>
  <rv s="3">
    <v>11</v>
  </rv>
  <rv s="4">
    <v>https://www.bing.com/search?q=brazil&amp;form=skydnc</v>
    <v>Learn more on Bing</v>
  </rv>
  <rv s="1">
    <fb>75.671999999999997</fb>
    <v>34</v>
  </rv>
  <rv s="1">
    <fb>1187361690000</fb>
    <v>36</v>
  </rv>
  <rv s="1">
    <fb>60</fb>
    <v>34</v>
  </rv>
  <rv s="1">
    <fb>1.53</fb>
    <v>35</v>
  </rv>
  <rv s="3">
    <v>12</v>
  </rv>
  <rv s="1">
    <fb>0.28289823089999999</fb>
    <v>29</v>
  </rv>
  <rv s="1">
    <fb>2.1499000000000001</fb>
    <v>31</v>
  </rv>
  <rv s="1">
    <fb>212559417</fb>
    <v>30</v>
  </rv>
  <rv s="1">
    <fb>0.192</fb>
    <v>29</v>
  </rv>
  <rv s="1">
    <fb>0.42499999999999999</fb>
    <v>29</v>
  </rv>
  <rv s="1">
    <fb>0.58399999999999996</fb>
    <v>29</v>
  </rv>
  <rv s="1">
    <fb>0.01</fb>
    <v>29</v>
  </rv>
  <rv s="1">
    <fb>3.1E-2</fb>
    <v>29</v>
  </rv>
  <rv s="1">
    <fb>7.2999999999999995E-2</fb>
    <v>29</v>
  </rv>
  <rv s="1">
    <fb>0.12</fb>
    <v>29</v>
  </rv>
  <rv s="1">
    <fb>0.63883998870849601</fb>
    <v>29</v>
  </rv>
  <rv s="0">
    <v>536870912</v>
    <v>São Paulo</v>
    <v>4d56ae2d-1aad-8c4f-dca2-4456acc12f89</v>
    <v>en-GB</v>
    <v>Map</v>
  </rv>
  <rv s="0">
    <v>536870912</v>
    <v>Minas Gerais</v>
    <v>974e2066-dee0-aecd-c973-50babb750033</v>
    <v>en-GB</v>
    <v>Map</v>
  </rv>
  <rv s="0">
    <v>536870912</v>
    <v>Rio de Janeiro</v>
    <v>3f5a22fa-26bd-86f9-0345-3a6206e8aab5</v>
    <v>en-GB</v>
    <v>Map</v>
  </rv>
  <rv s="0">
    <v>536870912</v>
    <v>Bahia</v>
    <v>e904684f-6d5b-f7bb-c27d-bdb50a0ec8ab</v>
    <v>en-GB</v>
    <v>Map</v>
  </rv>
  <rv s="0">
    <v>536870912</v>
    <v>Pernambuco</v>
    <v>5538aab1-15ae-294f-2c10-f5083201cca1</v>
    <v>en-GB</v>
    <v>Map</v>
  </rv>
  <rv s="0">
    <v>536870912</v>
    <v>Rio Grande do Sul</v>
    <v>9644dbbf-be0c-de9c-a534-3d7ff4801a8b</v>
    <v>en-GB</v>
    <v>Map</v>
  </rv>
  <rv s="0">
    <v>536870912</v>
    <v>Mato Grosso</v>
    <v>af05c757-4d77-813e-b8eb-97635c07f37a</v>
    <v>en-GB</v>
    <v>Map</v>
  </rv>
  <rv s="0">
    <v>536870912</v>
    <v>Ceará</v>
    <v>b598e20e-29fb-ccf6-be0e-2650e6ba40c5</v>
    <v>en-GB</v>
    <v>Map</v>
  </rv>
  <rv s="0">
    <v>536870912</v>
    <v>Paraná</v>
    <v>a33450c4-459a-0682-41ee-635b343dd785</v>
    <v>en-GB</v>
    <v>Map</v>
  </rv>
  <rv s="0">
    <v>536870912</v>
    <v>Espírito Santo</v>
    <v>dbc4d679-53e7-49d7-c6b3-88a4ca7f522f</v>
    <v>en-GB</v>
    <v>Map</v>
  </rv>
  <rv s="0">
    <v>536870912</v>
    <v>Piauí</v>
    <v>ab11433a-8357-ae6d-67fe-8570cc271399</v>
    <v>en-GB</v>
    <v>Map</v>
  </rv>
  <rv s="0">
    <v>536870912</v>
    <v>Santa Catarina</v>
    <v>6262969d-76c7-e65f-1be5-668011a93ff0</v>
    <v>en-GB</v>
    <v>Map</v>
  </rv>
  <rv s="0">
    <v>536870912</v>
    <v>Goiás</v>
    <v>38750702-647a-b72a-2cec-e4a55e078f36</v>
    <v>en-GB</v>
    <v>Map</v>
  </rv>
  <rv s="0">
    <v>536870912</v>
    <v>Federal District</v>
    <v>88dfc3b6-8e7a-694d-61b2-96d14f226ec4</v>
    <v>en-GB</v>
    <v>Map</v>
  </rv>
  <rv s="0">
    <v>536870912</v>
    <v>Amazonas</v>
    <v>f79e57ca-6fc1-5a6a-015b-38d90f33902f</v>
    <v>en-GB</v>
    <v>Map</v>
  </rv>
  <rv s="0">
    <v>536870912</v>
    <v>Pará</v>
    <v>7a0db70a-73db-e83d-e548-6fab7a523b35</v>
    <v>en-GB</v>
    <v>Map</v>
  </rv>
  <rv s="0">
    <v>536870912</v>
    <v>Rondônia</v>
    <v>25fbe5d5-9bc1-0ec2-ac78-2d9fe5b147dd</v>
    <v>en-GB</v>
    <v>Map</v>
  </rv>
  <rv s="0">
    <v>536870912</v>
    <v>Mato Grosso do Sul</v>
    <v>7de24933-1d79-fc85-387b-3ce7947910b6</v>
    <v>en-GB</v>
    <v>Map</v>
  </rv>
  <rv s="0">
    <v>536870912</v>
    <v>Acre</v>
    <v>8960bf27-5261-01d1-4019-e7d898f67bb4</v>
    <v>en-GB</v>
    <v>Map</v>
  </rv>
  <rv s="0">
    <v>536870912</v>
    <v>Paraíba</v>
    <v>f5be810b-3322-2252-c10f-35206d84b548</v>
    <v>en-GB</v>
    <v>Map</v>
  </rv>
  <rv s="0">
    <v>536870912</v>
    <v>Roraima</v>
    <v>3b8383a2-7c79-31f6-2359-bd9ba2099213</v>
    <v>en-GB</v>
    <v>Map</v>
  </rv>
  <rv s="0">
    <v>536870912</v>
    <v>Rio Grande do Norte</v>
    <v>4cccb40d-d26b-4493-e031-bcf803f1c2b1</v>
    <v>en-GB</v>
    <v>Map</v>
  </rv>
  <rv s="0">
    <v>536870912</v>
    <v>Maranhão</v>
    <v>98274980-9da4-ff5e-78a1-e512bb4179ca</v>
    <v>en-GB</v>
    <v>Map</v>
  </rv>
  <rv s="0">
    <v>536870912</v>
    <v>Alagoas</v>
    <v>4e3f1ba4-1948-0514-728a-55b34ab027b4</v>
    <v>en-GB</v>
    <v>Map</v>
  </rv>
  <rv s="0">
    <v>536870912</v>
    <v>Amapá</v>
    <v>28d39e09-4b9f-31f6-cc72-48b1f9be59db</v>
    <v>en-GB</v>
    <v>Map</v>
  </rv>
  <rv s="0">
    <v>536870912</v>
    <v>Sergipe</v>
    <v>a7f70762-a1ab-d5de-8bf0-3eb8532c1eb9</v>
    <v>en-GB</v>
    <v>Map</v>
  </rv>
  <rv s="0">
    <v>536870912</v>
    <v>Tocantins</v>
    <v>f7a46dfe-e192-d6f7-e5f8-084e555ba7cb</v>
    <v>en-GB</v>
    <v>Map</v>
  </rv>
  <rv s="3">
    <v>13</v>
  </rv>
  <rv s="1">
    <fb>0.14178605589771201</fb>
    <v>29</v>
  </rv>
  <rv s="3">
    <v>14</v>
  </rv>
  <rv s="1">
    <fb>0.65099999999999991</fb>
    <v>29</v>
  </rv>
  <rv s="1">
    <fb>0.12083000183105501</fb>
    <v>38</v>
  </rv>
  <rv s="1">
    <fb>183241641</fb>
    <v>30</v>
  </rv>
  <rv s="7">
    <v>#VALUE!</v>
    <v>66</v>
    <v>58</v>
    <v>Brazil</v>
    <v>25</v>
    <v>48</v>
    <v>Map</v>
    <v>27</v>
    <v>67</v>
    <v>en-GB</v>
    <v>a828cf41-b938-49fe-7986-4b336618d413</v>
    <v>536870912</v>
    <v>1</v>
    <v>BR</v>
    <v>181</v>
    <v>182</v>
    <v>183</v>
    <v>184</v>
    <v>185</v>
    <v>186</v>
    <v>187</v>
    <v>188</v>
    <v>189</v>
    <v>BRL</v>
    <v>Brazil, officially the Federative Republic of Brazil, is the largest country in both South America and Latin America. At 8.5 million square kilometers and with over 214 million people, Brazil is the world's fifth-largest country by area and the seventh most populous. Its capital is Brasília, and its most populous city is São Paulo. The federation is composed of the union of the 26 states and the Federal District. It is the largest country to have Portuguese as an official language and the only one in the Americas; it is also one of the most multicultural and ethnically diverse nations, due to over a century of mass immigration from around the world; as well as the most populous Roman Catholic-majority country.</v>
    <v>190</v>
    <v>191</v>
    <v>192</v>
    <v>193</v>
    <v>194</v>
    <v>195</v>
    <v>196</v>
    <v>197</v>
    <v>198</v>
    <v>199</v>
    <v>202</v>
    <v>203</v>
    <v>204</v>
    <v>205</v>
    <v>206</v>
    <v>207</v>
    <v>Brazil</v>
    <v>Brazilian National Anthem</v>
    <v>208</v>
    <v>Brazil</v>
    <v>209</v>
    <v>210</v>
    <v>211</v>
    <v>212</v>
    <v>213</v>
    <v>214</v>
    <v>215</v>
    <v>216</v>
    <v>217</v>
    <v>218</v>
    <v>219</v>
    <v>247</v>
    <v>248</v>
    <v>249</v>
    <v>250</v>
    <v>251</v>
    <v>Brazil</v>
    <v>252</v>
    <v>mdp/vdpid/32</v>
  </rv>
  <rv s="0">
    <v>536870912</v>
    <v>Turkey</v>
    <v>fbfb6418-e8cf-0d18-8b81-28d0fcccda7c</v>
    <v>en-GB</v>
    <v>Map</v>
  </rv>
  <rv s="1">
    <fb>0.49799254187076897</fb>
    <v>29</v>
  </rv>
  <rv s="1">
    <fb>783562</fb>
    <v>30</v>
  </rv>
  <rv s="1">
    <fb>512000</fb>
    <v>30</v>
  </rv>
  <rv s="1">
    <fb>16.027000000000001</fb>
    <v>31</v>
  </rv>
  <rv s="1">
    <fb>90</fb>
    <v>32</v>
  </rv>
  <rv s="0">
    <v>536870912</v>
    <v>Ankara</v>
    <v>85c37289-d0cf-bf9c-89e0-a375b7d3c4e7</v>
    <v>en-GB</v>
    <v>Map</v>
  </rv>
  <rv s="1">
    <fb>372724.88099999999</fb>
    <v>30</v>
  </rv>
  <rv s="1">
    <fb>234.437126307922</fb>
    <v>33</v>
  </rv>
  <rv s="1">
    <fb>0.151768215720023</fb>
    <v>29</v>
  </rv>
  <rv s="1">
    <fb>2847.1263826231798</fb>
    <v>30</v>
  </rv>
  <rv s="1">
    <fb>2.069</fb>
    <v>31</v>
  </rv>
  <rv s="1">
    <fb>0.15354651443713199</fb>
    <v>29</v>
  </rv>
  <rv s="1">
    <fb>86.843187660707997</fb>
    <v>34</v>
  </rv>
  <rv s="1">
    <fb>1.42</fb>
    <v>35</v>
  </rv>
  <rv s="1">
    <fb>754411708202.61597</fb>
    <v>36</v>
  </rv>
  <rv s="1">
    <fb>0.93154979999999998</fb>
    <v>29</v>
  </rv>
  <rv s="1">
    <fb>0.2386259</fb>
    <v>29</v>
  </rv>
  <rv s="1">
    <fb>9.1</fb>
    <v>34</v>
  </rv>
  <rv s="0">
    <v>536870912</v>
    <v>Istanbul</v>
    <v>fda0585c-e197-df02-9869-433da5f8d140</v>
    <v>en-GB</v>
    <v>Map</v>
  </rv>
  <rv s="0">
    <v>805306368</v>
    <v>Recep Tayyip Erdogan (President)</v>
    <v>f21eb85d-34a7-cfce-c58a-9ef2caf64671</v>
    <v>en-GB</v>
    <v>Generic</v>
  </rv>
  <rv s="0">
    <v>805306368</v>
    <v>Fuat Oktay (Vice President)</v>
    <v>e1616c6b-32b2-ee95-3d8d-042b734639ea</v>
    <v>en-GB</v>
    <v>Generic</v>
  </rv>
  <rv s="3">
    <v>15</v>
  </rv>
  <rv s="4">
    <v>https://www.bing.com/search?q=turkey&amp;form=skydnc</v>
    <v>Learn more on Bing</v>
  </rv>
  <rv s="1">
    <fb>77.436999999999998</fb>
    <v>34</v>
  </rv>
  <rv s="1">
    <fb>184966060000</fb>
    <v>36</v>
  </rv>
  <rv s="1">
    <fb>17</fb>
    <v>34</v>
  </rv>
  <rv s="1">
    <fb>3.45</fb>
    <v>35</v>
  </rv>
  <rv s="3">
    <v>16</v>
  </rv>
  <rv s="1">
    <fb>0.16948329139999999</fb>
    <v>29</v>
  </rv>
  <rv s="1">
    <fb>1.8492</fb>
    <v>31</v>
  </rv>
  <rv s="1">
    <fb>83429615</fb>
    <v>30</v>
  </rv>
  <rv s="1">
    <fb>0.21100000000000002</fb>
    <v>29</v>
  </rv>
  <rv s="1">
    <fb>0.32600000000000001</fb>
    <v>29</v>
  </rv>
  <rv s="1">
    <fb>0.48499999999999999</fb>
    <v>29</v>
  </rv>
  <rv s="1">
    <fb>2.2000000000000002E-2</fb>
    <v>29</v>
  </rv>
  <rv s="1">
    <fb>5.7999999999999996E-2</fb>
    <v>29</v>
  </rv>
  <rv s="1">
    <fb>0.10099999999999999</fb>
    <v>29</v>
  </rv>
  <rv s="1">
    <fb>0.14499999999999999</fb>
    <v>29</v>
  </rv>
  <rv s="1">
    <fb>0.52828998565673801</fb>
    <v>29</v>
  </rv>
  <rv s="0">
    <v>536870912</v>
    <v>Düzce</v>
    <v>5d3dd9f1-8f88-4a6c-b065-c24ce552ef31</v>
    <v>en-GB</v>
    <v>Map</v>
  </rv>
  <rv s="0">
    <v>536870912</v>
    <v>Erzurum Province</v>
    <v>01866a32-d9b1-dd86-228d-e56f4adf0cf1</v>
    <v>en-GB</v>
    <v>Map</v>
  </rv>
  <rv s="0">
    <v>536870912</v>
    <v>Sakarya Province</v>
    <v>7ebe894a-2b67-c535-acbb-2bdaa1184732</v>
    <v>en-GB</v>
    <v>Map</v>
  </rv>
  <rv s="0">
    <v>536870912</v>
    <v>Antalya Province</v>
    <v>587c167a-e948-0ae5-d37e-df27f8a66abc</v>
    <v>en-GB</v>
    <v>Map</v>
  </rv>
  <rv s="0">
    <v>536870912</v>
    <v>Artvin Province</v>
    <v>98c6f465-c9e5-4892-6b40-65f91af6b631</v>
    <v>en-GB</v>
    <v>Map</v>
  </rv>
  <rv s="0">
    <v>536870912</v>
    <v>Gaziantep Province</v>
    <v>f1482689-3585-0141-6070-b066119a08fb</v>
    <v>en-GB</v>
    <v>Map</v>
  </rv>
  <rv s="0">
    <v>536870912</v>
    <v>Edirne Province</v>
    <v>f0daead3-5c80-efbc-369f-d1ab3a6dc8b4</v>
    <v>en-GB</v>
    <v>Map</v>
  </rv>
  <rv s="0">
    <v>536870912</v>
    <v>Ankara Province</v>
    <v>4d2d62dd-3675-5693-ab16-c5f56814d654</v>
    <v>en-GB</v>
    <v>Map</v>
  </rv>
  <rv s="0">
    <v>536870912</v>
    <v>Mersin Province</v>
    <v>c341746a-b3c2-a92f-31b4-b17728f62a02</v>
    <v>en-GB</v>
    <v>Map</v>
  </rv>
  <rv s="0">
    <v>536870912</v>
    <v>İzmir Province</v>
    <v>e1b979ad-2537-f1c3-fa25-d697064ad3b5</v>
    <v>en-GB</v>
    <v>Map</v>
  </rv>
  <rv s="0">
    <v>536870912</v>
    <v>Sivas Province</v>
    <v>0aeac0b1-43d7-c278-de16-15b0fb9fd27a</v>
    <v>en-GB</v>
    <v>Map</v>
  </rv>
  <rv s="0">
    <v>536870912</v>
    <v>Aydın Province</v>
    <v>cb3d0981-c59d-2d85-84fb-1ae261b238a7</v>
    <v>en-GB</v>
    <v>Map</v>
  </rv>
  <rv s="0">
    <v>536870912</v>
    <v>Çankırı Province</v>
    <v>1aed89ee-690d-e55a-1cd5-1a2c6683ea86</v>
    <v>en-GB</v>
    <v>Map</v>
  </rv>
  <rv s="0">
    <v>536870912</v>
    <v>Batman Province</v>
    <v>62e638c6-38ee-e10e-0af1-d6579e7f08f6</v>
    <v>en-GB</v>
    <v>Map</v>
  </rv>
  <rv s="0">
    <v>536870912</v>
    <v>Gümüşhane Province</v>
    <v>aed198db-94b5-ed02-7c09-9d96aadb3d6c</v>
    <v>en-GB</v>
    <v>Map</v>
  </rv>
  <rv s="0">
    <v>536870912</v>
    <v>Kırklareli Province</v>
    <v>4da2d7c3-fbfe-176e-501d-855e2a122280</v>
    <v>en-GB</v>
    <v>Map</v>
  </rv>
  <rv s="0">
    <v>536870912</v>
    <v>Çanakkale Province</v>
    <v>4db76560-ab4d-49c4-c8e7-4f73a0fa7ab9</v>
    <v>en-GB</v>
    <v>Map</v>
  </rv>
  <rv s="0">
    <v>536870912</v>
    <v>Iğdır Province</v>
    <v>11552ebc-e31a-3666-c967-038d03236735</v>
    <v>en-GB</v>
    <v>Map</v>
  </rv>
  <rv s="0">
    <v>536870912</v>
    <v>Samsun Province</v>
    <v>8c4e990a-62e7-1da2-28fa-bd0bf3fc397c</v>
    <v>en-GB</v>
    <v>Map</v>
  </rv>
  <rv s="0">
    <v>536870912</v>
    <v>Adıyaman Province</v>
    <v>855cf865-a95f-d57f-d14b-d8a01c0592a7</v>
    <v>en-GB</v>
    <v>Map</v>
  </rv>
  <rv s="0">
    <v>536870912</v>
    <v>Yozgat Province</v>
    <v>0c70abd6-4b3a-bafe-cca0-47c3c0b5207c</v>
    <v>en-GB</v>
    <v>Map</v>
  </rv>
  <rv s="0">
    <v>536870912</v>
    <v>Bilecik Province</v>
    <v>8ca0b002-5a15-15dd-5188-80ec8f8ed2d9</v>
    <v>en-GB</v>
    <v>Map</v>
  </rv>
  <rv s="0">
    <v>536870912</v>
    <v>Elazığ Province</v>
    <v>2122aea0-b392-1445-ddaf-b278ba9f87ee</v>
    <v>en-GB</v>
    <v>Map</v>
  </rv>
  <rv s="0">
    <v>536870912</v>
    <v>Tunceli Province</v>
    <v>116c4083-d7f5-5473-a24e-38ca9bbe6b02</v>
    <v>en-GB</v>
    <v>Map</v>
  </rv>
  <rv s="0">
    <v>536870912</v>
    <v>Şanlıurfa Province</v>
    <v>8357d93c-256b-62a5-5bde-56fa0bc45f01</v>
    <v>en-GB</v>
    <v>Map</v>
  </rv>
  <rv s="0">
    <v>536870912</v>
    <v>Diyarbakır Province</v>
    <v>12b8cb72-be29-1cf6-de4d-60e448df036a</v>
    <v>en-GB</v>
    <v>Map</v>
  </rv>
  <rv s="0">
    <v>536870912</v>
    <v>Kırşehir Province</v>
    <v>214c2df7-9c5e-adb8-024d-1cad8e4ccd37</v>
    <v>en-GB</v>
    <v>Map</v>
  </rv>
  <rv s="0">
    <v>536870912</v>
    <v>Giresun Province</v>
    <v>2889cd47-4b36-37bb-04d4-df5b5184e171</v>
    <v>en-GB</v>
    <v>Map</v>
  </rv>
  <rv s="0">
    <v>536870912</v>
    <v>Uşak Province</v>
    <v>122cbd30-fc4b-cc92-4b05-8b9f07bd9a42</v>
    <v>en-GB</v>
    <v>Map</v>
  </rv>
  <rv s="0">
    <v>536870912</v>
    <v>Bartın Province</v>
    <v>08decd5f-ab51-292a-67f0-6791470aaeca</v>
    <v>en-GB</v>
    <v>Map</v>
  </rv>
  <rv s="0">
    <v>536870912</v>
    <v>Manisa Province</v>
    <v>10f37388-45f4-be0c-4ea8-4b86ce0be5a6</v>
    <v>en-GB</v>
    <v>Map</v>
  </rv>
  <rv s="0">
    <v>536870912</v>
    <v>Eskişehir Province</v>
    <v>47db0cad-86de-b13a-209a-10b6124cd564</v>
    <v>en-GB</v>
    <v>Map</v>
  </rv>
  <rv s="0">
    <v>536870912</v>
    <v>Burdur Province</v>
    <v>70d559c6-b4b3-6141-5bc5-9ad815fa655a</v>
    <v>en-GB</v>
    <v>Map</v>
  </rv>
  <rv s="0">
    <v>536870912</v>
    <v>Ağrı Province</v>
    <v>e02279d8-277c-c50b-1605-c56baca6063e</v>
    <v>en-GB</v>
    <v>Map</v>
  </rv>
  <rv s="0">
    <v>536870912</v>
    <v>Kastamonu Province</v>
    <v>df94dcd0-c282-be5c-fabb-f025a16a5a42</v>
    <v>en-GB</v>
    <v>Map</v>
  </rv>
  <rv s="0">
    <v>536870912</v>
    <v>Ardahan Province</v>
    <v>48344073-852b-85c4-c321-585f945a4ed9</v>
    <v>en-GB</v>
    <v>Map</v>
  </rv>
  <rv s="0">
    <v>536870912</v>
    <v>Şırnak Province</v>
    <v>466847c5-4091-0032-b3df-5b8881f5e9bc</v>
    <v>en-GB</v>
    <v>Map</v>
  </rv>
  <rv s="0">
    <v>536870912</v>
    <v>Kocaeli Province</v>
    <v>d3bd1534-20dc-a0df-a2c9-36b0eb0912c1</v>
    <v>en-GB</v>
    <v>Map</v>
  </rv>
  <rv s="0">
    <v>536870912</v>
    <v>Konya Province</v>
    <v>a01c56c9-d3fb-ac13-8a71-93db8c55474b</v>
    <v>en-GB</v>
    <v>Map</v>
  </rv>
  <rv s="0">
    <v>536870912</v>
    <v>Kayseri Province</v>
    <v>9fc99e5c-e6c0-9dbd-e980-989451b70f34</v>
    <v>en-GB</v>
    <v>Map</v>
  </rv>
  <rv s="0">
    <v>536870912</v>
    <v>Kilis Province</v>
    <v>61d19aee-be4d-6c41-e22d-e3aa79c91850</v>
    <v>en-GB</v>
    <v>Map</v>
  </rv>
  <rv s="0">
    <v>536870912</v>
    <v>Hatay Province</v>
    <v>fddcca0f-224b-914e-87d1-2883651173ce</v>
    <v>en-GB</v>
    <v>Map</v>
  </rv>
  <rv s="0">
    <v>536870912</v>
    <v>Kahramanmaraş Province</v>
    <v>f63d4a34-ee39-abc7-9291-01617eb0f4cc</v>
    <v>en-GB</v>
    <v>Map</v>
  </rv>
  <rv s="0">
    <v>536870912</v>
    <v>Isparta Province</v>
    <v>71fa1532-0582-66aa-39bf-e3a06833cb3b</v>
    <v>en-GB</v>
    <v>Map</v>
  </rv>
  <rv s="0">
    <v>536870912</v>
    <v>Tokat Province</v>
    <v>8d336435-bb4e-154b-2b3d-bc7c79381e19</v>
    <v>en-GB</v>
    <v>Map</v>
  </rv>
  <rv s="0">
    <v>536870912</v>
    <v>Ordu Province</v>
    <v>4d4a68fb-2fa4-4a92-7d4e-3837d34e9342</v>
    <v>en-GB</v>
    <v>Map</v>
  </rv>
  <rv s="0">
    <v>536870912</v>
    <v>Zonguldak Province</v>
    <v>f15aed49-7932-e29c-3822-1cdd73b6309e</v>
    <v>en-GB</v>
    <v>Map</v>
  </rv>
  <rv s="0">
    <v>536870912</v>
    <v>Afyonkarahisar Province</v>
    <v>084e2a26-12e8-4bc8-e44d-28ccfff05b42</v>
    <v>en-GB</v>
    <v>Map</v>
  </rv>
  <rv s="0">
    <v>536870912</v>
    <v>Kars Province</v>
    <v>836bc829-af6c-b635-a753-3f80169778f6</v>
    <v>en-GB</v>
    <v>Map</v>
  </rv>
  <rv s="0">
    <v>536870912</v>
    <v>Karabük Province</v>
    <v>37c4dec2-a540-0bac-3662-01c63c2d9be4</v>
    <v>en-GB</v>
    <v>Map</v>
  </rv>
  <rv s="0">
    <v>536870912</v>
    <v>Erzincan Province</v>
    <v>2f6662bd-7e90-3693-c3c7-8a7c8807fb00</v>
    <v>en-GB</v>
    <v>Map</v>
  </rv>
  <rv s="0">
    <v>536870912</v>
    <v>Balıkesir Province</v>
    <v>b014e5e1-62ae-7b55-9609-fda4fe491964</v>
    <v>en-GB</v>
    <v>Map</v>
  </rv>
  <rv s="0">
    <v>536870912</v>
    <v>Adana Province</v>
    <v>165c9b43-6a79-db5c-7219-325686bd9700</v>
    <v>en-GB</v>
    <v>Map</v>
  </rv>
  <rv s="0">
    <v>536870912</v>
    <v>Mardin Province</v>
    <v>fa6857dd-5d0d-43a8-667d-fb037dec8eca</v>
    <v>en-GB</v>
    <v>Map</v>
  </rv>
  <rv s="0">
    <v>536870912</v>
    <v>Siirt Province</v>
    <v>5490ed79-ab84-df78-c6f2-810d9bb2614b</v>
    <v>en-GB</v>
    <v>Map</v>
  </rv>
  <rv s="0">
    <v>536870912</v>
    <v>Van Province</v>
    <v>6189c8a3-7d17-4329-919d-ca71576f7001</v>
    <v>en-GB</v>
    <v>Map</v>
  </rv>
  <rv s="0">
    <v>536870912</v>
    <v>Amasya Province</v>
    <v>cc18e26e-109d-8f56-7a4f-c6274bf9b99c</v>
    <v>en-GB</v>
    <v>Map</v>
  </rv>
  <rv s="0">
    <v>536870912</v>
    <v>Tekirdağ Province</v>
    <v>bd5368fb-d1b8-4a96-b634-985d3089515d</v>
    <v>en-GB</v>
    <v>Map</v>
  </rv>
  <rv s="0">
    <v>536870912</v>
    <v>Kütahya Province</v>
    <v>8541ec9d-1054-7976-26d5-9eefdb011fee</v>
    <v>en-GB</v>
    <v>Map</v>
  </rv>
  <rv s="0">
    <v>536870912</v>
    <v>Muş Province</v>
    <v>4df7fbea-9f00-38fd-c8ca-6181747e0a17</v>
    <v>en-GB</v>
    <v>Map</v>
  </rv>
  <rv s="0">
    <v>536870912</v>
    <v>Karaman Province</v>
    <v>7d9ce050-bb20-8bbc-a1b4-1437c3553ebc</v>
    <v>en-GB</v>
    <v>Map</v>
  </rv>
  <rv s="0">
    <v>536870912</v>
    <v>Sinop Province</v>
    <v>b9e74088-f822-fd19-c8b8-e311ddda29a5</v>
    <v>en-GB</v>
    <v>Map</v>
  </rv>
  <rv s="0">
    <v>536870912</v>
    <v>Yalova Province</v>
    <v>57683b96-e4ee-b046-126a-cfacf116feea</v>
    <v>en-GB</v>
    <v>Map</v>
  </rv>
  <rv s="0">
    <v>536870912</v>
    <v>Kırıkkale Province</v>
    <v>a4c29c36-f0cd-5129-a03c-8859a5b31089</v>
    <v>en-GB</v>
    <v>Map</v>
  </rv>
  <rv s="0">
    <v>536870912</v>
    <v>Muğla Province</v>
    <v>ba66fd86-d4a9-22ac-57c0-778bd41da0ca</v>
    <v>en-GB</v>
    <v>Map</v>
  </rv>
  <rv s="0">
    <v>536870912</v>
    <v>Bursa Province</v>
    <v>c12c1d6b-e8f6-4eaf-ee4e-7958bdacfc7b</v>
    <v>en-GB</v>
    <v>Map</v>
  </rv>
  <rv s="0">
    <v>536870912</v>
    <v>Rize Province</v>
    <v>72c2af94-7c88-720b-cb84-e74549314d0e</v>
    <v>en-GB</v>
    <v>Map</v>
  </rv>
  <rv s="0">
    <v>536870912</v>
    <v>Çorum Province</v>
    <v>1506a536-030f-6d72-9ee3-f59b2131734c</v>
    <v>en-GB</v>
    <v>Map</v>
  </rv>
  <rv s="0">
    <v>536870912</v>
    <v>Hakkâri Province</v>
    <v>0cb801b8-2c6e-eb40-c17c-a1b963e86cde</v>
    <v>en-GB</v>
    <v>Map</v>
  </rv>
  <rv s="0">
    <v>536870912</v>
    <v>Osmaniye Province</v>
    <v>51d1cb5f-1f55-7a57-518f-80a94efdb5f7</v>
    <v>en-GB</v>
    <v>Map</v>
  </rv>
  <rv s="0">
    <v>536870912</v>
    <v>Denizli Province</v>
    <v>88d2965a-eef8-deca-0ec8-76cc543ab50d</v>
    <v>en-GB</v>
    <v>Map</v>
  </rv>
  <rv s="0">
    <v>536870912</v>
    <v>Aksaray Province</v>
    <v>81d2c9ee-3ec0-b0b7-611e-b5c639377d08</v>
    <v>en-GB</v>
    <v>Map</v>
  </rv>
  <rv s="0">
    <v>536870912</v>
    <v>Bolu Province</v>
    <v>453d788e-f478-b00f-232c-b3c00555b863</v>
    <v>en-GB</v>
    <v>Map</v>
  </rv>
  <rv s="0">
    <v>536870912</v>
    <v>Niğde Province</v>
    <v>02801ccd-3926-32c4-1773-63f7a5c1044a</v>
    <v>en-GB</v>
    <v>Map</v>
  </rv>
  <rv s="0">
    <v>536870912</v>
    <v>Bayburt Province</v>
    <v>78b7d282-727e-0596-becd-d71f66061a80</v>
    <v>en-GB</v>
    <v>Map</v>
  </rv>
  <rv s="0">
    <v>536870912</v>
    <v>Bitlis Province</v>
    <v>4f16e498-6063-4b1b-9ac1-bec6026acd6b</v>
    <v>en-GB</v>
    <v>Map</v>
  </rv>
  <rv s="0">
    <v>536870912</v>
    <v>Nevşehir Province</v>
    <v>65973d79-2f88-10d4-6e47-2a6fdc3f4eea</v>
    <v>en-GB</v>
    <v>Map</v>
  </rv>
  <rv s="0">
    <v>536870912</v>
    <v>Trabzon Province</v>
    <v>26d72493-e6e0-8391-d7eb-8b7032399dce</v>
    <v>en-GB</v>
    <v>Map</v>
  </rv>
  <rv s="0">
    <v>536870912</v>
    <v>Malatya Province</v>
    <v>5c83e762-87ba-c1e8-b224-83a3e16fdc65</v>
    <v>en-GB</v>
    <v>Map</v>
  </rv>
  <rv s="0">
    <v>536870912</v>
    <v>Bingöl Province</v>
    <v>10ff836a-bdbd-44b4-94e9-c8722cbd9fb8</v>
    <v>en-GB</v>
    <v>Map</v>
  </rv>
  <rv s="3">
    <v>17</v>
  </rv>
  <rv s="1">
    <fb>0.178640331232954</fb>
    <v>29</v>
  </rv>
  <rv s="1">
    <fb>0.42299999999999999</fb>
    <v>29</v>
  </rv>
  <rv s="1">
    <fb>0.134899997711182</fb>
    <v>38</v>
  </rv>
  <rv s="1">
    <fb>63097818</fb>
    <v>30</v>
  </rv>
  <rv s="8">
    <v>#VALUE!</v>
    <v>77</v>
    <v>78</v>
    <v>Turkey</v>
    <v>25</v>
    <v>48</v>
    <v>Map</v>
    <v>27</v>
    <v>79</v>
    <v>en-GB</v>
    <v>fbfb6418-e8cf-0d18-8b81-28d0fcccda7c</v>
    <v>536870912</v>
    <v>1</v>
    <v>TR</v>
    <v>255</v>
    <v>256</v>
    <v>257</v>
    <v>258</v>
    <v>259</v>
    <v>260</v>
    <v>261</v>
    <v>262</v>
    <v>263</v>
    <v>TRY</v>
    <v>Turkey or Türkiye, officially the Republic of Türkiye, is a transcontinental country located mainly on the Anatolian Peninsula in Western Asia, with a small portion on the Balkan Peninsula in Southeast Europe. It shares borders with the Black Sea to the north; Georgia to the northeast; Armenia, Azerbaijan, and Iran to the east; Iraq to the southeast; Syria and the Mediterranean Sea to the south; the Aegean Sea to the west; and Greece and Bulgaria to the northwest. Cyprus is located off the south coast. Turks form the vast majority of the nation's population and Kurds are the largest minority. Ankara is Turkey's capital, while Istanbul is its largest city and financial centre.</v>
    <v>264</v>
    <v>265</v>
    <v>266</v>
    <v>267</v>
    <v>268</v>
    <v>269</v>
    <v>270</v>
    <v>271</v>
    <v>272</v>
    <v>273</v>
    <v>276</v>
    <v>277</v>
    <v>278</v>
    <v>279</v>
    <v>280</v>
    <v>281</v>
    <v>Turkey</v>
    <v>İstiklâl Marşı</v>
    <v>282</v>
    <v>Republic of Turkey</v>
    <v>283</v>
    <v>284</v>
    <v>285</v>
    <v>286</v>
    <v>287</v>
    <v>288</v>
    <v>289</v>
    <v>290</v>
    <v>291</v>
    <v>292</v>
    <v>293</v>
    <v>374</v>
    <v>375</v>
    <v>376</v>
    <v>377</v>
    <v>Turkey</v>
    <v>378</v>
    <v>mdp/vdpid/235</v>
  </rv>
  <rv s="0">
    <v>536870912</v>
    <v>Egypt</v>
    <v>7af820a7-1c8d-f12a-0ca9-87e192e82cee</v>
    <v>en-GB</v>
    <v>Map</v>
  </rv>
  <rv s="1">
    <fb>3.75083632480913E-2</fb>
    <v>29</v>
  </rv>
  <rv s="1">
    <fb>1001450</fb>
    <v>30</v>
  </rv>
  <rv s="1">
    <fb>836000</fb>
    <v>30</v>
  </rv>
  <rv s="1">
    <fb>26.379000000000001</fb>
    <v>31</v>
  </rv>
  <rv s="1">
    <fb>20</fb>
    <v>32</v>
  </rv>
  <rv s="0">
    <v>536870912</v>
    <v>Cairo</v>
    <v>f339e71b-dff6-f428-3624-c707f5baa04c</v>
    <v>en-GB</v>
    <v>Map</v>
  </rv>
  <rv s="1">
    <fb>238560.35200000001</fb>
    <v>30</v>
  </rv>
  <rv s="1">
    <fb>288.56670071116298</fb>
    <v>33</v>
  </rv>
  <rv s="1">
    <fb>9.1505022263158792E-2</fb>
    <v>29</v>
  </rv>
  <rv s="1">
    <fb>1683.2135182955701</fb>
    <v>30</v>
  </rv>
  <rv s="1">
    <fb>3.3260000000000001</fb>
    <v>31</v>
  </rv>
  <rv s="1">
    <fb>7.3936409135688501E-4</fb>
    <v>29</v>
  </rv>
  <rv s="1">
    <fb>97.928929787843501</fb>
    <v>34</v>
  </rv>
  <rv s="1">
    <fb>0.4</fb>
    <v>35</v>
  </rv>
  <rv s="1">
    <fb>303175127597.521</fb>
    <v>36</v>
  </rv>
  <rv s="1">
    <fb>1.0628493000000001</fb>
    <v>29</v>
  </rv>
  <rv s="1">
    <fb>0.35164520000000005</fb>
    <v>29</v>
  </rv>
  <rv s="2">
    <v>1</v>
    <v>27</v>
    <v>91</v>
    <v>6</v>
    <v>0</v>
    <v>Image of Egypt</v>
  </rv>
  <rv s="1">
    <fb>18.100000000000001</fb>
    <v>34</v>
  </rv>
  <rv s="0">
    <v>805306368</v>
    <v>Abdel Fattah el-Sisi (President)</v>
    <v>bd682cfc-4153-2740-55a8-5092e9ac12e6</v>
    <v>en-GB</v>
    <v>Generic</v>
  </rv>
  <rv s="0">
    <v>805306368</v>
    <v>Mostafa Madbouly (Prime Minister)</v>
    <v>20dec001-59cb-3582-f4b1-c36057f3c8dd</v>
    <v>en-GB</v>
    <v>Generic</v>
  </rv>
  <rv s="3">
    <v>18</v>
  </rv>
  <rv s="4">
    <v>https://www.bing.com/search?q=egypt&amp;form=skydnc</v>
    <v>Learn more on Bing</v>
  </rv>
  <rv s="1">
    <fb>71.825000000000003</fb>
    <v>34</v>
  </rv>
  <rv s="1">
    <fb>44199850000</fb>
    <v>36</v>
  </rv>
  <rv s="1">
    <fb>37</fb>
    <v>34</v>
  </rv>
  <rv s="3">
    <v>19</v>
  </rv>
  <rv s="1">
    <fb>0.61958965460000004</fb>
    <v>29</v>
  </rv>
  <rv s="1">
    <fb>0.4521</fb>
    <v>31</v>
  </rv>
  <rv s="1">
    <fb>100388073</fb>
    <v>30</v>
  </rv>
  <rv s="1">
    <fb>0.21</fb>
    <v>29</v>
  </rv>
  <rv s="1">
    <fb>0.26899999999999996</fb>
    <v>29</v>
  </rv>
  <rv s="1">
    <fb>0.41</fb>
    <v>29</v>
  </rv>
  <rv s="1">
    <fb>3.7999999999999999E-2</fb>
    <v>29</v>
  </rv>
  <rv s="1">
    <fb>0.09</fb>
    <v>29</v>
  </rv>
  <rv s="1">
    <fb>0.128</fb>
    <v>29</v>
  </rv>
  <rv s="1">
    <fb>0.16200000000000001</fb>
    <v>29</v>
  </rv>
  <rv s="1">
    <fb>0.46412998199462896</fb>
    <v>29</v>
  </rv>
  <rv s="0">
    <v>536870912</v>
    <v>Alexandria Governorate</v>
    <v>8003181b-e7bf-ddf4-a199-71a05b6ade79</v>
    <v>en-GB</v>
    <v>Map</v>
  </rv>
  <rv s="0">
    <v>536870912</v>
    <v>Cairo Governorate</v>
    <v>40d749c0-d713-814e-ef3c-7915083a10e8</v>
    <v>en-GB</v>
    <v>Map</v>
  </rv>
  <rv s="0">
    <v>536870912</v>
    <v>Kafr el-Sheikh Governorate</v>
    <v>308b3991-f02f-c6c6-b267-441ab51f1699</v>
    <v>en-GB</v>
    <v>Map</v>
  </rv>
  <rv s="0">
    <v>536870912</v>
    <v>Dakahlia Governorate</v>
    <v>fdeeb0b3-047e-b574-74e0-f88c2d7a040c</v>
    <v>en-GB</v>
    <v>Map</v>
  </rv>
  <rv s="0">
    <v>536870912</v>
    <v>Sharqia Governorate</v>
    <v>1bccb0aa-521d-f0af-c496-d67e43635dba</v>
    <v>en-GB</v>
    <v>Map</v>
  </rv>
  <rv s="0">
    <v>536870912</v>
    <v>Giza Governorate</v>
    <v>23a0d5e0-99dd-b522-e54d-b11659fab6ca</v>
    <v>en-GB</v>
    <v>Map</v>
  </rv>
  <rv s="0">
    <v>536870912</v>
    <v>North Sinai Governorate</v>
    <v>094f5c93-c38c-43cc-3c97-af2da0fb59d5</v>
    <v>en-GB</v>
    <v>Map</v>
  </rv>
  <rv s="0">
    <v>536870912</v>
    <v>Monufia Governorate</v>
    <v>3708df96-eaa0-3c11-f327-c95a8d7a76d1</v>
    <v>en-GB</v>
    <v>Map</v>
  </rv>
  <rv s="0">
    <v>536870912</v>
    <v>Beheira Governorate</v>
    <v>cb4090bf-d2f8-2204-d585-476d3df37a8f</v>
    <v>en-GB</v>
    <v>Map</v>
  </rv>
  <rv s="0">
    <v>536870912</v>
    <v>Faiyum Governorate</v>
    <v>eb26f94e-2766-c3d3-35f4-50cb2eb0ce55</v>
    <v>en-GB</v>
    <v>Map</v>
  </rv>
  <rv s="0">
    <v>536870912</v>
    <v>Ismailia Governorate</v>
    <v>cdc25da2-596e-d166-dd41-c8036a65ade5</v>
    <v>en-GB</v>
    <v>Map</v>
  </rv>
  <rv s="0">
    <v>536870912</v>
    <v>Minya Governorate</v>
    <v>e95f5f87-062b-7638-1248-4a3562370238</v>
    <v>en-GB</v>
    <v>Map</v>
  </rv>
  <rv s="0">
    <v>536870912</v>
    <v>Matrouh Governorate</v>
    <v>f74dd9b0-23df-6191-1303-3b2ba17dc003</v>
    <v>en-GB</v>
    <v>Map</v>
  </rv>
  <rv s="0">
    <v>536870912</v>
    <v>Asyut Governorate</v>
    <v>38276c64-ea7a-410d-24b7-64beb756024c</v>
    <v>en-GB</v>
    <v>Map</v>
  </rv>
  <rv s="0">
    <v>536870912</v>
    <v>Qena Governorate</v>
    <v>13bc95f2-9ce1-a4be-cde3-26eb1e242951</v>
    <v>en-GB</v>
    <v>Map</v>
  </rv>
  <rv s="0">
    <v>536870912</v>
    <v>Red Sea Governorate</v>
    <v>e9f5f47b-c7d2-72b7-9cdd-3b8e16d774b4</v>
    <v>en-GB</v>
    <v>Map</v>
  </rv>
  <rv s="0">
    <v>536870912</v>
    <v>Damietta Governorate</v>
    <v>752a9b04-16cc-3931-5ca2-fb0e1925be23</v>
    <v>en-GB</v>
    <v>Map</v>
  </rv>
  <rv s="0">
    <v>536870912</v>
    <v>Beni Suef Governorate</v>
    <v>badcf7b4-a9e2-5517-1bdd-c780c2f26c72</v>
    <v>en-GB</v>
    <v>Map</v>
  </rv>
  <rv s="0">
    <v>536870912</v>
    <v>Sohag Governorate</v>
    <v>d302a61c-56d1-2127-6b4b-811b992d8f35</v>
    <v>en-GB</v>
    <v>Map</v>
  </rv>
  <rv s="0">
    <v>536870912</v>
    <v>South Sinai Governorate</v>
    <v>efb866ef-8727-ced5-9a50-36d860c1201e</v>
    <v>en-GB</v>
    <v>Map</v>
  </rv>
  <rv s="0">
    <v>536870912</v>
    <v>Aswan Governorate</v>
    <v>511db9d8-aac1-9ab1-13bb-6138eb5616c4</v>
    <v>en-GB</v>
    <v>Map</v>
  </rv>
  <rv s="0">
    <v>536870912</v>
    <v>Gharbia Governorate</v>
    <v>539d1f2a-e56b-981b-b68c-d4ff7d3279a2</v>
    <v>en-GB</v>
    <v>Map</v>
  </rv>
  <rv s="0">
    <v>536870912</v>
    <v>New Valley Governorate</v>
    <v>37340c74-0dd0-16d1-be47-975ac31f8ea1</v>
    <v>en-GB</v>
    <v>Map</v>
  </rv>
  <rv s="0">
    <v>536870912</v>
    <v>Luxor Governorate</v>
    <v>94700196-ca2a-7d87-d77b-cc43f44dfc99</v>
    <v>en-GB</v>
    <v>Map</v>
  </rv>
  <rv s="0">
    <v>536870912</v>
    <v>Port Said Governorate</v>
    <v>103ea99c-5f99-dc51-ef52-6b804e4d5070</v>
    <v>en-GB</v>
    <v>Map</v>
  </rv>
  <rv s="0">
    <v>536870912</v>
    <v>Suez Governorate</v>
    <v>c4378354-0b78-e7be-8a8b-ebee69155c12</v>
    <v>en-GB</v>
    <v>Map</v>
  </rv>
  <rv s="3">
    <v>20</v>
  </rv>
  <rv s="1">
    <fb>0.12519211097017099</fb>
    <v>29</v>
  </rv>
  <rv s="3">
    <v>21</v>
  </rv>
  <rv s="1">
    <fb>0.44400000000000001</fb>
    <v>29</v>
  </rv>
  <rv s="1">
    <fb>0.107600002288818</fb>
    <v>38</v>
  </rv>
  <rv s="1">
    <fb>42895824</fb>
    <v>30</v>
  </rv>
  <rv s="9">
    <v>#VALUE!</v>
    <v>88</v>
    <v>89</v>
    <v>Egypt</v>
    <v>25</v>
    <v>26</v>
    <v>Map</v>
    <v>27</v>
    <v>90</v>
    <v>en-GB</v>
    <v>7af820a7-1c8d-f12a-0ca9-87e192e82cee</v>
    <v>536870912</v>
    <v>1</v>
    <v>EG</v>
    <v>381</v>
    <v>382</v>
    <v>383</v>
    <v>384</v>
    <v>385</v>
    <v>386</v>
    <v>387</v>
    <v>388</v>
    <v>389</v>
    <v>EGP</v>
    <v>Egypt, officially the Arab Republic of Egypt, is a transcontinental country spanning the northeast corner of Africa and southwest corner of Asia via a land bridge formed by the Sinai Peninsula. It is bordered by the Mediterranean Sea to the north, the Gaza Strip and Israel to the northeast, the Red Sea to the east, Sudan to the south, and Libya to the west. The Gulf of Aqaba in the northeast separates Egypt from Jordan and Saudi Arabia. Cairo is the capital and largest city of Egypt, while Alexandria, the second-largest city, is an important industrial and tourist hub at the Mediterranean coast. At approximately 100 million inhabitants, Egypt is the 14th-most populated country in the world.</v>
    <v>390</v>
    <v>391</v>
    <v>392</v>
    <v>393</v>
    <v>394</v>
    <v>395</v>
    <v>396</v>
    <v>397</v>
    <v>398</v>
    <v>399</v>
    <v>386</v>
    <v>402</v>
    <v>403</v>
    <v>404</v>
    <v>405</v>
    <v>406</v>
    <v>Egypt</v>
    <v>Walla Zaman Ya Selahy</v>
    <v>407</v>
    <v>Arab Republic of Egypt</v>
    <v>408</v>
    <v>409</v>
    <v>410</v>
    <v>411</v>
    <v>412</v>
    <v>413</v>
    <v>414</v>
    <v>415</v>
    <v>416</v>
    <v>417</v>
    <v>418</v>
    <v>445</v>
    <v>446</v>
    <v>447</v>
    <v>448</v>
    <v>449</v>
    <v>Egypt</v>
    <v>450</v>
    <v>mdp/vdpid/67</v>
  </rv>
  <rv s="0">
    <v>536870912</v>
    <v>China</v>
    <v>5fcc3d97-0cf2-94e5-6dad-cd70e387bd69</v>
    <v>en-GB</v>
    <v>Map</v>
  </rv>
  <rv s="1">
    <fb>0.56212313103349798</fb>
    <v>29</v>
  </rv>
  <rv s="1">
    <fb>9596960</fb>
    <v>30</v>
  </rv>
  <rv s="1">
    <fb>2695000</fb>
    <v>30</v>
  </rv>
  <rv s="1">
    <fb>10.9</fb>
    <v>31</v>
  </rv>
  <rv s="1">
    <fb>86</fb>
    <v>32</v>
  </rv>
  <rv s="0">
    <v>536870912</v>
    <v>Beijing</v>
    <v>e43bc499-902a-5deb-aced-aa4a247e6822</v>
    <v>en-GB</v>
    <v>Map</v>
  </rv>
  <rv s="1">
    <fb>9893037.9519999996</fb>
    <v>30</v>
  </rv>
  <rv s="1">
    <fb>125.083155733959</fb>
    <v>33</v>
  </rv>
  <rv s="1">
    <fb>2.8992357992594101E-2</fb>
    <v>29</v>
  </rv>
  <rv s="1">
    <fb>3927.0444999890101</fb>
    <v>30</v>
  </rv>
  <rv s="1">
    <fb>1.69</fb>
    <v>31</v>
  </rv>
  <rv s="1">
    <fb>0.22353941805732902</fb>
    <v>29</v>
  </rv>
  <rv s="1">
    <fb>87.670430768185398</fb>
    <v>34</v>
  </rv>
  <rv s="1">
    <fb>0.96</fb>
    <v>35</v>
  </rv>
  <rv s="1">
    <fb>19910000000000</fb>
    <v>36</v>
  </rv>
  <rv s="1">
    <fb>1.0022275</fb>
    <v>29</v>
  </rv>
  <rv s="1">
    <fb>0.50604439999999995</fb>
    <v>29</v>
  </rv>
  <rv s="2">
    <v>2</v>
    <v>27</v>
    <v>103</v>
    <v>6</v>
    <v>0</v>
    <v>Image of China</v>
  </rv>
  <rv s="1">
    <fb>7.4</fb>
    <v>34</v>
  </rv>
  <rv s="0">
    <v>536870912</v>
    <v>Shanghai</v>
    <v>29ece984-463e-6074-60e1-83f8c012ef70</v>
    <v>en-GB</v>
    <v>Map</v>
  </rv>
  <rv s="0">
    <v>805306368</v>
    <v>Xi Jinping (President)</v>
    <v>cd954b68-481c-b388-8b3d-6c0081dc9adf</v>
    <v>en-GB</v>
    <v>Generic</v>
  </rv>
  <rv s="0">
    <v>805306368</v>
    <v>Li Keqiang (Premier)</v>
    <v>f1d08653-9327-ff05-215a-b26f0a4ad81c</v>
    <v>en-GB</v>
    <v>Generic</v>
  </rv>
  <rv s="3">
    <v>22</v>
  </rv>
  <rv s="4">
    <v>https://www.bing.com/search?q=china&amp;form=skydnc</v>
    <v>Learn more on Bing</v>
  </rv>
  <rv s="1">
    <fb>76.959999999999994</fb>
    <v>34</v>
  </rv>
  <rv s="1">
    <fb>8515504380000</fb>
    <v>36</v>
  </rv>
  <rv s="1">
    <fb>29</fb>
    <v>34</v>
  </rv>
  <rv s="1">
    <fb>0.87</fb>
    <v>35</v>
  </rv>
  <rv s="3">
    <v>23</v>
  </rv>
  <rv s="1">
    <fb>0.32386296240000001</fb>
    <v>29</v>
  </rv>
  <rv s="1">
    <fb>1.9798</fb>
    <v>31</v>
  </rv>
  <rv s="1">
    <fb>1397715000</fb>
    <v>30</v>
  </rv>
  <rv s="1">
    <fb>0.222</fb>
    <v>29</v>
  </rv>
  <rv s="1">
    <fb>0.29299999999999998</fb>
    <v>29</v>
  </rv>
  <rv s="1">
    <fb>0.45299999999999996</fb>
    <v>29</v>
  </rv>
  <rv s="1">
    <fb>2.7000000000000003E-2</fb>
    <v>29</v>
  </rv>
  <rv s="1">
    <fb>6.5000000000000002E-2</fb>
    <v>29</v>
  </rv>
  <rv s="1">
    <fb>0.107</fb>
    <v>29</v>
  </rv>
  <rv s="1">
    <fb>0.153</fb>
    <v>29</v>
  </rv>
  <rv s="1">
    <fb>0.67986999511718804</fb>
    <v>29</v>
  </rv>
  <rv s="0">
    <v>536870912</v>
    <v>Macau</v>
    <v>d7203e23-120a-c7fd-485a-3fbcf88a3288</v>
    <v>en-GB</v>
    <v>Map</v>
  </rv>
  <rv s="0">
    <v>536870912</v>
    <v>Hong Kong</v>
    <v>304df1d5-38ee-e835-eb2a-554caba5c30e</v>
    <v>en-GB</v>
    <v>Map</v>
  </rv>
  <rv s="0">
    <v>536870912</v>
    <v>Sichuan</v>
    <v>49bf1471-e0d6-011f-bb5b-edd67fea0a6f</v>
    <v>en-GB</v>
    <v>Map</v>
  </rv>
  <rv s="0">
    <v>536870912</v>
    <v>Chongqing</v>
    <v>69bf0da4-4c0f-d795-e3d4-f2087fc9101e</v>
    <v>en-GB</v>
    <v>Map</v>
  </rv>
  <rv s="0">
    <v>536870912</v>
    <v>Hunan</v>
    <v>84852e67-826c-7232-5aec-3bd5a776c21b</v>
    <v>en-GB</v>
    <v>Map</v>
  </rv>
  <rv s="0">
    <v>536870912</v>
    <v>Fujian</v>
    <v>f7e228b4-20f3-6c06-f9d2-0e381cb472db</v>
    <v>en-GB</v>
    <v>Map</v>
  </rv>
  <rv s="0">
    <v>536870912</v>
    <v>Guangdong</v>
    <v>533d187e-5296-4200-eed8-55f3257c948f</v>
    <v>en-GB</v>
    <v>Map</v>
  </rv>
  <rv s="0">
    <v>536870912</v>
    <v>Yunnan</v>
    <v>62345ab8-b0e6-d4c5-87b4-0e7a5b39c7dc</v>
    <v>en-GB</v>
    <v>Map</v>
  </rv>
  <rv s="0">
    <v>536870912</v>
    <v>Jiangsu</v>
    <v>c979b1db-2e4e-7b88-511f-1cd5a525053c</v>
    <v>en-GB</v>
    <v>Map</v>
  </rv>
  <rv s="0">
    <v>536870912</v>
    <v>Tianjin</v>
    <v>45fdbb85-8f7d-7f8b-dc59-7cb26189ef7d</v>
    <v>en-GB</v>
    <v>Map</v>
  </rv>
  <rv s="0">
    <v>536870912</v>
    <v>Shandong</v>
    <v>311c787d-5f0d-3960-4647-a0b3ee6bb863</v>
    <v>en-GB</v>
    <v>Map</v>
  </rv>
  <rv s="0">
    <v>536870912</v>
    <v>Shaanxi</v>
    <v>2c52cd90-c486-5a30-6fdf-b777d9331efd</v>
    <v>en-GB</v>
    <v>Map</v>
  </rv>
  <rv s="0">
    <v>536870912</v>
    <v>Heilongjiang</v>
    <v>a7c2e681-f80e-cae6-2ae7-fccb47f12008</v>
    <v>en-GB</v>
    <v>Map</v>
  </rv>
  <rv s="0">
    <v>536870912</v>
    <v>Guangxi</v>
    <v>b2e2f034-494c-f814-7555-fa5d56071d6f</v>
    <v>en-GB</v>
    <v>Map</v>
  </rv>
  <rv s="0">
    <v>536870912</v>
    <v>Xinjiang</v>
    <v>8e7874f1-5a52-a168-5737-ced81488dfca</v>
    <v>en-GB</v>
    <v>Map</v>
  </rv>
  <rv s="0">
    <v>536870912</v>
    <v>Hubei</v>
    <v>03c5c53c-6c11-7737-b58a-31b9b73bce20</v>
    <v>en-GB</v>
    <v>Map</v>
  </rv>
  <rv s="0">
    <v>536870912</v>
    <v>Zhejiang</v>
    <v>5464490d-3361-4945-967e-d8879b9c8415</v>
    <v>en-GB</v>
    <v>Map</v>
  </rv>
  <rv s="0">
    <v>536870912</v>
    <v>Hebei</v>
    <v>268021ac-4731-f143-328a-f385a6b2f343</v>
    <v>en-GB</v>
    <v>Map</v>
  </rv>
  <rv s="0">
    <v>536870912</v>
    <v>Inner Mongolia</v>
    <v>2c74fdb2-19bf-0f2d-f20d-13b21d6103e6</v>
    <v>en-GB</v>
    <v>Map</v>
  </rv>
  <rv s="0">
    <v>536870912</v>
    <v>Guizhou</v>
    <v>3025ec8b-299d-6131-4293-401f8dd1701e</v>
    <v>en-GB</v>
    <v>Map</v>
  </rv>
  <rv s="0">
    <v>536870912</v>
    <v>Jilin</v>
    <v>20bba38c-89a4-7448-c64a-9ec85a4ba341</v>
    <v>en-GB</v>
    <v>Map</v>
  </rv>
  <rv s="0">
    <v>536870912</v>
    <v>Ningxia</v>
    <v>b9d307c1-70f4-a27f-6800-d624b3030236</v>
    <v>en-GB</v>
    <v>Map</v>
  </rv>
  <rv s="0">
    <v>536870912</v>
    <v>Shanxi</v>
    <v>075dd860-13e3-fb9e-dab0-6f2a22a59c5d</v>
    <v>en-GB</v>
    <v>Map</v>
  </rv>
  <rv s="0">
    <v>536870912</v>
    <v>Anhui</v>
    <v>7a26b7d2-0ec9-86cd-351a-a9f347c4b9cd</v>
    <v>en-GB</v>
    <v>Map</v>
  </rv>
  <rv s="0">
    <v>536870912</v>
    <v>Liaoning</v>
    <v>50b9b45b-7555-8f4e-500a-81f90d66f392</v>
    <v>en-GB</v>
    <v>Map</v>
  </rv>
  <rv s="0">
    <v>536870912</v>
    <v>Jiangxi</v>
    <v>60bbd587-912f-cf97-4a3b-4e9236f59153</v>
    <v>en-GB</v>
    <v>Map</v>
  </rv>
  <rv s="0">
    <v>536870912</v>
    <v>Tibet</v>
    <v>47172d29-ddc9-3139-5851-4a08c8219822</v>
    <v>en-GB</v>
    <v>Map</v>
  </rv>
  <rv s="0">
    <v>536870912</v>
    <v>Hainan</v>
    <v>85cb11dd-f8f0-f5e0-35d3-42ce64c34e9e</v>
    <v>en-GB</v>
    <v>Map</v>
  </rv>
  <rv s="0">
    <v>536870912</v>
    <v>Qinghai</v>
    <v>c8ddeac2-af7f-8ee9-dbac-33f9f697d88c</v>
    <v>en-GB</v>
    <v>Map</v>
  </rv>
  <rv s="0">
    <v>536870912</v>
    <v>Gansu</v>
    <v>2bf7e5b1-3ba4-5943-77aa-7ac1cb9a0535</v>
    <v>en-GB</v>
    <v>Map</v>
  </rv>
  <rv s="0">
    <v>536870912</v>
    <v>Henan</v>
    <v>e1b3708c-e5d8-671a-5b9c-e74cf7d11971</v>
    <v>en-GB</v>
    <v>Map</v>
  </rv>
  <rv s="3">
    <v>24</v>
  </rv>
  <rv s="1">
    <fb>9.4193182022714303E-2</fb>
    <v>29</v>
  </rv>
  <rv s="3">
    <v>25</v>
  </rv>
  <rv s="1">
    <fb>0.59200000000000008</fb>
    <v>29</v>
  </rv>
  <rv s="1">
    <fb>4.3200001716613798E-2</fb>
    <v>38</v>
  </rv>
  <rv s="1">
    <fb>842933962</fb>
    <v>30</v>
  </rv>
  <rv s="5">
    <v>#VALUE!</v>
    <v>101</v>
    <v>22</v>
    <v>China</v>
    <v>25</v>
    <v>26</v>
    <v>Map</v>
    <v>27</v>
    <v>102</v>
    <v>en-GB</v>
    <v>5fcc3d97-0cf2-94e5-6dad-cd70e387bd69</v>
    <v>536870912</v>
    <v>1</v>
    <v>CN</v>
    <v>453</v>
    <v>454</v>
    <v>455</v>
    <v>456</v>
    <v>457</v>
    <v>458</v>
    <v>459</v>
    <v>460</v>
    <v>461</v>
    <v>CNY</v>
    <v>China, officially the People's Republic of China, is a country in East Asia. It is the world's most populous country, with a population of more than 1.4 billion people. China spans five geographical time zones and borders 14 countries, the second most of any country in the world after Russia. Covering an area of approximately 9.6 million square kilometers, it is the world's third or fourth largest country. The country consists of 23 provinces, five autonomous regions, four municipalities, and two Special Administrative Regions. The national capital is Beijing, and the most populous city and financial center is Shanghai.</v>
    <v>462</v>
    <v>463</v>
    <v>464</v>
    <v>465</v>
    <v>466</v>
    <v>467</v>
    <v>468</v>
    <v>469</v>
    <v>470</v>
    <v>471</v>
    <v>472</v>
    <v>475</v>
    <v>476</v>
    <v>477</v>
    <v>478</v>
    <v>479</v>
    <v>480</v>
    <v>China</v>
    <v>March of the Volunteers</v>
    <v>481</v>
    <v>People's Republic of China</v>
    <v>482</v>
    <v>483</v>
    <v>484</v>
    <v>485</v>
    <v>486</v>
    <v>487</v>
    <v>488</v>
    <v>489</v>
    <v>490</v>
    <v>491</v>
    <v>492</v>
    <v>524</v>
    <v>525</v>
    <v>526</v>
    <v>527</v>
    <v>528</v>
    <v>China</v>
    <v>529</v>
    <v>mdp/vdpid/45</v>
  </rv>
  <rv s="0">
    <v>536870912</v>
    <v>Vietnam</v>
    <v>9eb3adfc-79da-211b-6de2-580a522f56a5</v>
    <v>en-GB</v>
    <v>Map</v>
  </rv>
  <rv s="1">
    <fb>0.39275002418808697</fb>
    <v>29</v>
  </rv>
  <rv s="1">
    <fb>331210</fb>
    <v>30</v>
  </rv>
  <rv s="1">
    <fb>522000</fb>
    <v>30</v>
  </rv>
  <rv s="1">
    <fb>16.745000000000001</fb>
    <v>31</v>
  </rv>
  <rv s="1">
    <fb>84</fb>
    <v>32</v>
  </rv>
  <rv s="0">
    <v>536870912</v>
    <v>Hanoi</v>
    <v>0ac97487-debb-537a-b806-132c4e5513e6</v>
    <v>en-GB</v>
    <v>Map</v>
  </rv>
  <rv s="1">
    <fb>192667.84700000001</fb>
    <v>30</v>
  </rv>
  <rv s="1">
    <fb>163.516947912918</fb>
    <v>33</v>
  </rv>
  <rv s="1">
    <fb>2.7958236745224602E-2</fb>
    <v>29</v>
  </rv>
  <rv s="1">
    <fb>1423.68834535005</fb>
    <v>30</v>
  </rv>
  <rv s="1">
    <fb>2.0489999999999999</fb>
    <v>31</v>
  </rv>
  <rv s="1">
    <fb>0.48060115457799901</fb>
    <v>29</v>
  </rv>
  <rv s="1">
    <fb>69.821836554711396</fb>
    <v>34</v>
  </rv>
  <rv s="1">
    <fb>0.8</fb>
    <v>35</v>
  </rv>
  <rv s="1">
    <fb>261921244843.172</fb>
    <v>36</v>
  </rv>
  <rv s="1">
    <fb>1.1059481</fb>
    <v>29</v>
  </rv>
  <rv s="1">
    <fb>0.28544969999999997</fb>
    <v>29</v>
  </rv>
  <rv s="2">
    <v>3</v>
    <v>27</v>
    <v>116</v>
    <v>6</v>
    <v>0</v>
    <v>Image of Vietnam</v>
  </rv>
  <rv s="1">
    <fb>16.5</fb>
    <v>34</v>
  </rv>
  <rv s="0">
    <v>536870912</v>
    <v>Ho Chi Minh City</v>
    <v>56b344bd-92d9-cb0b-00c2-5408a7bf99cf</v>
    <v>en-GB</v>
    <v>Map</v>
  </rv>
  <rv s="0">
    <v>805306368</v>
    <v>Nguyễn Xuân Phúc (President)</v>
    <v>3bd7c909-4200-1424-eb21-b5a96a3dca3d</v>
    <v>en-GB</v>
    <v>Generic</v>
  </rv>
  <rv s="3">
    <v>26</v>
  </rv>
  <rv s="4">
    <v>https://www.bing.com/search?q=vietnam&amp;form=skydnc</v>
    <v>Learn more on Bing</v>
  </rv>
  <rv s="1">
    <fb>75.316999999999993</fb>
    <v>34</v>
  </rv>
  <rv s="1">
    <fb>149817280000</fb>
    <v>36</v>
  </rv>
  <rv s="1">
    <fb>43</fb>
    <v>34</v>
  </rv>
  <rv s="1">
    <fb>0.73</fb>
    <v>35</v>
  </rv>
  <rv s="3">
    <v>27</v>
  </rv>
  <rv s="1">
    <fb>0.43479386130000003</fb>
    <v>29</v>
  </rv>
  <rv s="1">
    <fb>0.81989999999999996</fb>
    <v>31</v>
  </rv>
  <rv s="1">
    <fb>96462106</fb>
    <v>30</v>
  </rv>
  <rv s="1">
    <fb>0.223</fb>
    <v>29</v>
  </rv>
  <rv s="1">
    <fb>0.27500000000000002</fb>
    <v>29</v>
  </rv>
  <rv s="1">
    <fb>0.42899999999999999</fb>
    <v>29</v>
  </rv>
  <rv s="1">
    <fb>2.5000000000000001E-2</fb>
    <v>29</v>
  </rv>
  <rv s="1">
    <fb>6.7000000000000004E-2</fb>
    <v>29</v>
  </rv>
  <rv s="1">
    <fb>0.11900000000000001</fb>
    <v>29</v>
  </rv>
  <rv s="1">
    <fb>0.16300000000000001</fb>
    <v>29</v>
  </rv>
  <rv s="1">
    <fb>0.77446998596191408</fb>
    <v>29</v>
  </rv>
  <rv s="0">
    <v>536870912</v>
    <v>Haiphong</v>
    <v>6edab830-6882-62ad-88e9-7904a37fc990</v>
    <v>en-GB</v>
    <v>Map</v>
  </rv>
  <rv s="0">
    <v>536870912</v>
    <v>Da Nang</v>
    <v>f8246024-fd05-5f2e-4a14-6b19c96b8962</v>
    <v>en-GB</v>
    <v>Map</v>
  </rv>
  <rv s="0">
    <v>536870912</v>
    <v>Can Tho</v>
    <v>c6aad310-0349-6338-8c66-5a69d2c4914f</v>
    <v>en-GB</v>
    <v>Map</v>
  </rv>
  <rv s="3">
    <v>28</v>
  </rv>
  <rv s="1">
    <fb>0.190698671023491</fb>
    <v>29</v>
  </rv>
  <rv s="3">
    <v>29</v>
  </rv>
  <rv s="1">
    <fb>0.376</fb>
    <v>29</v>
  </rv>
  <rv s="1">
    <fb>2.01300001144409E-2</fb>
    <v>38</v>
  </rv>
  <rv s="1">
    <fb>35332140</fb>
    <v>30</v>
  </rv>
  <rv s="5">
    <v>#VALUE!</v>
    <v>114</v>
    <v>22</v>
    <v>Vietnam</v>
    <v>25</v>
    <v>26</v>
    <v>Map</v>
    <v>27</v>
    <v>115</v>
    <v>en-GB</v>
    <v>9eb3adfc-79da-211b-6de2-580a522f56a5</v>
    <v>536870912</v>
    <v>1</v>
    <v>VN</v>
    <v>532</v>
    <v>533</v>
    <v>534</v>
    <v>535</v>
    <v>536</v>
    <v>537</v>
    <v>538</v>
    <v>539</v>
    <v>540</v>
    <v>VND</v>
    <v>Vietnam, officially the Socialist Republic of Vietnam, is a country in Southeast Asia, at the eastern edge of mainland Southeast Asia, with an area of 311,699 square kilometres and population of 96 million, making it the world's fifteenth-most populous country. Vietnam borders China to the north, Laos and Cambodia to the west, and shares maritime borders with Thailand through the Gulf of Thailand, and the Philippines, Indonesia, and Malaysia through the South China Sea. Its capital is Hanoi and largest city Ho Chi Minh City.</v>
    <v>541</v>
    <v>542</v>
    <v>543</v>
    <v>544</v>
    <v>545</v>
    <v>546</v>
    <v>547</v>
    <v>548</v>
    <v>549</v>
    <v>550</v>
    <v>551</v>
    <v>553</v>
    <v>554</v>
    <v>555</v>
    <v>556</v>
    <v>557</v>
    <v>558</v>
    <v>Vietnam</v>
    <v>Tiến Quân Ca</v>
    <v>559</v>
    <v>Socialist Republic of Vietnam</v>
    <v>560</v>
    <v>561</v>
    <v>562</v>
    <v>563</v>
    <v>564</v>
    <v>565</v>
    <v>566</v>
    <v>567</v>
    <v>568</v>
    <v>569</v>
    <v>570</v>
    <v>574</v>
    <v>575</v>
    <v>576</v>
    <v>577</v>
    <v>578</v>
    <v>Vietnam</v>
    <v>579</v>
    <v>mdp/vdpid/251</v>
  </rv>
</rvData>
</file>

<file path=xl/richData/rdrichvaluestructure.xml><?xml version="1.0" encoding="utf-8"?>
<rvStructures xmlns="http://schemas.microsoft.com/office/spreadsheetml/2017/richdata" count="10">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5">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spbArrays>
  <spbData count="117">
    <spb s="0">
      <v xml:space="preserve">data.worldbank.org	</v>
      <v xml:space="preserve">	</v>
      <v xml:space="preserve">http://data.worldbank.org/indicator/FP.CPI.TOTL	</v>
      <v xml:space="preserve">	</v>
    </spb>
    <spb s="0">
      <v xml:space="preserve">Wikipedia	travel.state.gov	</v>
      <v xml:space="preserve">CC-BY-SA		</v>
      <v xml:space="preserve">http://en.wikipedia.org/wiki/India	https://travel.state.gov/content/travel/en/international-travel/International-Travel-Country-Information-Pages/India.html	</v>
      <v xml:space="preserve">http://creativecommons.org/licenses/by-sa/3.0/		</v>
    </spb>
    <spb s="0">
      <v xml:space="preserve">Wikipedia	Wikipedia	Wikipedia	Cia	</v>
      <v xml:space="preserve">CC-BY-SA	CC-BY-SA	CC-BY-SA		</v>
      <v xml:space="preserve">http://en.wikipedia.org/wiki/India	http://es.wikipedia.org/wiki/India	http://fr.wikipedia.org/wiki/Inde	https://www.cia.gov/library/publications/the-world-factbook/geos/in.html?Transportation	</v>
      <v xml:space="preserve">http://creativecommons.org/licenses/by-sa/3.0/	http://creativecommons.org/licenses/by-sa/3.0/	http://creativecommons.org/licenses/by-sa/3.0/		</v>
    </spb>
    <spb s="0">
      <v xml:space="preserve">Wikipedia	Cia	Wikipedia	travel.state.gov	Sec	</v>
      <v xml:space="preserve">CC-BY-SA		CC-BY-SA			</v>
      <v xml:space="preserve">http://en.wikipedia.org/wiki/India	https://www.cia.gov/library/publications/the-world-factbook/geos/in.html?Transportation	https://en.wikipedia.org/wiki/India	https://travel.state.gov/content/travel/en/international-travel/International-Travel-Country-Information-Pages/India.html	https://www.sec.gov/cgi-bin/browse-edgar?action=getcompany&amp;CIK=0001848763	</v>
      <v xml:space="preserve">http://creativecommons.org/licenses/by-sa/3.0/		http://creativecommons.org/licenses/by-sa/3.0/			</v>
    </spb>
    <spb s="0">
      <v xml:space="preserve">data.worldbank.org	</v>
      <v xml:space="preserve">	</v>
      <v xml:space="preserve">http://data.worldbank.org/indicator/SP.DYN.CBRT.IN	</v>
      <v xml:space="preserve">	</v>
    </spb>
    <spb s="0">
      <v xml:space="preserve">data.worldbank.org	</v>
      <v xml:space="preserve">	</v>
      <v xml:space="preserve">http://data.worldbank.org/indicator/SP.POP.TOTL	</v>
      <v xml:space="preserve">	</v>
    </spb>
    <spb s="0">
      <v xml:space="preserve">Wikipedia	</v>
      <v xml:space="preserve">CC-BY-SA	</v>
      <v xml:space="preserve">http://en.wikipedia.org/wiki/India	</v>
      <v xml:space="preserve">http://creativecommons.org/licenses/by-sa/3.0/	</v>
    </spb>
    <spb s="0">
      <v xml:space="preserve">Wikipedia	Cia	</v>
      <v xml:space="preserve">CC-BY-SA		</v>
      <v xml:space="preserve">http://en.wikipedia.org/wiki/India	https://www.cia.gov/library/publications/the-world-factbook/geos/in.html?Transportation	</v>
      <v xml:space="preserve">http://creativecommons.org/licenses/by-sa/3.0/		</v>
    </spb>
    <spb s="0">
      <v xml:space="preserve">Cia	</v>
      <v xml:space="preserve">	</v>
      <v xml:space="preserve">https://www.cia.gov/library/publications/the-world-factbook/geos/in.html?Transportation	</v>
      <v xml:space="preserve">	</v>
    </spb>
    <spb s="0">
      <v xml:space="preserve">data.worldbank.org	</v>
      <v xml:space="preserve">	</v>
      <v xml:space="preserve">http://data.worldbank.org/indicator/SP.DYN.TFRT.IN	</v>
      <v xml:space="preserve">	</v>
    </spb>
    <spb s="0">
      <v xml:space="preserve">Wikipedia	Cia	travel.state.gov	</v>
      <v xml:space="preserve">CC-BY-SA			</v>
      <v xml:space="preserve">http://en.wikipedia.org/wiki/India	https://www.cia.gov/library/publications/the-world-factbook/geos/in.html?Transportation	https://travel.state.gov/content/travel/en/international-travel/International-Travel-Country-Information-Pages/India.html	</v>
      <v xml:space="preserve">http://creativecommons.org/licenses/by-sa/3.0/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Wikipedia	Wikipedia	Cia	travel.state.gov	Sec	</v>
      <v xml:space="preserve">CC-BY-SA	CC-BY-SA				</v>
      <v xml:space="preserve">http://en.wikipedia.org/wiki/India	http://fr.wikipedia.org/wiki/Inde	https://www.cia.gov/library/publications/the-world-factbook/geos/in.html?Transportation	https://travel.state.gov/content/travel/en/international-travel/International-Travel-Country-Information-Pages/India.html	https://www.sec.gov/cgi-bin/browse-edgar?action=getcompany&amp;CIK=0001848763	</v>
      <v xml:space="preserve">http://creativecommons.org/licenses/by-sa/3.0/	http://creativecommons.org/licenses/by-sa/3.0/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3</v>
      <v>4</v>
      <v>5</v>
      <v>3</v>
      <v>6</v>
      <v>6</v>
      <v>7</v>
      <v>6</v>
      <v>6</v>
      <v>8</v>
      <v>9</v>
      <v>10</v>
      <v>8</v>
      <v>11</v>
      <v>6</v>
      <v>8</v>
      <v>12</v>
      <v>13</v>
      <v>14</v>
      <v>8</v>
      <v>8</v>
      <v>15</v>
      <v>8</v>
      <v>16</v>
      <v>17</v>
      <v>18</v>
      <v>19</v>
      <v>8</v>
      <v>10</v>
      <v>8</v>
      <v>8</v>
      <v>8</v>
      <v>8</v>
      <v>8</v>
      <v>8</v>
      <v>8</v>
      <v>8</v>
      <v>8</v>
      <v>8</v>
      <v>20</v>
    </spb>
    <spb s="2">
      <v>0</v>
      <v>Name</v>
      <v>LearnMoreOnLink</v>
    </spb>
    <spb s="3">
      <v>0</v>
      <v>0</v>
      <v>0</v>
    </spb>
    <spb s="4">
      <v>0</v>
      <v>0</v>
    </spb>
    <spb s="5">
      <v>23</v>
      <v>23</v>
      <v>24</v>
      <v>23</v>
    </spb>
    <spb s="6">
      <v>1</v>
      <v>2</v>
      <v>3</v>
    </spb>
    <spb s="7">
      <v>https://www.bing.com</v>
      <v>https://www.bing.com/th?id=Ga%5Cbing_yt.png&amp;w=100&amp;h=40&amp;c=0&amp;pid=0.1</v>
      <v>Powered by Bing</v>
    </spb>
    <spb s="8">
      <v>2019</v>
      <v>2017</v>
      <v>square km</v>
      <v>per thousand (2018)</v>
      <v>2019</v>
      <v>2019</v>
      <v>2018</v>
      <v>per liter (2016)</v>
      <v>2019</v>
      <v>years (2018)</v>
      <v>2017</v>
      <v>per thousand (2018)</v>
      <v>2019</v>
      <v>2017</v>
      <v>2016</v>
      <v>2019</v>
      <v>2016</v>
      <v>2018</v>
      <v>kilotons per year (2016)</v>
      <v>deaths per 100,000 (2017)</v>
      <v>kWh (2014)</v>
      <v>2014</v>
      <v>2019</v>
      <v>2011</v>
      <v>2011</v>
      <v>2011</v>
      <v>2011</v>
      <v>2011</v>
      <v>2015</v>
      <v>2011</v>
      <v>2011</v>
      <v>2017</v>
      <v>2018</v>
      <v>2019</v>
    </spb>
    <spb s="9">
      <v>4</v>
    </spb>
    <spb s="9">
      <v>5</v>
    </spb>
    <spb s="9">
      <v>6</v>
    </spb>
    <spb s="9">
      <v>7</v>
    </spb>
    <spb s="9">
      <v>8</v>
    </spb>
    <spb s="9">
      <v>9</v>
    </spb>
    <spb s="9">
      <v>10</v>
    </spb>
    <spb s="9">
      <v>11</v>
    </spb>
    <spb s="0">
      <v xml:space="preserve">Wikipedia	</v>
      <v xml:space="preserve">Public domain	</v>
      <v xml:space="preserve">http://en.wikipedia.org/wiki/India	</v>
      <v xml:space="preserve">http://en.wikipedia.org/wiki/Public_domain	</v>
    </spb>
    <spb s="9">
      <v>12</v>
    </spb>
    <spb s="0">
      <v xml:space="preserve">Wikipedia	Cia	travel.state.gov	</v>
      <v xml:space="preserve">CC-BY-SA			</v>
      <v xml:space="preserve">http://en.wikipedia.org/wiki/Iran	https://www.cia.gov/library/publications/the-world-factbook/geos/ir.html?Transportation	https://travel.state.gov/content/travel/en/international-travel/International-Travel-Country-Information-Pages/Iran.html	</v>
      <v xml:space="preserve">http://creativecommons.org/licenses/by-sa/3.0/			</v>
    </spb>
    <spb s="0">
      <v xml:space="preserve">Wikipedia	Wikipedia	Cia	</v>
      <v xml:space="preserve">CC-BY-SA	CC-BY-SA		</v>
      <v xml:space="preserve">http://en.wikipedia.org/wiki/Iran	http://fr.wikipedia.org/wiki/Iran	https://www.cia.gov/library/publications/the-world-factbook/geos/ir.html?Transportation	</v>
      <v xml:space="preserve">http://creativecommons.org/licenses/by-sa/3.0/	http://creativecommons.org/licenses/by-sa/3.0/		</v>
    </spb>
    <spb s="0">
      <v xml:space="preserve">Wikipedia	Cia	Wikipedia	travel.state.gov	</v>
      <v xml:space="preserve">CC-BY-SA		CC-BY-SA		</v>
      <v xml:space="preserve">http://en.wikipedia.org/wiki/Iran	https://www.cia.gov/library/publications/the-world-factbook/geos/ir.html?Transportation	https://en.wikipedia.org/wiki/Iran	https://travel.state.gov/content/travel/en/international-travel/International-Travel-Country-Information-Pages/Iran.html	</v>
      <v xml:space="preserve">http://creativecommons.org/licenses/by-sa/3.0/		http://creativecommons.org/licenses/by-sa/3.0/		</v>
    </spb>
    <spb s="0">
      <v xml:space="preserve">Wikipedia	</v>
      <v xml:space="preserve">CC-BY-SA	</v>
      <v xml:space="preserve">http://en.wikipedia.org/wiki/Iran	</v>
      <v xml:space="preserve">http://creativecommons.org/licenses/by-sa/3.0/	</v>
    </spb>
    <spb s="0">
      <v xml:space="preserve">Wikipedia	Cia	</v>
      <v xml:space="preserve">CC-BY-SA		</v>
      <v xml:space="preserve">http://en.wikipedia.org/wiki/Iran	https://www.cia.gov/library/publications/the-world-factbook/geos/ir.html?Transportation	</v>
      <v xml:space="preserve">http://creativecommons.org/licenses/by-sa/3.0/		</v>
    </spb>
    <spb s="0">
      <v xml:space="preserve">Wikipedia	Wikipedia	Cia	travel.state.gov	</v>
      <v xml:space="preserve">CC-BY-SA	CC-BY-SA			</v>
      <v xml:space="preserve">http://en.wikipedia.org/wiki/Iran	http://fr.wikipedia.org/wiki/Iran	https://www.cia.gov/library/publications/the-world-factbook/geos/ir.html?Transportation	https://travel.state.gov/content/travel/en/international-travel/International-Travel-Country-Information-Pages/Iran.html	</v>
      <v xml:space="preserve">http://creativecommons.org/licenses/by-sa/3.0/	http://creativecommons.org/licenses/by-sa/3.0/			</v>
    </spb>
    <spb s="0">
      <v xml:space="preserve">Cia	</v>
      <v xml:space="preserve">	</v>
      <v xml:space="preserve">https://www.cia.gov/library/publications/the-world-factbook/geos/ir.html?Transportation	</v>
      <v xml:space="preserve">	</v>
    </spb>
    <spb s="10">
      <v>0</v>
      <v>39</v>
      <v>40</v>
      <v>41</v>
      <v>4</v>
      <v>5</v>
      <v>41</v>
      <v>42</v>
      <v>42</v>
      <v>43</v>
      <v>44</v>
      <v>42</v>
      <v>42</v>
      <v>45</v>
      <v>9</v>
      <v>39</v>
      <v>45</v>
      <v>11</v>
      <v>42</v>
      <v>45</v>
      <v>12</v>
      <v>13</v>
      <v>14</v>
      <v>45</v>
      <v>45</v>
      <v>44</v>
      <v>45</v>
      <v>16</v>
      <v>17</v>
      <v>18</v>
      <v>19</v>
      <v>45</v>
      <v>39</v>
      <v>45</v>
      <v>45</v>
      <v>45</v>
      <v>45</v>
      <v>45</v>
      <v>45</v>
      <v>45</v>
      <v>45</v>
      <v>45</v>
      <v>45</v>
      <v>20</v>
    </spb>
    <spb s="2">
      <v>1</v>
      <v>Name</v>
      <v>LearnMoreOnLink</v>
    </spb>
    <spb s="11">
      <v>1</v>
      <v>3</v>
    </spb>
    <spb s="8">
      <v>2019</v>
      <v>2017</v>
      <v>square km</v>
      <v>per thousand (2018)</v>
      <v>2019</v>
      <v>2019</v>
      <v>2018</v>
      <v>per liter (2016)</v>
      <v>2019</v>
      <v>years (2018)</v>
      <v>2009</v>
      <v>per thousand (2018)</v>
      <v>2019</v>
      <v>2017</v>
      <v>2016</v>
      <v>2019</v>
      <v>2016</v>
      <v>2018</v>
      <v>kilotons per year (2016)</v>
      <v>deaths per 100,000 (2017)</v>
      <v>kWh (2014)</v>
      <v>2014</v>
      <v>2019</v>
      <v>2017</v>
      <v>2017</v>
      <v>2017</v>
      <v>2017</v>
      <v>2017</v>
      <v>2015</v>
      <v>2017</v>
      <v>2017</v>
      <v>2017</v>
      <v>2017</v>
      <v>2019</v>
    </spb>
    <spb s="0">
      <v xml:space="preserve">Wikipedia	Cia	travel.state.gov	</v>
      <v xml:space="preserve">CC-BY-SA			</v>
      <v xml:space="preserve">http://en.wikipedia.org/wiki/Peru	https://www.cia.gov/library/publications/the-world-factbook/geos/pe.html?Transportation	https://travel.state.gov/content/travel/en/international-travel/International-Travel-Country-Information-Pages/Peru.html	</v>
      <v xml:space="preserve">http://creativecommons.org/licenses/by-sa/3.0/			</v>
    </spb>
    <spb s="0">
      <v xml:space="preserve">Wikipedia	Cia	</v>
      <v xml:space="preserve">CC-BY-SA		</v>
      <v xml:space="preserve">http://en.wikipedia.org/wiki/Peru	https://www.cia.gov/library/publications/the-world-factbook/geos/pe.html?Transportation	</v>
      <v xml:space="preserve">http://creativecommons.org/licenses/by-sa/3.0/		</v>
    </spb>
    <spb s="0">
      <v xml:space="preserve">Wikipedia	Wikidata	Cia	Wikipedia	travel.state.gov	Sec	</v>
      <v xml:space="preserve">CC-BY-SA			CC-BY-SA			</v>
      <v xml:space="preserve">http://en.wikipedia.org/wiki/Peru	https://www.wikidata.org/wiki/Q419	https://www.cia.gov/library/publications/the-world-factbook/geos/pe.html?Transportation	https://en.wikipedia.org/wiki/Peru	https://travel.state.gov/content/travel/en/international-travel/International-Travel-Country-Information-Pages/Peru.html	https://www.sec.gov/cgi-bin/browse-edgar?action=getcompany&amp;CIK=0001785330	</v>
      <v xml:space="preserve">http://creativecommons.org/licenses/by-sa/3.0/			http://creativecommons.org/licenses/by-sa/3.0/			</v>
    </spb>
    <spb s="0">
      <v xml:space="preserve">Wikipedia	</v>
      <v xml:space="preserve">CC-BY-SA	</v>
      <v xml:space="preserve">http://en.wikipedia.org/wiki/Peru	</v>
      <v xml:space="preserve">http://creativecommons.org/licenses/by-sa/3.0/	</v>
    </spb>
    <spb s="0">
      <v xml:space="preserve">Wikipedia	Cia	travel.state.gov	Sec	</v>
      <v xml:space="preserve">CC-BY-SA				</v>
      <v xml:space="preserve">http://en.wikipedia.org/wiki/Peru	https://www.cia.gov/library/publications/the-world-factbook/geos/pe.html?Transportation	https://travel.state.gov/content/travel/en/international-travel/International-Travel-Country-Information-Pages/Peru.html	https://www.sec.gov/cgi-bin/browse-edgar?action=getcompany&amp;CIK=0001785330	</v>
      <v xml:space="preserve">http://creativecommons.org/licenses/by-sa/3.0/				</v>
    </spb>
    <spb s="0">
      <v xml:space="preserve">travel.state.gov	</v>
      <v xml:space="preserve">	</v>
      <v xml:space="preserve">https://travel.state.gov/content/travel/en/international-travel/International-Travel-Country-Information-Pages/Peru.html	</v>
      <v xml:space="preserve">	</v>
    </spb>
    <spb s="0">
      <v xml:space="preserve">Cia	</v>
      <v xml:space="preserve">	</v>
      <v xml:space="preserve">https://www.cia.gov/library/publications/the-world-factbook/geos/pe.html?Transportation	</v>
      <v xml:space="preserve">	</v>
    </spb>
    <spb s="12">
      <v>0</v>
      <v>50</v>
      <v>51</v>
      <v>52</v>
      <v>4</v>
      <v>5</v>
      <v>52</v>
      <v>53</v>
      <v>53</v>
      <v>51</v>
      <v>54</v>
      <v>53</v>
      <v>53</v>
      <v>55</v>
      <v>56</v>
      <v>9</v>
      <v>50</v>
      <v>56</v>
      <v>11</v>
      <v>53</v>
      <v>56</v>
      <v>12</v>
      <v>13</v>
      <v>14</v>
      <v>56</v>
      <v>56</v>
      <v>54</v>
      <v>56</v>
      <v>16</v>
      <v>17</v>
      <v>18</v>
      <v>19</v>
      <v>56</v>
      <v>50</v>
      <v>56</v>
      <v>56</v>
      <v>56</v>
      <v>56</v>
      <v>56</v>
      <v>56</v>
      <v>56</v>
      <v>56</v>
      <v>56</v>
      <v>56</v>
      <v>20</v>
    </spb>
    <spb s="2">
      <v>2</v>
      <v>Name</v>
      <v>LearnMoreOnLink</v>
    </spb>
    <spb s="8">
      <v>2019</v>
      <v>2019</v>
      <v>square km</v>
      <v>per thousand (2018)</v>
      <v>2019</v>
      <v>2019</v>
      <v>2018</v>
      <v>per liter (2016)</v>
      <v>2019</v>
      <v>years (2018)</v>
      <v>2018</v>
      <v>per thousand (2018)</v>
      <v>2019</v>
      <v>2017</v>
      <v>2016</v>
      <v>2019</v>
      <v>2016</v>
      <v>2016</v>
      <v>kilotons per year (2016)</v>
      <v>deaths per 100,000 (2017)</v>
      <v>kWh (2014)</v>
      <v>2014</v>
      <v>2019</v>
      <v>2018</v>
      <v>2018</v>
      <v>2018</v>
      <v>2018</v>
      <v>2018</v>
      <v>2015</v>
      <v>2018</v>
      <v>2018</v>
      <v>2018</v>
      <v>2017</v>
      <v>2019</v>
    </spb>
    <spb s="0">
      <v xml:space="preserve">Wikipedia	Cia	travel.state.gov	</v>
      <v xml:space="preserve">CC-BY-SA			</v>
      <v xml:space="preserve">http://en.wikipedia.org/wiki/Brazil	https://www.cia.gov/library/publications/the-world-factbook/geos/br.html?Transportation	https://travel.state.gov/content/travel/en/international-travel/International-Travel-Country-Information-Pages/Brazil.html	</v>
      <v xml:space="preserve">http://creativecommons.org/licenses/by-sa/3.0/			</v>
    </spb>
    <spb s="0">
      <v xml:space="preserve">Wikipedia	Cia	</v>
      <v xml:space="preserve">CC-BY-SA		</v>
      <v xml:space="preserve">http://es.wikipedia.org/wiki/Brasil	https://www.cia.gov/library/publications/the-world-factbook/geos/br.html?Transportation	</v>
      <v xml:space="preserve">http://creativecommons.org/licenses/by-sa/3.0/		</v>
    </spb>
    <spb s="0">
      <v xml:space="preserve">Wikipedia	Cia	Wikipedia	travel.state.gov	Sec	Tasteatlas	</v>
      <v xml:space="preserve">CC-BY-SA		CC-BY-SA				</v>
      <v xml:space="preserve">http://en.wikipedia.org/wiki/Brazil	https://www.cia.gov/library/publications/the-world-factbook/geos/br.html?Transportation	https://en.wikipedia.org/wiki/Brazil	https://travel.state.gov/content/travel/en/international-travel/International-Travel-Country-Information-Pages/Brazil.html	https://www.sec.gov/cgi-bin/browse-edgar?action=getcompany&amp;CIK=0001914083	https://www.tasteatlas.com/brazil	</v>
      <v xml:space="preserve">http://creativecommons.org/licenses/by-sa/3.0/		http://creativecommons.org/licenses/by-sa/3.0/				</v>
    </spb>
    <spb s="0">
      <v xml:space="preserve">Wikipedia	</v>
      <v xml:space="preserve">CC-BY-SA	</v>
      <v xml:space="preserve">http://en.wikipedia.org/wiki/Brazil	</v>
      <v xml:space="preserve">http://creativecommons.org/licenses/by-sa/3.0/	</v>
    </spb>
    <spb s="0">
      <v xml:space="preserve">Wikipedia	Cia	</v>
      <v xml:space="preserve">CC-BY-SA		</v>
      <v xml:space="preserve">http://en.wikipedia.org/wiki/Brazil	https://www.cia.gov/library/publications/the-world-factbook/geos/br.html?Transportation	</v>
      <v xml:space="preserve">http://creativecommons.org/licenses/by-sa/3.0/		</v>
    </spb>
    <spb s="0">
      <v xml:space="preserve">Cia	</v>
      <v xml:space="preserve">	</v>
      <v xml:space="preserve">https://www.cia.gov/library/publications/the-world-factbook/geos/br.html?Transportation	</v>
      <v xml:space="preserve">	</v>
    </spb>
    <spb s="13">
      <v>0</v>
      <v>60</v>
      <v>61</v>
      <v>62</v>
      <v>4</v>
      <v>62</v>
      <v>63</v>
      <v>63</v>
      <v>64</v>
      <v>63</v>
      <v>63</v>
      <v>65</v>
      <v>9</v>
      <v>60</v>
      <v>65</v>
      <v>11</v>
      <v>63</v>
      <v>65</v>
      <v>12</v>
      <v>13</v>
      <v>14</v>
      <v>65</v>
      <v>65</v>
      <v>60</v>
      <v>65</v>
      <v>16</v>
      <v>17</v>
      <v>18</v>
      <v>19</v>
      <v>65</v>
      <v>60</v>
      <v>65</v>
      <v>65</v>
      <v>65</v>
      <v>65</v>
      <v>65</v>
      <v>65</v>
      <v>65</v>
      <v>65</v>
      <v>65</v>
      <v>65</v>
      <v>20</v>
    </spb>
    <spb s="8">
      <v>2019</v>
      <v>2019</v>
      <v>square km</v>
      <v>per thousand (2018)</v>
      <v>2020</v>
      <v>2019</v>
      <v>2018</v>
      <v>per liter (2016)</v>
      <v>2019</v>
      <v>years (2018)</v>
      <v>2018</v>
      <v>per thousand (2018)</v>
      <v>2019</v>
      <v>2017</v>
      <v>2016</v>
      <v>2019</v>
      <v>2016</v>
      <v>2018</v>
      <v>kilotons per year (2016)</v>
      <v>deaths per 100,000 (2017)</v>
      <v>kWh (2014)</v>
      <v>2014</v>
      <v>2019</v>
      <v>2018</v>
      <v>2018</v>
      <v>2018</v>
      <v>2018</v>
      <v>2018</v>
      <v>2015</v>
      <v>2018</v>
      <v>2018</v>
      <v>2017</v>
      <v>2017</v>
      <v>2019</v>
    </spb>
    <spb s="0">
      <v xml:space="preserve">Wikipedia	Cia	travel.state.gov	</v>
      <v xml:space="preserve">CC-BY-SA			</v>
      <v xml:space="preserve">http://en.wikipedia.org/wiki/Turkey	https://www.cia.gov/library/publications/the-world-factbook/geos/tu.html?Transportation	https://travel.state.gov/content/travel/en/international-travel/International-Travel-Country-Information-Pages/Turkey.html	</v>
      <v xml:space="preserve">http://creativecommons.org/licenses/by-sa/3.0/			</v>
    </spb>
    <spb s="0">
      <v xml:space="preserve">Wikipedia	Cia	</v>
      <v xml:space="preserve">CC-BY-SA		</v>
      <v xml:space="preserve">http://fr.wikipedia.org/wiki/Turquie	https://www.cia.gov/library/publications/the-world-factbook/geos/tu.html?Transportation	</v>
      <v xml:space="preserve">http://creativecommons.org/licenses/by-sa/3.0/		</v>
    </spb>
    <spb s="0">
      <v xml:space="preserve">Wikipedia	Cia	Wikipedia	travel.state.gov	Sec	</v>
      <v xml:space="preserve">CC-BY-SA		CC-BY-SA			</v>
      <v xml:space="preserve">http://en.wikipedia.org/wiki/Turkey	https://www.cia.gov/library/publications/the-world-factbook/geos/tu.html?Transportation	https://en.wikipedia.org/wiki/Turkey	https://travel.state.gov/content/travel/en/international-travel/International-Travel-Country-Information-Pages/Turkey.html	https://www.sec.gov/cgi-bin/browse-edgar?action=getcompany&amp;CIK=0001901001	</v>
      <v xml:space="preserve">http://creativecommons.org/licenses/by-sa/3.0/		http://creativecommons.org/licenses/by-sa/3.0/			</v>
    </spb>
    <spb s="0">
      <v xml:space="preserve">Wikipedia	</v>
      <v xml:space="preserve">CC-BY-SA	</v>
      <v xml:space="preserve">http://en.wikipedia.org/wiki/Turkey	</v>
      <v xml:space="preserve">http://creativecommons.org/licenses/by-sa/3.0/	</v>
    </spb>
    <spb s="0">
      <v xml:space="preserve">Wikipedia	Cia	</v>
      <v xml:space="preserve">CC-BY-SA		</v>
      <v xml:space="preserve">http://en.wikipedia.org/wiki/Turkey	https://www.cia.gov/library/publications/the-world-factbook/geos/tu.html?Transportation	</v>
      <v xml:space="preserve">http://creativecommons.org/licenses/by-sa/3.0/		</v>
    </spb>
    <spb s="0">
      <v xml:space="preserve">travel.state.gov	</v>
      <v xml:space="preserve">	</v>
      <v xml:space="preserve">https://travel.state.gov/content/travel/en/international-travel/International-Travel-Country-Information-Pages/Turkey.html	</v>
      <v xml:space="preserve">	</v>
    </spb>
    <spb s="0">
      <v xml:space="preserve">Cia	</v>
      <v xml:space="preserve">	</v>
      <v xml:space="preserve">https://www.cia.gov/library/publications/the-world-factbook/geos/tu.html?Transportation	</v>
      <v xml:space="preserve">	</v>
    </spb>
    <spb s="0">
      <v xml:space="preserve">Wikipedia	Wikidata	</v>
      <v xml:space="preserve">CC-BY-SA		</v>
      <v xml:space="preserve">http://en.wikipedia.org/wiki/Turkey	https://www.wikidata.org/wiki/Q25446739	</v>
      <v xml:space="preserve">http://creativecommons.org/licenses/by-sa/3.0/		</v>
    </spb>
    <spb s="0">
      <v xml:space="preserve">Wikipedia	Wikipedia	Cia	Wikipedia	travel.state.gov	</v>
      <v xml:space="preserve">CC-BY-SA	CC-BY-SA		CC-BY-SA		</v>
      <v xml:space="preserve">http://en.wikipedia.org/wiki/Turkey	http://fr.wikipedia.org/wiki/Turquie	https://www.cia.gov/library/publications/the-world-factbook/geos/tu.html?Transportation	https://en.wikipedia.org/wiki/Turkey	https://travel.state.gov/content/travel/en/international-travel/International-Travel-Country-Information-Pages/Turkey.html	</v>
      <v xml:space="preserve">http://creativecommons.org/licenses/by-sa/3.0/	http://creativecommons.org/licenses/by-sa/3.0/		http://creativecommons.org/licenses/by-sa/3.0/		</v>
    </spb>
    <spb s="14">
      <v>0</v>
      <v>68</v>
      <v>69</v>
      <v>70</v>
      <v>4</v>
      <v>5</v>
      <v>70</v>
      <v>71</v>
      <v>71</v>
      <v>72</v>
      <v>71</v>
      <v>71</v>
      <v>73</v>
      <v>74</v>
      <v>9</v>
      <v>68</v>
      <v>74</v>
      <v>11</v>
      <v>75</v>
      <v>74</v>
      <v>12</v>
      <v>13</v>
      <v>14</v>
      <v>74</v>
      <v>74</v>
      <v>76</v>
      <v>74</v>
      <v>16</v>
      <v>17</v>
      <v>18</v>
      <v>19</v>
      <v>74</v>
      <v>68</v>
      <v>74</v>
      <v>74</v>
      <v>74</v>
      <v>74</v>
      <v>74</v>
      <v>74</v>
      <v>74</v>
      <v>74</v>
      <v>74</v>
      <v>74</v>
      <v>20</v>
    </spb>
    <spb s="2">
      <v>3</v>
      <v>Name</v>
      <v>LearnMoreOnLink</v>
    </spb>
    <spb s="8">
      <v>2019</v>
      <v>2019</v>
      <v>square km</v>
      <v>per thousand (2018)</v>
      <v>2019</v>
      <v>2019</v>
      <v>2018</v>
      <v>per liter (2016)</v>
      <v>2019</v>
      <v>years (2018)</v>
      <v>2018</v>
      <v>per thousand (2018)</v>
      <v>2019</v>
      <v>2017</v>
      <v>2016</v>
      <v>2019</v>
      <v>2016</v>
      <v>2017</v>
      <v>kilotons per year (2016)</v>
      <v>deaths per 100,000 (2017)</v>
      <v>kWh (2014)</v>
      <v>2015</v>
      <v>2019</v>
      <v>2018</v>
      <v>2018</v>
      <v>2018</v>
      <v>2018</v>
      <v>2018</v>
      <v>2015</v>
      <v>2018</v>
      <v>2018</v>
      <v>2017</v>
      <v>1999</v>
      <v>2019</v>
    </spb>
    <spb s="0">
      <v xml:space="preserve">Wikipedia	Cia	travel.state.gov	</v>
      <v xml:space="preserve">CC-BY-SA			</v>
      <v xml:space="preserve">http://en.wikipedia.org/wiki/Egypt	https://www.cia.gov/library/publications/the-world-factbook/geos/eg.html?Transportation	https://travel.state.gov/content/travel/en/international-travel/International-Travel-Country-Information-Pages/Egypt.html	</v>
      <v xml:space="preserve">http://creativecommons.org/licenses/by-sa/3.0/			</v>
    </spb>
    <spb s="0">
      <v xml:space="preserve">Wikipedia	Cia	</v>
      <v xml:space="preserve">CC-BY-SA		</v>
      <v xml:space="preserve">http://es.wikipedia.org/wiki/Egipto	https://www.cia.gov/library/publications/the-world-factbook/geos/eg.html?Transportation	</v>
      <v xml:space="preserve">http://creativecommons.org/licenses/by-sa/3.0/		</v>
    </spb>
    <spb s="0">
      <v xml:space="preserve">Wikipedia	Cia	Wikipedia	travel.state.gov	</v>
      <v xml:space="preserve">CC-BY-SA		CC-BY-SA		</v>
      <v xml:space="preserve">http://en.wikipedia.org/wiki/Egypt	https://www.cia.gov/library/publications/the-world-factbook/geos/eg.html?Transportation	https://en.wikipedia.org/wiki/Egypt	https://travel.state.gov/content/travel/en/international-travel/International-Travel-Country-Information-Pages/Egypt.html	</v>
      <v xml:space="preserve">http://creativecommons.org/licenses/by-sa/3.0/		http://creativecommons.org/licenses/by-sa/3.0/		</v>
    </spb>
    <spb s="0">
      <v xml:space="preserve">Wikipedia	</v>
      <v xml:space="preserve">CC-BY-SA	</v>
      <v xml:space="preserve">http://en.wikipedia.org/wiki/Egypt	</v>
      <v xml:space="preserve">http://creativecommons.org/licenses/by-sa/3.0/	</v>
    </spb>
    <spb s="0">
      <v xml:space="preserve">Wikipedia	Cia	</v>
      <v xml:space="preserve">CC-BY-SA		</v>
      <v xml:space="preserve">http://en.wikipedia.org/wiki/Egypt	https://www.cia.gov/library/publications/the-world-factbook/geos/eg.html?Transportation	</v>
      <v xml:space="preserve">http://creativecommons.org/licenses/by-sa/3.0/		</v>
    </spb>
    <spb s="0">
      <v xml:space="preserve">Wikipedia	travel.state.gov	</v>
      <v xml:space="preserve">CC-BY-SA		</v>
      <v xml:space="preserve">http://en.wikipedia.org/wiki/Egypt	https://travel.state.gov/content/travel/en/international-travel/International-Travel-Country-Information-Pages/Egypt.html	</v>
      <v xml:space="preserve">http://creativecommons.org/licenses/by-sa/3.0/		</v>
    </spb>
    <spb s="0">
      <v xml:space="preserve">Cia	</v>
      <v xml:space="preserve">	</v>
      <v xml:space="preserve">https://www.cia.gov/library/publications/the-world-factbook/geos/eg.html?Transportation	</v>
      <v xml:space="preserve">	</v>
    </spb>
    <spb s="0">
      <v xml:space="preserve">Wikipedia	Wikidata	</v>
      <v xml:space="preserve">CC-BY-SA		</v>
      <v xml:space="preserve">http://en.wikipedia.org/wiki/Egypt	https://www.wikidata.org/wiki/Q79	</v>
      <v xml:space="preserve">http://creativecommons.org/licenses/by-sa/3.0/		</v>
    </spb>
    <spb s="15">
      <v>0</v>
      <v>80</v>
      <v>81</v>
      <v>82</v>
      <v>4</v>
      <v>5</v>
      <v>82</v>
      <v>83</v>
      <v>83</v>
      <v>84</v>
      <v>80</v>
      <v>83</v>
      <v>85</v>
      <v>86</v>
      <v>9</v>
      <v>80</v>
      <v>86</v>
      <v>11</v>
      <v>87</v>
      <v>86</v>
      <v>12</v>
      <v>13</v>
      <v>14</v>
      <v>86</v>
      <v>86</v>
      <v>80</v>
      <v>86</v>
      <v>16</v>
      <v>17</v>
      <v>18</v>
      <v>19</v>
      <v>86</v>
      <v>80</v>
      <v>86</v>
      <v>86</v>
      <v>86</v>
      <v>86</v>
      <v>86</v>
      <v>86</v>
      <v>86</v>
      <v>86</v>
      <v>86</v>
      <v>86</v>
      <v>20</v>
    </spb>
    <spb s="2">
      <v>4</v>
      <v>Name</v>
      <v>LearnMoreOnLink</v>
    </spb>
    <spb s="8">
      <v>2019</v>
      <v>2019</v>
      <v>square km</v>
      <v>per thousand (2018)</v>
      <v>2019</v>
      <v>2019</v>
      <v>2018</v>
      <v>per liter (2016)</v>
      <v>2019</v>
      <v>years (2018)</v>
      <v>2015</v>
      <v>per thousand (2018)</v>
      <v>2019</v>
      <v>2017</v>
      <v>2016</v>
      <v>2019</v>
      <v>2016</v>
      <v>2018</v>
      <v>kilotons per year (2016)</v>
      <v>deaths per 100,000 (2017)</v>
      <v>kWh (2014)</v>
      <v>2014</v>
      <v>2019</v>
      <v>2017</v>
      <v>2017</v>
      <v>2017</v>
      <v>2017</v>
      <v>2017</v>
      <v>2015</v>
      <v>2017</v>
      <v>2017</v>
      <v>2018</v>
      <v>2017</v>
      <v>2019</v>
    </spb>
    <spb s="0">
      <v xml:space="preserve">Wikipedia	</v>
      <v xml:space="preserve">Public domain	</v>
      <v xml:space="preserve">http://en.wikipedia.org/wiki/Egypt	</v>
      <v xml:space="preserve">http://en.wikipedia.org/wiki/Public_domain	</v>
    </spb>
    <spb s="0">
      <v xml:space="preserve">Wikipedia	travel.state.gov	</v>
      <v xml:space="preserve">CC-BY-SA		</v>
      <v xml:space="preserve">http://en.wikipedia.org/wiki/China	https://travel.state.gov/content/travel/en/international-travel/International-Travel-Country-Information-Pages/China.html	</v>
      <v xml:space="preserve">http://creativecommons.org/licenses/by-sa/3.0/		</v>
    </spb>
    <spb s="0">
      <v xml:space="preserve">Cia	</v>
      <v xml:space="preserve">	</v>
      <v xml:space="preserve">https://www.cia.gov/library/publications/the-world-factbook/geos/ch.html?Transportation	</v>
      <v xml:space="preserve">	</v>
    </spb>
    <spb s="0">
      <v xml:space="preserve">Wikipedia	Wikipedia	Wikidata	Cia	travel.state.gov	Sec	</v>
      <v xml:space="preserve">CC-BY-SA	CC-BY-SA					</v>
      <v xml:space="preserve">http://en.wikipedia.org/wiki/China	https://en.wikipedia.org/wiki/China	https://www.wikidata.org/wiki/Q29520	https://www.cia.gov/library/publications/the-world-factbook/geos/ch.html?Transportation	https://travel.state.gov/content/travel/en/international-travel/International-Travel-Country-Information-Pages/China.html	https://www.sec.gov/cgi-bin/browse-edgar?action=getcompany&amp;CIK=0001935070	</v>
      <v xml:space="preserve">http://creativecommons.org/licenses/by-sa/3.0/	http://creativecommons.org/licenses/by-sa/3.0/					</v>
    </spb>
    <spb s="0">
      <v xml:space="preserve">Wikipedia	</v>
      <v xml:space="preserve">CC-BY-SA	</v>
      <v xml:space="preserve">http://en.wikipedia.org/wiki/China	</v>
      <v xml:space="preserve">http://creativecommons.org/licenses/by-sa/3.0/	</v>
    </spb>
    <spb s="0">
      <v xml:space="preserve">Wikipedia	Cia	</v>
      <v xml:space="preserve">CC-BY-SA		</v>
      <v xml:space="preserve">http://en.wikipedia.org/wiki/China	https://www.cia.gov/library/publications/the-world-factbook/geos/ch.html?Transportation	</v>
      <v xml:space="preserve">http://creativecommons.org/licenses/by-sa/3.0/		</v>
    </spb>
    <spb s="0">
      <v xml:space="preserve">Wikipedia	Wikipedia	travel.state.gov	Sec	</v>
      <v xml:space="preserve">CC-BY-SA	CC-BY-SA			</v>
      <v xml:space="preserve">http://en.wikipedia.org/wiki/China	https://en.wikipedia.org/wiki/China	https://travel.state.gov/content/travel/en/international-travel/International-Travel-Country-Information-Pages/China.html	https://www.sec.gov/cgi-bin/browse-edgar?action=getcompany&amp;CIK=0001935070	</v>
      <v xml:space="preserve">http://creativecommons.org/licenses/by-sa/3.0/	http://creativecommons.org/licenses/by-sa/3.0/			</v>
    </spb>
    <spb s="0">
      <v xml:space="preserve">travel.state.gov	</v>
      <v xml:space="preserve">	</v>
      <v xml:space="preserve">https://travel.state.gov/content/travel/en/international-travel/International-Travel-Country-Information-Pages/China.html	</v>
      <v xml:space="preserve">	</v>
    </spb>
    <spb s="0">
      <v xml:space="preserve">Wikipedia	Cia	travel.state.gov	</v>
      <v xml:space="preserve">CC-BY-SA			</v>
      <v xml:space="preserve">http://en.wikipedia.org/wiki/China	https://www.cia.gov/library/publications/the-world-factbook/geos/ch.html?Transportation	https://travel.state.gov/content/travel/en/international-travel/International-Travel-Country-Information-Pages/China.html	</v>
      <v xml:space="preserve">http://creativecommons.org/licenses/by-sa/3.0/			</v>
    </spb>
    <spb s="0">
      <v xml:space="preserve">Wikipedia	Cia	travel.state.gov	Sec	</v>
      <v xml:space="preserve">CC-BY-SA				</v>
      <v xml:space="preserve">http://en.wikipedia.org/wiki/China	https://www.cia.gov/library/publications/the-world-factbook/geos/ch.html?Transportation	https://travel.state.gov/content/travel/en/international-travel/International-Travel-Country-Information-Pages/China.html	https://www.sec.gov/cgi-bin/browse-edgar?action=getcompany&amp;CIK=0001935070	</v>
      <v xml:space="preserve">http://creativecommons.org/licenses/by-sa/3.0/				</v>
    </spb>
    <spb s="16">
      <v>0</v>
      <v>92</v>
      <v>93</v>
      <v>94</v>
      <v>4</v>
      <v>5</v>
      <v>94</v>
      <v>95</v>
      <v>95</v>
      <v>96</v>
      <v>97</v>
      <v>95</v>
      <v>95</v>
      <v>98</v>
      <v>93</v>
      <v>9</v>
      <v>99</v>
      <v>93</v>
      <v>95</v>
      <v>93</v>
      <v>12</v>
      <v>13</v>
      <v>14</v>
      <v>93</v>
      <v>93</v>
      <v>100</v>
      <v>93</v>
      <v>16</v>
      <v>17</v>
      <v>18</v>
      <v>19</v>
      <v>93</v>
      <v>99</v>
      <v>93</v>
      <v>93</v>
      <v>93</v>
      <v>93</v>
      <v>93</v>
      <v>93</v>
      <v>93</v>
      <v>93</v>
      <v>93</v>
      <v>93</v>
      <v>20</v>
    </spb>
    <spb s="8">
      <v>2019</v>
      <v>2022</v>
      <v>square km</v>
      <v>per thousand (2018)</v>
      <v>2019</v>
      <v>2019</v>
      <v>2018</v>
      <v>per liter (2016)</v>
      <v>2019</v>
      <v>years (2020)</v>
      <v>2017</v>
      <v>per thousand (2018)</v>
      <v>2019</v>
      <v>2017</v>
      <v>2016</v>
      <v>2019</v>
      <v>2016</v>
      <v>2017</v>
      <v>kilotons per year (2016)</v>
      <v>deaths per 100,000 (2017)</v>
      <v>kWh (2014)</v>
      <v>2014</v>
      <v>2019</v>
      <v>2016</v>
      <v>2016</v>
      <v>2016</v>
      <v>2016</v>
      <v>2016</v>
      <v>2015</v>
      <v>2016</v>
      <v>2016</v>
      <v>2018</v>
      <v>2018</v>
      <v>2019</v>
    </spb>
    <spb s="0">
      <v xml:space="preserve">Wikipedia	</v>
      <v xml:space="preserve">CC BY-SA 4.0	</v>
      <v xml:space="preserve">http://ko.wikipedia.org/wiki/중화인민공화국	</v>
      <v xml:space="preserve">https://creativecommons.org/licenses/by-sa/4.0	</v>
    </spb>
    <spb s="0">
      <v xml:space="preserve">Wikipedia	Cia	travel.state.gov	</v>
      <v xml:space="preserve">CC-BY-SA			</v>
      <v xml:space="preserve">http://en.wikipedia.org/wiki/Vietnam	https://www.cia.gov/library/publications/the-world-factbook/geos/vm.html?Transportation	https://travel.state.gov/content/travel/en/international-travel/International-Travel-Country-Information-Pages/Vietnam.html	</v>
      <v xml:space="preserve">http://creativecommons.org/licenses/by-sa/3.0/			</v>
    </spb>
    <spb s="0">
      <v xml:space="preserve">Wikipedia	Cia	</v>
      <v xml:space="preserve">CC-BY-SA		</v>
      <v xml:space="preserve">http://es.wikipedia.org/wiki/Vietnam	https://www.cia.gov/library/publications/the-world-factbook/geos/vm.html?Transportation	</v>
      <v xml:space="preserve">http://creativecommons.org/licenses/by-sa/3.0/		</v>
    </spb>
    <spb s="0">
      <v xml:space="preserve">Wikipedia	Cia	Wikipedia	travel.state.gov	</v>
      <v xml:space="preserve">CC-BY-SA		CC-BY-SA		</v>
      <v xml:space="preserve">http://en.wikipedia.org/wiki/Vietnam	https://www.cia.gov/library/publications/the-world-factbook/geos/vm.html?Transportation	https://en.wikipedia.org/wiki/Vietnam	https://travel.state.gov/content/travel/en/international-travel/International-Travel-Country-Information-Pages/Vietnam.html	</v>
      <v xml:space="preserve">http://creativecommons.org/licenses/by-sa/3.0/		http://creativecommons.org/licenses/by-sa/3.0/		</v>
    </spb>
    <spb s="0">
      <v xml:space="preserve">Wikipedia	</v>
      <v xml:space="preserve">CC-BY-SA	</v>
      <v xml:space="preserve">http://en.wikipedia.org/wiki/Vietnam	</v>
      <v xml:space="preserve">http://creativecommons.org/licenses/by-sa/3.0/	</v>
    </spb>
    <spb s="0">
      <v xml:space="preserve">Wikipedia	Cia	</v>
      <v xml:space="preserve">CC-BY-SA		</v>
      <v xml:space="preserve">http://en.wikipedia.org/wiki/Vietnam	https://www.cia.gov/library/publications/the-world-factbook/geos/vm.html?Transportation	</v>
      <v xml:space="preserve">http://creativecommons.org/licenses/by-sa/3.0/		</v>
    </spb>
    <spb s="0">
      <v xml:space="preserve">Wikipedia	Wikipedia	</v>
      <v xml:space="preserve">CC-BY-SA	CC-BY-SA	</v>
      <v xml:space="preserve">http://en.wikipedia.org/wiki/Vietnam	https://en.wikipedia.org/wiki/Vietnam	</v>
      <v xml:space="preserve">http://creativecommons.org/licenses/by-sa/3.0/	http://creativecommons.org/licenses/by-sa/3.0/	</v>
    </spb>
    <spb s="0">
      <v xml:space="preserve">Wikipedia	travel.state.gov	</v>
      <v xml:space="preserve">CC-BY-SA		</v>
      <v xml:space="preserve">http://en.wikipedia.org/wiki/Vietnam	https://travel.state.gov/content/travel/en/international-travel/International-Travel-Country-Information-Pages/Vietnam.html	</v>
      <v xml:space="preserve">http://creativecommons.org/licenses/by-sa/3.0/		</v>
    </spb>
    <spb s="0">
      <v xml:space="preserve">Cia	</v>
      <v xml:space="preserve">	</v>
      <v xml:space="preserve">https://www.cia.gov/library/publications/the-world-factbook/geos/vm.html?Transportation	</v>
      <v xml:space="preserve">	</v>
    </spb>
    <spb s="0">
      <v xml:space="preserve">Wikipedia	Wikipedia	</v>
      <v xml:space="preserve">CC-BY-SA	CC-BY-SA	</v>
      <v xml:space="preserve">http://en.wikipedia.org/wiki/Vietnam	http://ky.wikipedia.org/wiki/Bьeтнам	</v>
      <v xml:space="preserve">http://creativecommons.org/licenses/by-sa/3.0/	http://creativecommons.org/licenses/by-sa/3.0/	</v>
    </spb>
    <spb s="0">
      <v xml:space="preserve">Wikipedia	Cia	Wikipedia	</v>
      <v xml:space="preserve">CC-BY-SA		CC-BY-SA	</v>
      <v xml:space="preserve">http://en.wikipedia.org/wiki/Vietnam	https://www.cia.gov/library/publications/the-world-factbook/geos/vm.html?Transportation	https://en.wikipedia.org/wiki/Vietnam	</v>
      <v xml:space="preserve">http://creativecommons.org/licenses/by-sa/3.0/		http://creativecommons.org/licenses/by-sa/3.0/	</v>
    </spb>
    <spb s="12">
      <v>0</v>
      <v>104</v>
      <v>105</v>
      <v>106</v>
      <v>4</v>
      <v>5</v>
      <v>106</v>
      <v>107</v>
      <v>107</v>
      <v>108</v>
      <v>109</v>
      <v>107</v>
      <v>107</v>
      <v>110</v>
      <v>111</v>
      <v>9</v>
      <v>104</v>
      <v>111</v>
      <v>11</v>
      <v>112</v>
      <v>111</v>
      <v>12</v>
      <v>13</v>
      <v>14</v>
      <v>111</v>
      <v>111</v>
      <v>113</v>
      <v>111</v>
      <v>16</v>
      <v>17</v>
      <v>18</v>
      <v>19</v>
      <v>111</v>
      <v>104</v>
      <v>111</v>
      <v>111</v>
      <v>111</v>
      <v>111</v>
      <v>111</v>
      <v>111</v>
      <v>111</v>
      <v>111</v>
      <v>111</v>
      <v>111</v>
      <v>20</v>
    </spb>
    <spb s="8">
      <v>2019</v>
      <v>2019</v>
      <v>square km</v>
      <v>per thousand (2018)</v>
      <v>2019</v>
      <v>2019</v>
      <v>2018</v>
      <v>per liter (2016)</v>
      <v>2019</v>
      <v>years (2018)</v>
      <v>2013</v>
      <v>per thousand (2018)</v>
      <v>2019</v>
      <v>2017</v>
      <v>2016</v>
      <v>2019</v>
      <v>2016</v>
      <v>2016</v>
      <v>kilotons per year (2016)</v>
      <v>deaths per 100,000 (2017)</v>
      <v>kWh (2014)</v>
      <v>2013</v>
      <v>2019</v>
      <v>2018</v>
      <v>2018</v>
      <v>2018</v>
      <v>2018</v>
      <v>2018</v>
      <v>2015</v>
      <v>2018</v>
      <v>2018</v>
      <v>2018</v>
      <v>2016</v>
      <v>2019</v>
    </spb>
    <spb s="0">
      <v xml:space="preserve">Wikipedia	</v>
      <v xml:space="preserve">Public domain	</v>
      <v xml:space="preserve">http://en.wikipedia.org/wiki/Vietnam	</v>
      <v xml:space="preserve">http://en.wikipedia.org/wiki/Public_domain	</v>
    </spb>
  </spbData>
</supportingPropertyBags>
</file>

<file path=xl/richData/rdsupportingpropertybagstructure.xml><?xml version="1.0" encoding="utf-8"?>
<spbStructures xmlns="http://schemas.microsoft.com/office/spreadsheetml/2017/richdata2" count="17">
  <s>
    <k n="SourceText" t="s"/>
    <k n="LicenseText" t="s"/>
    <k n="SourceAddress" t="s"/>
    <k n="LicenseAddress" t="s"/>
  </s>
  <s>
    <k n="CPI" t="spb"/>
    <k n="GDP" t="spb"/>
    <k n="Area" t="spb"/>
    <k n="Name" t="spb"/>
    <k n="Birth rate" t="spb"/>
    <k n="Population" t="spb"/>
    <k n="UniqueName" t="spb"/>
    <k n="Description" t="spb"/>
    <k n="Abbreviation" t="spb"/>
    <k n="Calling code" t="spb"/>
    <k n="Minimum wage" t="spb"/>
    <k n="Currency cod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ShowInDotNotation" t="b"/>
    <k n="ShowInAutoComplete" t="b"/>
  </s>
  <s>
    <k n="UniqueName" t="spb"/>
    <k n="VDPID/VSID" t="spb"/>
    <k n="Description" t="spb"/>
    <k n="LearnMoreOnLink" t="spb"/>
  </s>
  <s>
    <k n="Name" t="i"/>
    <k n="Image" t="i"/>
    <k n="Description"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
    <k n="CPI" t="spb"/>
    <k n="GDP" t="spb"/>
    <k n="Area" t="spb"/>
    <k n="Name" t="spb"/>
    <k n="Birth rate" t="spb"/>
    <k n="Population" t="spb"/>
    <k n="UniqueName" t="spb"/>
    <k n="Description" t="spb"/>
    <k n="Abbreviation" t="spb"/>
    <k n="Calling code" t="spb"/>
    <k n="Largest city" t="spb"/>
    <k n="Minimum wage" t="spb"/>
    <k n="Currency cod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Name" t="i"/>
    <k n="Description" t="i"/>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UniqueName" t="spb"/>
    <k n="Description" t="spb"/>
    <k n="Abbreviation" t="spb"/>
    <k n="Calling code" t="spb"/>
    <k n="Minimum wage" t="spb"/>
    <k n="Currency cod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4" formatCode="#,##0.00"/>
    </x:dxf>
    <x:dxf>
      <x:numFmt numFmtId="1" formatCode="0"/>
    </x:dxf>
  </dxfs>
  <richProperties>
    <rPr n="IsTitleField" t="b"/>
    <rPr n="IsHeroField" t="b"/>
    <rPr n="RequiresInlineAttribution" t="b"/>
    <rPr n="NumberFormat" t="s"/>
  </richProperties>
  <richStyles>
    <rSty>
      <rpv i="0">1</rpv>
    </rSty>
    <rSty>
      <rpv i="1">1</rpv>
    </rSty>
    <rSty>
      <rpv i="2">1</rpv>
    </rSty>
    <rSty dxfid="3">
      <rpv i="3">0.0%</rpv>
    </rSty>
    <rSty dxfid="0">
      <rpv i="3">#,##0</rpv>
    </rSty>
    <rSty dxfid="2">
      <rpv i="3">0.00</rpv>
    </rSty>
    <rSty dxfid="5">
      <rpv i="3">0</rpv>
    </rSty>
    <rSty dxfid="4">
      <rpv i="3">#,##0.00</rpv>
    </rSty>
    <rSty dxfid="1">
      <rpv i="3">0.0</rpv>
    </rSty>
    <rSty dxfid="1">
      <rpv i="3">_([$$-en-US]* #,##0.00_);_([$$-en-US]* (#,##0.00);_([$$-en-US]* "-"??_);_(@_)</rpv>
    </rSty>
    <rSty dxfid="1">
      <rpv i="3">_([$$-en-US]* #,##0_);_([$$-en-US]* (#,##0);_([$$-en-US]* "-"_);_(@_)</rpv>
    </rSty>
    <rSty dxfid="3"/>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37"/>
  <sheetViews>
    <sheetView workbookViewId="0">
      <pane xSplit="6" ySplit="23" topLeftCell="G24" activePane="bottomRight" state="frozen"/>
      <selection pane="topRight" activeCell="G1" sqref="G1"/>
      <selection pane="bottomLeft" activeCell="A24" sqref="A24"/>
      <selection pane="bottomRight" activeCell="A31" sqref="A31"/>
    </sheetView>
  </sheetViews>
  <sheetFormatPr baseColWidth="10" defaultRowHeight="15" x14ac:dyDescent="0.2"/>
  <cols>
    <col min="2" max="29" width="10.83203125" customWidth="1"/>
  </cols>
  <sheetData>
    <row r="1" spans="1:4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455</v>
      </c>
      <c r="AE1" t="s">
        <v>425</v>
      </c>
      <c r="AF1" t="s">
        <v>435</v>
      </c>
      <c r="AG1" t="s">
        <v>426</v>
      </c>
      <c r="AH1" t="s">
        <v>427</v>
      </c>
      <c r="AI1" t="s">
        <v>428</v>
      </c>
      <c r="AJ1" t="s">
        <v>429</v>
      </c>
      <c r="AK1" t="s">
        <v>430</v>
      </c>
      <c r="AL1" t="s">
        <v>431</v>
      </c>
      <c r="AM1" t="s">
        <v>432</v>
      </c>
      <c r="AN1" t="s">
        <v>443</v>
      </c>
      <c r="AO1" t="s">
        <v>444</v>
      </c>
      <c r="AP1" t="s">
        <v>445</v>
      </c>
      <c r="AQ1" t="s">
        <v>446</v>
      </c>
      <c r="AR1" t="s">
        <v>432</v>
      </c>
    </row>
    <row r="2" spans="1:44" x14ac:dyDescent="0.2">
      <c r="A2" t="s">
        <v>29</v>
      </c>
      <c r="B2">
        <v>2008</v>
      </c>
      <c r="C2" t="s">
        <v>30</v>
      </c>
      <c r="D2" t="s">
        <v>31</v>
      </c>
      <c r="E2" t="s">
        <v>31</v>
      </c>
      <c r="F2" t="e" vm="1">
        <v>#VALUE!</v>
      </c>
      <c r="G2" t="s">
        <v>33</v>
      </c>
      <c r="H2" t="s">
        <v>34</v>
      </c>
      <c r="I2" t="s">
        <v>35</v>
      </c>
      <c r="J2" t="s">
        <v>36</v>
      </c>
      <c r="K2" t="s">
        <v>37</v>
      </c>
      <c r="L2" t="s">
        <v>38</v>
      </c>
      <c r="M2" t="s">
        <v>39</v>
      </c>
      <c r="N2" t="s">
        <v>38</v>
      </c>
      <c r="O2" t="s">
        <v>40</v>
      </c>
      <c r="P2" t="s">
        <v>39</v>
      </c>
      <c r="Q2" t="s">
        <v>40</v>
      </c>
      <c r="R2" t="s">
        <v>41</v>
      </c>
      <c r="S2" t="s">
        <v>42</v>
      </c>
      <c r="T2" t="s">
        <v>43</v>
      </c>
      <c r="U2" t="s">
        <v>44</v>
      </c>
      <c r="Z2" t="s">
        <v>45</v>
      </c>
      <c r="AA2" t="s">
        <v>46</v>
      </c>
      <c r="AC2" t="s">
        <v>47</v>
      </c>
      <c r="AD2" t="s">
        <v>456</v>
      </c>
      <c r="AE2" t="s">
        <v>434</v>
      </c>
      <c r="AF2" t="s">
        <v>437</v>
      </c>
      <c r="AK2">
        <v>26</v>
      </c>
      <c r="AM2" t="s">
        <v>433</v>
      </c>
    </row>
    <row r="3" spans="1:44" x14ac:dyDescent="0.2">
      <c r="A3" t="s">
        <v>29</v>
      </c>
      <c r="B3">
        <v>2008</v>
      </c>
      <c r="C3" t="s">
        <v>48</v>
      </c>
      <c r="D3" t="s">
        <v>49</v>
      </c>
      <c r="E3" t="s">
        <v>50</v>
      </c>
      <c r="F3" t="e" vm="1">
        <v>#VALUE!</v>
      </c>
      <c r="G3" t="s">
        <v>33</v>
      </c>
      <c r="H3" t="s">
        <v>34</v>
      </c>
      <c r="I3" t="s">
        <v>35</v>
      </c>
      <c r="J3" t="s">
        <v>36</v>
      </c>
      <c r="K3" t="s">
        <v>37</v>
      </c>
      <c r="L3" t="s">
        <v>38</v>
      </c>
      <c r="M3" t="s">
        <v>39</v>
      </c>
      <c r="N3" t="s">
        <v>38</v>
      </c>
      <c r="O3" t="s">
        <v>40</v>
      </c>
      <c r="P3" t="s">
        <v>39</v>
      </c>
      <c r="Q3" t="s">
        <v>40</v>
      </c>
      <c r="R3" t="s">
        <v>51</v>
      </c>
      <c r="S3" t="s">
        <v>52</v>
      </c>
      <c r="T3" t="s">
        <v>53</v>
      </c>
      <c r="U3" t="s">
        <v>54</v>
      </c>
      <c r="Z3" t="s">
        <v>55</v>
      </c>
      <c r="AA3" t="s">
        <v>56</v>
      </c>
      <c r="AC3" t="s">
        <v>57</v>
      </c>
      <c r="AD3" t="s">
        <v>456</v>
      </c>
      <c r="AE3" t="s">
        <v>434</v>
      </c>
      <c r="AF3" t="s">
        <v>437</v>
      </c>
      <c r="AJ3">
        <v>-3.29</v>
      </c>
      <c r="AK3">
        <v>33</v>
      </c>
      <c r="AL3">
        <v>1.7450000000000001</v>
      </c>
      <c r="AM3" t="s">
        <v>433</v>
      </c>
    </row>
    <row r="4" spans="1:44" s="1" customFormat="1" x14ac:dyDescent="0.2">
      <c r="A4" s="1" t="s">
        <v>58</v>
      </c>
      <c r="B4" s="1">
        <v>2010</v>
      </c>
      <c r="C4" s="1" t="s">
        <v>30</v>
      </c>
      <c r="D4" s="1" t="s">
        <v>31</v>
      </c>
      <c r="E4" s="1" t="s">
        <v>31</v>
      </c>
      <c r="F4" s="1" t="e" vm="2">
        <v>#VALUE!</v>
      </c>
      <c r="G4" s="1" t="s">
        <v>60</v>
      </c>
      <c r="H4" s="1" t="s">
        <v>34</v>
      </c>
      <c r="I4" s="1" t="s">
        <v>35</v>
      </c>
      <c r="J4" s="1" t="s">
        <v>61</v>
      </c>
      <c r="K4" s="1" t="s">
        <v>37</v>
      </c>
      <c r="L4" s="1" t="s">
        <v>39</v>
      </c>
      <c r="M4" s="1" t="s">
        <v>40</v>
      </c>
      <c r="N4" s="1" t="s">
        <v>40</v>
      </c>
      <c r="O4" s="1" t="s">
        <v>40</v>
      </c>
      <c r="P4" s="1" t="s">
        <v>39</v>
      </c>
      <c r="Q4" s="1" t="s">
        <v>40</v>
      </c>
      <c r="R4" s="1" t="s">
        <v>62</v>
      </c>
      <c r="S4" s="1" t="s">
        <v>63</v>
      </c>
      <c r="T4" s="1" t="s">
        <v>64</v>
      </c>
      <c r="U4" s="1" t="s">
        <v>65</v>
      </c>
      <c r="W4" s="1">
        <v>13.44</v>
      </c>
      <c r="Z4" s="1" t="s">
        <v>30</v>
      </c>
      <c r="AA4" s="1" t="s">
        <v>66</v>
      </c>
      <c r="AC4" s="1" t="s">
        <v>47</v>
      </c>
      <c r="AD4" t="s">
        <v>456</v>
      </c>
      <c r="AE4" s="1" t="s">
        <v>434</v>
      </c>
      <c r="AF4" s="1" t="s">
        <v>290</v>
      </c>
      <c r="AG4" s="1" t="s">
        <v>70</v>
      </c>
      <c r="AH4" s="1" t="s">
        <v>68</v>
      </c>
      <c r="AI4" s="1" t="s">
        <v>71</v>
      </c>
      <c r="AJ4" s="1" t="s">
        <v>72</v>
      </c>
      <c r="AK4" s="1" t="s">
        <v>68</v>
      </c>
      <c r="AL4" s="1" t="s">
        <v>73</v>
      </c>
      <c r="AN4" s="1" t="s">
        <v>471</v>
      </c>
      <c r="AO4" s="1" t="s">
        <v>67</v>
      </c>
      <c r="AP4" s="1" t="s">
        <v>68</v>
      </c>
      <c r="AQ4" s="1" t="s">
        <v>69</v>
      </c>
      <c r="AR4" s="1" t="s">
        <v>442</v>
      </c>
    </row>
    <row r="5" spans="1:44" s="1" customFormat="1" x14ac:dyDescent="0.2">
      <c r="A5" s="1" t="s">
        <v>58</v>
      </c>
      <c r="B5" s="1">
        <v>2010</v>
      </c>
      <c r="C5" s="1" t="s">
        <v>74</v>
      </c>
      <c r="D5" s="1" t="s">
        <v>75</v>
      </c>
      <c r="E5" s="1" t="s">
        <v>76</v>
      </c>
      <c r="F5" s="1" t="e" vm="2">
        <v>#VALUE!</v>
      </c>
      <c r="G5" s="1" t="s">
        <v>60</v>
      </c>
      <c r="H5" s="1" t="s">
        <v>34</v>
      </c>
      <c r="I5" s="1" t="s">
        <v>35</v>
      </c>
      <c r="J5" s="1" t="s">
        <v>61</v>
      </c>
      <c r="K5" s="1" t="s">
        <v>37</v>
      </c>
      <c r="L5" s="1" t="s">
        <v>39</v>
      </c>
      <c r="M5" s="1" t="s">
        <v>40</v>
      </c>
      <c r="N5" s="1" t="s">
        <v>40</v>
      </c>
      <c r="O5" s="1" t="s">
        <v>40</v>
      </c>
      <c r="P5" s="1" t="s">
        <v>39</v>
      </c>
      <c r="Q5" s="1" t="s">
        <v>40</v>
      </c>
      <c r="R5" s="1" t="s">
        <v>77</v>
      </c>
      <c r="S5" s="1" t="s">
        <v>78</v>
      </c>
      <c r="T5" s="1" t="s">
        <v>79</v>
      </c>
      <c r="U5" s="1" t="s">
        <v>80</v>
      </c>
      <c r="W5" s="1">
        <v>14</v>
      </c>
      <c r="Z5" s="1" t="s">
        <v>81</v>
      </c>
      <c r="AA5" s="1" t="s">
        <v>82</v>
      </c>
      <c r="AC5" s="1" t="s">
        <v>83</v>
      </c>
      <c r="AD5" t="s">
        <v>456</v>
      </c>
      <c r="AE5" s="1" t="s">
        <v>434</v>
      </c>
      <c r="AF5" s="1" t="s">
        <v>290</v>
      </c>
      <c r="AG5" s="1" t="s">
        <v>86</v>
      </c>
      <c r="AH5" s="1" t="s">
        <v>68</v>
      </c>
      <c r="AI5" s="1" t="s">
        <v>87</v>
      </c>
      <c r="AJ5" s="1" t="s">
        <v>88</v>
      </c>
      <c r="AK5" s="1" t="s">
        <v>68</v>
      </c>
      <c r="AL5" s="1" t="s">
        <v>89</v>
      </c>
      <c r="AN5" s="1" t="s">
        <v>471</v>
      </c>
      <c r="AO5" s="1" t="s">
        <v>84</v>
      </c>
      <c r="AP5" s="1" t="s">
        <v>68</v>
      </c>
      <c r="AQ5" s="1" t="s">
        <v>85</v>
      </c>
      <c r="AR5" s="1" t="s">
        <v>442</v>
      </c>
    </row>
    <row r="6" spans="1:44" x14ac:dyDescent="0.2">
      <c r="A6" t="s">
        <v>90</v>
      </c>
      <c r="B6">
        <v>2011</v>
      </c>
      <c r="C6" t="s">
        <v>91</v>
      </c>
      <c r="D6" t="s">
        <v>49</v>
      </c>
      <c r="E6" t="s">
        <v>50</v>
      </c>
      <c r="F6" t="e" vm="3">
        <v>#VALUE!</v>
      </c>
      <c r="G6" t="s">
        <v>93</v>
      </c>
      <c r="H6" t="s">
        <v>34</v>
      </c>
      <c r="I6" t="s">
        <v>35</v>
      </c>
      <c r="J6" t="s">
        <v>94</v>
      </c>
      <c r="K6" t="s">
        <v>37</v>
      </c>
      <c r="L6" t="s">
        <v>38</v>
      </c>
      <c r="M6" t="s">
        <v>39</v>
      </c>
      <c r="N6" t="s">
        <v>38</v>
      </c>
      <c r="O6" t="s">
        <v>40</v>
      </c>
      <c r="P6" t="s">
        <v>39</v>
      </c>
      <c r="Q6" t="s">
        <v>40</v>
      </c>
      <c r="R6" t="s">
        <v>95</v>
      </c>
      <c r="S6" t="s">
        <v>96</v>
      </c>
      <c r="T6" t="s">
        <v>97</v>
      </c>
      <c r="U6" t="s">
        <v>98</v>
      </c>
      <c r="Z6" t="s">
        <v>99</v>
      </c>
      <c r="AA6" t="s">
        <v>100</v>
      </c>
      <c r="AC6" t="s">
        <v>57</v>
      </c>
      <c r="AD6" t="s">
        <v>456</v>
      </c>
      <c r="AE6" t="s">
        <v>434</v>
      </c>
      <c r="AF6" t="s">
        <v>437</v>
      </c>
      <c r="AJ6">
        <v>-1.02</v>
      </c>
      <c r="AK6">
        <v>27</v>
      </c>
      <c r="AL6">
        <v>0.255</v>
      </c>
      <c r="AM6" t="s">
        <v>433</v>
      </c>
    </row>
    <row r="7" spans="1:44" x14ac:dyDescent="0.2">
      <c r="A7" t="s">
        <v>90</v>
      </c>
      <c r="B7">
        <v>2011</v>
      </c>
      <c r="C7" t="s">
        <v>101</v>
      </c>
      <c r="D7" t="s">
        <v>31</v>
      </c>
      <c r="E7" t="s">
        <v>31</v>
      </c>
      <c r="F7" t="e" vm="3">
        <v>#VALUE!</v>
      </c>
      <c r="G7" t="s">
        <v>93</v>
      </c>
      <c r="H7" t="s">
        <v>34</v>
      </c>
      <c r="I7" t="s">
        <v>35</v>
      </c>
      <c r="J7" t="s">
        <v>94</v>
      </c>
      <c r="K7" t="s">
        <v>37</v>
      </c>
      <c r="L7" t="s">
        <v>38</v>
      </c>
      <c r="M7" t="s">
        <v>39</v>
      </c>
      <c r="N7" t="s">
        <v>38</v>
      </c>
      <c r="O7" t="s">
        <v>40</v>
      </c>
      <c r="P7" t="s">
        <v>39</v>
      </c>
      <c r="Q7" t="s">
        <v>40</v>
      </c>
      <c r="R7" t="s">
        <v>102</v>
      </c>
      <c r="S7" t="s">
        <v>103</v>
      </c>
      <c r="T7" t="s">
        <v>104</v>
      </c>
      <c r="U7" t="s">
        <v>105</v>
      </c>
      <c r="Z7" t="s">
        <v>106</v>
      </c>
      <c r="AA7" t="s">
        <v>107</v>
      </c>
      <c r="AC7" t="s">
        <v>47</v>
      </c>
      <c r="AD7" t="s">
        <v>456</v>
      </c>
      <c r="AE7" t="s">
        <v>434</v>
      </c>
      <c r="AF7" t="s">
        <v>437</v>
      </c>
      <c r="AK7">
        <v>29</v>
      </c>
      <c r="AM7" t="s">
        <v>433</v>
      </c>
    </row>
    <row r="8" spans="1:44" x14ac:dyDescent="0.2">
      <c r="A8" t="s">
        <v>108</v>
      </c>
      <c r="B8">
        <v>2014</v>
      </c>
      <c r="C8" t="s">
        <v>109</v>
      </c>
      <c r="D8" t="s">
        <v>75</v>
      </c>
      <c r="E8" t="s">
        <v>110</v>
      </c>
      <c r="F8" t="e" vm="4">
        <v>#VALUE!</v>
      </c>
      <c r="G8" t="s">
        <v>112</v>
      </c>
      <c r="H8" t="s">
        <v>113</v>
      </c>
      <c r="I8" t="s">
        <v>35</v>
      </c>
      <c r="J8" t="s">
        <v>114</v>
      </c>
      <c r="K8" t="s">
        <v>37</v>
      </c>
      <c r="L8" t="s">
        <v>40</v>
      </c>
      <c r="M8" t="s">
        <v>39</v>
      </c>
      <c r="N8" t="s">
        <v>40</v>
      </c>
      <c r="O8" t="s">
        <v>40</v>
      </c>
      <c r="P8" t="s">
        <v>39</v>
      </c>
      <c r="Q8" t="s">
        <v>40</v>
      </c>
      <c r="T8" t="s">
        <v>115</v>
      </c>
      <c r="U8" t="s">
        <v>116</v>
      </c>
      <c r="V8" t="s">
        <v>117</v>
      </c>
      <c r="Z8" t="s">
        <v>118</v>
      </c>
      <c r="AB8" t="s">
        <v>119</v>
      </c>
      <c r="AC8" t="s">
        <v>57</v>
      </c>
      <c r="AD8" t="s">
        <v>456</v>
      </c>
      <c r="AE8" t="s">
        <v>434</v>
      </c>
      <c r="AF8" t="s">
        <v>290</v>
      </c>
      <c r="AG8" t="s">
        <v>123</v>
      </c>
      <c r="AH8" t="s">
        <v>121</v>
      </c>
      <c r="AI8" t="s">
        <v>124</v>
      </c>
      <c r="AJ8" t="s">
        <v>120</v>
      </c>
      <c r="AK8" t="s">
        <v>121</v>
      </c>
      <c r="AL8" t="s">
        <v>122</v>
      </c>
      <c r="AM8" t="s">
        <v>438</v>
      </c>
    </row>
    <row r="9" spans="1:44" x14ac:dyDescent="0.2">
      <c r="A9" t="s">
        <v>108</v>
      </c>
      <c r="B9">
        <v>2014</v>
      </c>
      <c r="C9" t="s">
        <v>125</v>
      </c>
      <c r="D9" t="s">
        <v>75</v>
      </c>
      <c r="E9" t="s">
        <v>76</v>
      </c>
      <c r="F9" t="e" vm="4">
        <v>#VALUE!</v>
      </c>
      <c r="G9" t="s">
        <v>112</v>
      </c>
      <c r="H9" t="s">
        <v>113</v>
      </c>
      <c r="I9" t="s">
        <v>35</v>
      </c>
      <c r="J9" t="s">
        <v>114</v>
      </c>
      <c r="K9" t="s">
        <v>37</v>
      </c>
      <c r="L9" t="s">
        <v>40</v>
      </c>
      <c r="M9" t="s">
        <v>39</v>
      </c>
      <c r="N9" t="s">
        <v>40</v>
      </c>
      <c r="O9" t="s">
        <v>40</v>
      </c>
      <c r="P9" t="s">
        <v>39</v>
      </c>
      <c r="Q9" t="s">
        <v>40</v>
      </c>
      <c r="T9" t="s">
        <v>126</v>
      </c>
      <c r="U9" t="s">
        <v>127</v>
      </c>
      <c r="V9" t="s">
        <v>128</v>
      </c>
      <c r="Z9" t="s">
        <v>129</v>
      </c>
      <c r="AB9" t="s">
        <v>130</v>
      </c>
      <c r="AC9" t="s">
        <v>57</v>
      </c>
      <c r="AD9" t="s">
        <v>456</v>
      </c>
      <c r="AE9" t="s">
        <v>434</v>
      </c>
      <c r="AF9" t="s">
        <v>290</v>
      </c>
      <c r="AG9" t="s">
        <v>134</v>
      </c>
      <c r="AH9" t="s">
        <v>132</v>
      </c>
      <c r="AI9" t="s">
        <v>135</v>
      </c>
      <c r="AJ9" t="s">
        <v>131</v>
      </c>
      <c r="AK9" t="s">
        <v>132</v>
      </c>
      <c r="AL9" t="s">
        <v>133</v>
      </c>
      <c r="AM9" t="s">
        <v>438</v>
      </c>
    </row>
    <row r="10" spans="1:44" x14ac:dyDescent="0.2">
      <c r="A10" t="s">
        <v>136</v>
      </c>
      <c r="B10">
        <v>2015</v>
      </c>
      <c r="C10" t="s">
        <v>137</v>
      </c>
      <c r="D10" t="s">
        <v>75</v>
      </c>
      <c r="E10" t="s">
        <v>76</v>
      </c>
      <c r="F10" t="e" vm="4">
        <v>#VALUE!</v>
      </c>
      <c r="G10" t="s">
        <v>138</v>
      </c>
      <c r="H10" t="s">
        <v>113</v>
      </c>
      <c r="I10" t="s">
        <v>35</v>
      </c>
      <c r="J10" t="s">
        <v>36</v>
      </c>
      <c r="K10" t="s">
        <v>37</v>
      </c>
      <c r="L10" t="s">
        <v>39</v>
      </c>
      <c r="M10" t="s">
        <v>40</v>
      </c>
      <c r="N10" t="s">
        <v>40</v>
      </c>
      <c r="O10" t="s">
        <v>40</v>
      </c>
      <c r="P10" t="s">
        <v>39</v>
      </c>
      <c r="Q10" t="s">
        <v>40</v>
      </c>
      <c r="R10" t="s">
        <v>139</v>
      </c>
      <c r="T10" t="s">
        <v>140</v>
      </c>
      <c r="U10" t="s">
        <v>141</v>
      </c>
      <c r="Z10" t="s">
        <v>142</v>
      </c>
      <c r="AA10" t="s">
        <v>143</v>
      </c>
      <c r="AC10" t="s">
        <v>144</v>
      </c>
      <c r="AD10" t="s">
        <v>456</v>
      </c>
      <c r="AE10" t="s">
        <v>434</v>
      </c>
      <c r="AF10" t="s">
        <v>290</v>
      </c>
      <c r="AG10" t="s">
        <v>148</v>
      </c>
      <c r="AH10" t="s">
        <v>146</v>
      </c>
      <c r="AI10" t="s">
        <v>149</v>
      </c>
      <c r="AJ10" t="s">
        <v>145</v>
      </c>
      <c r="AK10" t="s">
        <v>146</v>
      </c>
      <c r="AL10" t="s">
        <v>147</v>
      </c>
      <c r="AM10" t="s">
        <v>439</v>
      </c>
    </row>
    <row r="11" spans="1:44" x14ac:dyDescent="0.2">
      <c r="A11" t="s">
        <v>136</v>
      </c>
      <c r="B11">
        <v>2015</v>
      </c>
      <c r="C11" t="s">
        <v>150</v>
      </c>
      <c r="D11" t="s">
        <v>75</v>
      </c>
      <c r="E11" t="s">
        <v>110</v>
      </c>
      <c r="F11" t="e" vm="4">
        <v>#VALUE!</v>
      </c>
      <c r="G11" t="s">
        <v>138</v>
      </c>
      <c r="H11" t="s">
        <v>113</v>
      </c>
      <c r="I11" t="s">
        <v>35</v>
      </c>
      <c r="J11" t="s">
        <v>36</v>
      </c>
      <c r="K11" t="s">
        <v>37</v>
      </c>
      <c r="L11" t="s">
        <v>39</v>
      </c>
      <c r="M11" t="s">
        <v>40</v>
      </c>
      <c r="N11" t="s">
        <v>40</v>
      </c>
      <c r="O11" t="s">
        <v>40</v>
      </c>
      <c r="P11" t="s">
        <v>39</v>
      </c>
      <c r="Q11" t="s">
        <v>40</v>
      </c>
      <c r="R11" t="s">
        <v>151</v>
      </c>
      <c r="T11" t="s">
        <v>152</v>
      </c>
      <c r="U11" t="s">
        <v>153</v>
      </c>
      <c r="Z11" t="s">
        <v>154</v>
      </c>
      <c r="AA11" t="s">
        <v>155</v>
      </c>
      <c r="AC11" t="s">
        <v>144</v>
      </c>
      <c r="AD11" t="s">
        <v>456</v>
      </c>
      <c r="AE11" t="s">
        <v>434</v>
      </c>
      <c r="AF11" t="s">
        <v>290</v>
      </c>
      <c r="AG11" t="s">
        <v>159</v>
      </c>
      <c r="AH11" t="s">
        <v>157</v>
      </c>
      <c r="AI11" t="s">
        <v>160</v>
      </c>
      <c r="AJ11" t="s">
        <v>156</v>
      </c>
      <c r="AK11" t="s">
        <v>157</v>
      </c>
      <c r="AL11" t="s">
        <v>158</v>
      </c>
      <c r="AM11" t="s">
        <v>439</v>
      </c>
    </row>
    <row r="12" spans="1:44" s="1" customFormat="1" x14ac:dyDescent="0.2">
      <c r="A12" s="1" t="s">
        <v>161</v>
      </c>
      <c r="B12" s="1">
        <v>2016</v>
      </c>
      <c r="C12" s="1" t="s">
        <v>162</v>
      </c>
      <c r="D12" s="1" t="s">
        <v>75</v>
      </c>
      <c r="E12" s="1" t="s">
        <v>76</v>
      </c>
      <c r="F12" s="1" t="e" vm="5">
        <v>#VALUE!</v>
      </c>
      <c r="G12" s="1" t="s">
        <v>164</v>
      </c>
      <c r="H12" s="1" t="s">
        <v>113</v>
      </c>
      <c r="I12" s="1" t="s">
        <v>35</v>
      </c>
      <c r="J12" s="1" t="s">
        <v>165</v>
      </c>
      <c r="K12" s="1" t="s">
        <v>37</v>
      </c>
      <c r="L12" s="1" t="s">
        <v>39</v>
      </c>
      <c r="M12" s="1" t="s">
        <v>39</v>
      </c>
      <c r="N12" s="1" t="s">
        <v>39</v>
      </c>
      <c r="O12" s="1" t="s">
        <v>40</v>
      </c>
      <c r="P12" s="1" t="s">
        <v>39</v>
      </c>
      <c r="Q12" s="1" t="s">
        <v>40</v>
      </c>
      <c r="R12" s="1" t="s">
        <v>166</v>
      </c>
      <c r="S12" s="1" t="s">
        <v>167</v>
      </c>
      <c r="T12" s="1" t="s">
        <v>168</v>
      </c>
      <c r="U12" s="1" t="s">
        <v>169</v>
      </c>
      <c r="X12" s="1" t="s">
        <v>170</v>
      </c>
      <c r="Y12" s="1" t="s">
        <v>116</v>
      </c>
      <c r="Z12" s="1" t="s">
        <v>171</v>
      </c>
      <c r="AA12" s="1" t="s">
        <v>172</v>
      </c>
      <c r="AC12" s="1" t="s">
        <v>144</v>
      </c>
      <c r="AD12" t="s">
        <v>456</v>
      </c>
      <c r="AE12" s="1" t="s">
        <v>449</v>
      </c>
      <c r="AF12" s="1" t="s">
        <v>290</v>
      </c>
      <c r="AG12" s="1" t="s">
        <v>176</v>
      </c>
      <c r="AH12" s="1" t="s">
        <v>174</v>
      </c>
      <c r="AI12" s="1" t="s">
        <v>177</v>
      </c>
      <c r="AJ12" t="s">
        <v>173</v>
      </c>
      <c r="AK12" t="s">
        <v>174</v>
      </c>
      <c r="AL12" t="s">
        <v>175</v>
      </c>
      <c r="AM12" s="1" t="s">
        <v>447</v>
      </c>
      <c r="AN12" s="1" t="s">
        <v>471</v>
      </c>
      <c r="AO12" s="1" t="s">
        <v>173</v>
      </c>
      <c r="AP12" s="1" t="s">
        <v>174</v>
      </c>
      <c r="AQ12" s="1" t="s">
        <v>175</v>
      </c>
      <c r="AR12" s="1" t="s">
        <v>447</v>
      </c>
    </row>
    <row r="13" spans="1:44" s="1" customFormat="1" x14ac:dyDescent="0.2">
      <c r="A13" s="1" t="s">
        <v>161</v>
      </c>
      <c r="B13" s="1">
        <v>2016</v>
      </c>
      <c r="C13" s="1" t="s">
        <v>182</v>
      </c>
      <c r="D13" s="1" t="s">
        <v>31</v>
      </c>
      <c r="E13" s="1" t="s">
        <v>31</v>
      </c>
      <c r="F13" s="1" t="e" vm="5">
        <v>#VALUE!</v>
      </c>
      <c r="G13" s="1" t="s">
        <v>164</v>
      </c>
      <c r="H13" s="1" t="s">
        <v>113</v>
      </c>
      <c r="I13" s="1" t="s">
        <v>35</v>
      </c>
      <c r="J13" s="1" t="s">
        <v>165</v>
      </c>
      <c r="K13" s="1" t="s">
        <v>37</v>
      </c>
      <c r="L13" s="1" t="s">
        <v>39</v>
      </c>
      <c r="M13" s="1" t="s">
        <v>39</v>
      </c>
      <c r="N13" s="1" t="s">
        <v>39</v>
      </c>
      <c r="O13" s="1" t="s">
        <v>40</v>
      </c>
      <c r="P13" s="1" t="s">
        <v>39</v>
      </c>
      <c r="Q13" s="1" t="s">
        <v>40</v>
      </c>
      <c r="R13" s="1" t="s">
        <v>183</v>
      </c>
      <c r="S13" s="1" t="s">
        <v>184</v>
      </c>
      <c r="T13" s="1" t="s">
        <v>185</v>
      </c>
      <c r="U13" s="1" t="s">
        <v>186</v>
      </c>
      <c r="X13" s="1" t="s">
        <v>170</v>
      </c>
      <c r="Y13" s="1" t="s">
        <v>116</v>
      </c>
      <c r="Z13" s="1" t="s">
        <v>187</v>
      </c>
      <c r="AA13" s="1" t="s">
        <v>188</v>
      </c>
      <c r="AC13" s="1" t="s">
        <v>47</v>
      </c>
      <c r="AD13" t="s">
        <v>456</v>
      </c>
      <c r="AE13" s="1" t="s">
        <v>449</v>
      </c>
      <c r="AF13" s="1" t="s">
        <v>290</v>
      </c>
      <c r="AG13" s="1" t="s">
        <v>191</v>
      </c>
      <c r="AH13" s="1" t="s">
        <v>174</v>
      </c>
      <c r="AI13" s="1" t="s">
        <v>192</v>
      </c>
      <c r="AJ13" t="s">
        <v>189</v>
      </c>
      <c r="AK13" t="s">
        <v>174</v>
      </c>
      <c r="AL13" t="s">
        <v>190</v>
      </c>
      <c r="AM13" s="1" t="s">
        <v>447</v>
      </c>
      <c r="AN13" s="1" t="s">
        <v>471</v>
      </c>
      <c r="AO13" s="1" t="s">
        <v>189</v>
      </c>
      <c r="AP13" s="1" t="s">
        <v>174</v>
      </c>
      <c r="AQ13" s="1" t="s">
        <v>190</v>
      </c>
      <c r="AR13" s="1" t="s">
        <v>447</v>
      </c>
    </row>
    <row r="14" spans="1:44" s="1" customFormat="1" x14ac:dyDescent="0.2">
      <c r="A14" s="1" t="s">
        <v>197</v>
      </c>
      <c r="B14" s="1">
        <v>2017</v>
      </c>
      <c r="C14" s="1" t="s">
        <v>198</v>
      </c>
      <c r="D14" s="1" t="s">
        <v>31</v>
      </c>
      <c r="E14" s="1" t="s">
        <v>31</v>
      </c>
      <c r="F14" s="1" t="e" vm="6">
        <v>#VALUE!</v>
      </c>
      <c r="G14" s="1" t="s">
        <v>199</v>
      </c>
      <c r="H14" s="1" t="s">
        <v>34</v>
      </c>
      <c r="I14" s="1" t="s">
        <v>35</v>
      </c>
      <c r="J14" s="1" t="s">
        <v>61</v>
      </c>
      <c r="K14" s="1" t="s">
        <v>37</v>
      </c>
      <c r="L14" s="1" t="s">
        <v>38</v>
      </c>
      <c r="M14" s="1" t="s">
        <v>40</v>
      </c>
      <c r="N14" s="1" t="s">
        <v>40</v>
      </c>
      <c r="O14" s="1" t="s">
        <v>40</v>
      </c>
      <c r="P14" s="1" t="s">
        <v>39</v>
      </c>
      <c r="Q14" s="1" t="s">
        <v>40</v>
      </c>
      <c r="T14" s="1" t="s">
        <v>200</v>
      </c>
      <c r="U14" s="1" t="s">
        <v>201</v>
      </c>
      <c r="Y14" s="1" t="s">
        <v>116</v>
      </c>
      <c r="Z14" s="1" t="s">
        <v>31</v>
      </c>
      <c r="AA14" s="1" t="s">
        <v>31</v>
      </c>
      <c r="AC14" s="1" t="s">
        <v>47</v>
      </c>
      <c r="AD14" t="s">
        <v>456</v>
      </c>
      <c r="AE14" s="1" t="s">
        <v>434</v>
      </c>
      <c r="AF14" s="1" t="s">
        <v>448</v>
      </c>
      <c r="AG14" s="1" t="s">
        <v>202</v>
      </c>
      <c r="AH14" s="1" t="s">
        <v>203</v>
      </c>
      <c r="AI14" s="1" t="s">
        <v>204</v>
      </c>
      <c r="AJ14" s="1" t="s">
        <v>207</v>
      </c>
      <c r="AK14" s="1" t="s">
        <v>203</v>
      </c>
      <c r="AL14" s="1" t="s">
        <v>208</v>
      </c>
      <c r="AN14" s="1" t="s">
        <v>471</v>
      </c>
      <c r="AO14" s="1" t="s">
        <v>205</v>
      </c>
      <c r="AP14" s="1" t="s">
        <v>203</v>
      </c>
      <c r="AQ14" s="1" t="s">
        <v>206</v>
      </c>
      <c r="AR14" s="1" t="s">
        <v>447</v>
      </c>
    </row>
    <row r="15" spans="1:44" s="1" customFormat="1" x14ac:dyDescent="0.2">
      <c r="A15" s="1" t="s">
        <v>197</v>
      </c>
      <c r="B15" s="1">
        <v>2017</v>
      </c>
      <c r="C15" s="1" t="s">
        <v>209</v>
      </c>
      <c r="D15" s="1" t="s">
        <v>75</v>
      </c>
      <c r="E15" s="1" t="s">
        <v>110</v>
      </c>
      <c r="F15" s="1" t="e" vm="6">
        <v>#VALUE!</v>
      </c>
      <c r="G15" s="1" t="s">
        <v>199</v>
      </c>
      <c r="H15" s="1" t="s">
        <v>34</v>
      </c>
      <c r="I15" s="1" t="s">
        <v>35</v>
      </c>
      <c r="J15" s="1" t="s">
        <v>61</v>
      </c>
      <c r="K15" s="1" t="s">
        <v>37</v>
      </c>
      <c r="L15" s="1" t="s">
        <v>38</v>
      </c>
      <c r="M15" s="1" t="s">
        <v>40</v>
      </c>
      <c r="N15" s="1" t="s">
        <v>40</v>
      </c>
      <c r="O15" s="1" t="s">
        <v>40</v>
      </c>
      <c r="P15" s="1" t="s">
        <v>39</v>
      </c>
      <c r="Q15" s="1" t="s">
        <v>40</v>
      </c>
      <c r="T15" s="1" t="s">
        <v>210</v>
      </c>
      <c r="U15" s="1" t="s">
        <v>211</v>
      </c>
      <c r="Y15" s="1" t="s">
        <v>116</v>
      </c>
      <c r="Z15" s="1" t="s">
        <v>212</v>
      </c>
      <c r="AA15" s="1" t="s">
        <v>213</v>
      </c>
      <c r="AC15" s="1" t="s">
        <v>57</v>
      </c>
      <c r="AD15" t="s">
        <v>456</v>
      </c>
      <c r="AE15" s="1" t="s">
        <v>434</v>
      </c>
      <c r="AF15" s="1" t="s">
        <v>448</v>
      </c>
      <c r="AG15" s="1" t="s">
        <v>214</v>
      </c>
      <c r="AH15" s="1" t="s">
        <v>215</v>
      </c>
      <c r="AI15" s="1" t="s">
        <v>149</v>
      </c>
      <c r="AJ15" s="1" t="s">
        <v>218</v>
      </c>
      <c r="AK15" s="1" t="s">
        <v>215</v>
      </c>
      <c r="AL15" s="1" t="s">
        <v>219</v>
      </c>
      <c r="AN15" s="1" t="s">
        <v>471</v>
      </c>
      <c r="AO15" s="1" t="s">
        <v>216</v>
      </c>
      <c r="AP15" s="1" t="s">
        <v>215</v>
      </c>
      <c r="AQ15" s="1" t="s">
        <v>217</v>
      </c>
      <c r="AR15" s="1" t="s">
        <v>447</v>
      </c>
    </row>
    <row r="16" spans="1:44" x14ac:dyDescent="0.2">
      <c r="A16" t="s">
        <v>220</v>
      </c>
      <c r="B16">
        <v>2017</v>
      </c>
      <c r="C16" t="s">
        <v>221</v>
      </c>
      <c r="D16" t="s">
        <v>75</v>
      </c>
      <c r="E16" t="s">
        <v>76</v>
      </c>
      <c r="F16" t="e" vm="5">
        <v>#VALUE!</v>
      </c>
      <c r="G16" t="s">
        <v>222</v>
      </c>
      <c r="H16" t="s">
        <v>34</v>
      </c>
      <c r="I16" t="s">
        <v>35</v>
      </c>
      <c r="J16" t="s">
        <v>61</v>
      </c>
      <c r="K16" t="s">
        <v>37</v>
      </c>
      <c r="L16" t="s">
        <v>39</v>
      </c>
      <c r="M16" t="s">
        <v>40</v>
      </c>
      <c r="N16" t="s">
        <v>40</v>
      </c>
      <c r="O16" t="s">
        <v>40</v>
      </c>
      <c r="P16" t="s">
        <v>39</v>
      </c>
      <c r="Q16" t="s">
        <v>40</v>
      </c>
      <c r="S16" t="s">
        <v>223</v>
      </c>
      <c r="T16" t="s">
        <v>224</v>
      </c>
      <c r="U16" t="s">
        <v>225</v>
      </c>
      <c r="X16" t="s">
        <v>116</v>
      </c>
      <c r="Z16" t="s">
        <v>226</v>
      </c>
      <c r="AA16" t="s">
        <v>227</v>
      </c>
      <c r="AC16" t="s">
        <v>57</v>
      </c>
      <c r="AD16" t="s">
        <v>456</v>
      </c>
      <c r="AE16" t="s">
        <v>434</v>
      </c>
      <c r="AF16" t="s">
        <v>290</v>
      </c>
      <c r="AG16" t="s">
        <v>230</v>
      </c>
      <c r="AH16" t="s">
        <v>157</v>
      </c>
      <c r="AI16" t="s">
        <v>231</v>
      </c>
      <c r="AJ16" t="s">
        <v>228</v>
      </c>
      <c r="AK16" t="s">
        <v>157</v>
      </c>
      <c r="AL16" t="s">
        <v>229</v>
      </c>
      <c r="AM16" t="s">
        <v>440</v>
      </c>
    </row>
    <row r="17" spans="1:43" x14ac:dyDescent="0.2">
      <c r="A17" t="s">
        <v>220</v>
      </c>
      <c r="B17">
        <v>2017</v>
      </c>
      <c r="C17" t="s">
        <v>30</v>
      </c>
      <c r="D17" t="s">
        <v>31</v>
      </c>
      <c r="E17" t="s">
        <v>31</v>
      </c>
      <c r="F17" t="e" vm="5">
        <v>#VALUE!</v>
      </c>
      <c r="G17" t="s">
        <v>222</v>
      </c>
      <c r="H17" t="s">
        <v>34</v>
      </c>
      <c r="I17" t="s">
        <v>35</v>
      </c>
      <c r="J17" t="s">
        <v>61</v>
      </c>
      <c r="K17" t="s">
        <v>37</v>
      </c>
      <c r="L17" t="s">
        <v>39</v>
      </c>
      <c r="M17" t="s">
        <v>40</v>
      </c>
      <c r="N17" t="s">
        <v>40</v>
      </c>
      <c r="O17" t="s">
        <v>40</v>
      </c>
      <c r="P17" t="s">
        <v>39</v>
      </c>
      <c r="Q17" t="s">
        <v>40</v>
      </c>
      <c r="S17" t="s">
        <v>123</v>
      </c>
      <c r="T17" t="s">
        <v>232</v>
      </c>
      <c r="U17" t="s">
        <v>233</v>
      </c>
      <c r="X17" t="s">
        <v>116</v>
      </c>
      <c r="Z17" t="s">
        <v>30</v>
      </c>
      <c r="AA17" t="s">
        <v>234</v>
      </c>
      <c r="AC17" t="s">
        <v>234</v>
      </c>
      <c r="AD17" t="s">
        <v>456</v>
      </c>
      <c r="AE17" t="s">
        <v>434</v>
      </c>
      <c r="AF17" t="s">
        <v>290</v>
      </c>
      <c r="AG17" t="s">
        <v>237</v>
      </c>
      <c r="AH17" t="s">
        <v>157</v>
      </c>
      <c r="AI17" t="s">
        <v>238</v>
      </c>
      <c r="AJ17" t="s">
        <v>235</v>
      </c>
      <c r="AK17" t="s">
        <v>157</v>
      </c>
      <c r="AL17" t="s">
        <v>236</v>
      </c>
      <c r="AM17" t="s">
        <v>440</v>
      </c>
    </row>
    <row r="18" spans="1:43" x14ac:dyDescent="0.2">
      <c r="A18" t="s">
        <v>239</v>
      </c>
      <c r="B18">
        <v>2018</v>
      </c>
      <c r="C18" t="s">
        <v>30</v>
      </c>
      <c r="D18" t="s">
        <v>31</v>
      </c>
      <c r="E18" t="s">
        <v>31</v>
      </c>
      <c r="F18" t="e" vm="4">
        <v>#VALUE!</v>
      </c>
      <c r="G18" t="s">
        <v>240</v>
      </c>
      <c r="H18" t="s">
        <v>34</v>
      </c>
      <c r="I18" t="s">
        <v>35</v>
      </c>
      <c r="J18" t="s">
        <v>61</v>
      </c>
      <c r="K18" t="s">
        <v>37</v>
      </c>
      <c r="L18" t="s">
        <v>39</v>
      </c>
      <c r="M18" t="s">
        <v>39</v>
      </c>
      <c r="N18" t="s">
        <v>38</v>
      </c>
      <c r="O18" t="s">
        <v>40</v>
      </c>
      <c r="P18" t="s">
        <v>39</v>
      </c>
      <c r="Q18" t="s">
        <v>40</v>
      </c>
      <c r="R18" t="s">
        <v>241</v>
      </c>
      <c r="S18" t="s">
        <v>242</v>
      </c>
      <c r="T18" t="s">
        <v>243</v>
      </c>
      <c r="U18" t="s">
        <v>244</v>
      </c>
      <c r="W18">
        <v>23.82</v>
      </c>
      <c r="X18" t="s">
        <v>170</v>
      </c>
      <c r="Y18" t="s">
        <v>116</v>
      </c>
      <c r="Z18" t="s">
        <v>245</v>
      </c>
      <c r="AC18" t="s">
        <v>47</v>
      </c>
      <c r="AD18" t="s">
        <v>456</v>
      </c>
      <c r="AE18" t="s">
        <v>434</v>
      </c>
      <c r="AF18" t="s">
        <v>290</v>
      </c>
      <c r="AG18" t="s">
        <v>246</v>
      </c>
      <c r="AH18" t="s">
        <v>132</v>
      </c>
      <c r="AI18" t="s">
        <v>247</v>
      </c>
      <c r="AJ18" t="s">
        <v>248</v>
      </c>
      <c r="AK18" t="s">
        <v>132</v>
      </c>
      <c r="AL18" t="s">
        <v>249</v>
      </c>
      <c r="AM18" t="s">
        <v>441</v>
      </c>
    </row>
    <row r="19" spans="1:43" x14ac:dyDescent="0.2">
      <c r="A19" t="s">
        <v>239</v>
      </c>
      <c r="B19">
        <v>2018</v>
      </c>
      <c r="C19" t="s">
        <v>254</v>
      </c>
      <c r="D19" t="s">
        <v>255</v>
      </c>
      <c r="E19" t="s">
        <v>256</v>
      </c>
      <c r="F19" t="e" vm="4">
        <v>#VALUE!</v>
      </c>
      <c r="G19" t="s">
        <v>240</v>
      </c>
      <c r="H19" t="s">
        <v>34</v>
      </c>
      <c r="I19" t="s">
        <v>35</v>
      </c>
      <c r="J19" t="s">
        <v>61</v>
      </c>
      <c r="K19" t="s">
        <v>37</v>
      </c>
      <c r="L19" t="s">
        <v>39</v>
      </c>
      <c r="M19" t="s">
        <v>39</v>
      </c>
      <c r="N19" t="s">
        <v>38</v>
      </c>
      <c r="O19" t="s">
        <v>40</v>
      </c>
      <c r="P19" t="s">
        <v>39</v>
      </c>
      <c r="Q19" t="s">
        <v>40</v>
      </c>
      <c r="R19" t="s">
        <v>257</v>
      </c>
      <c r="S19" t="s">
        <v>258</v>
      </c>
      <c r="T19" t="s">
        <v>259</v>
      </c>
      <c r="U19" t="s">
        <v>260</v>
      </c>
      <c r="W19">
        <v>19</v>
      </c>
      <c r="X19" t="s">
        <v>170</v>
      </c>
      <c r="Y19" t="s">
        <v>116</v>
      </c>
      <c r="Z19" t="s">
        <v>261</v>
      </c>
      <c r="AA19" t="s">
        <v>262</v>
      </c>
      <c r="AC19" t="s">
        <v>263</v>
      </c>
      <c r="AD19" t="s">
        <v>456</v>
      </c>
      <c r="AE19" t="s">
        <v>434</v>
      </c>
      <c r="AF19" t="s">
        <v>290</v>
      </c>
      <c r="AG19" t="s">
        <v>264</v>
      </c>
      <c r="AH19" t="s">
        <v>132</v>
      </c>
      <c r="AI19" t="s">
        <v>265</v>
      </c>
      <c r="AJ19" t="s">
        <v>266</v>
      </c>
      <c r="AK19" t="s">
        <v>132</v>
      </c>
      <c r="AL19" t="s">
        <v>267</v>
      </c>
      <c r="AM19" t="s">
        <v>441</v>
      </c>
    </row>
    <row r="20" spans="1:43" x14ac:dyDescent="0.2">
      <c r="A20" t="s">
        <v>338</v>
      </c>
      <c r="B20">
        <v>2014</v>
      </c>
      <c r="C20" t="s">
        <v>339</v>
      </c>
      <c r="D20" t="s">
        <v>31</v>
      </c>
      <c r="E20" t="s">
        <v>31</v>
      </c>
      <c r="F20" t="e" vm="2">
        <v>#VALUE!</v>
      </c>
      <c r="G20" t="s">
        <v>340</v>
      </c>
      <c r="H20" t="s">
        <v>113</v>
      </c>
      <c r="I20" t="s">
        <v>35</v>
      </c>
      <c r="J20" t="s">
        <v>61</v>
      </c>
      <c r="K20" t="s">
        <v>37</v>
      </c>
      <c r="L20" t="s">
        <v>40</v>
      </c>
      <c r="M20" t="s">
        <v>40</v>
      </c>
      <c r="N20" t="s">
        <v>40</v>
      </c>
      <c r="O20" t="s">
        <v>40</v>
      </c>
      <c r="P20" t="s">
        <v>39</v>
      </c>
      <c r="Q20" t="s">
        <v>40</v>
      </c>
      <c r="S20" t="s">
        <v>341</v>
      </c>
      <c r="AD20" t="s">
        <v>456</v>
      </c>
      <c r="AE20" t="s">
        <v>457</v>
      </c>
      <c r="AF20" t="s">
        <v>290</v>
      </c>
      <c r="AG20" t="s">
        <v>345</v>
      </c>
      <c r="AH20" t="s">
        <v>343</v>
      </c>
      <c r="AI20" t="s">
        <v>346</v>
      </c>
      <c r="AJ20" t="s">
        <v>342</v>
      </c>
      <c r="AK20" t="s">
        <v>343</v>
      </c>
      <c r="AL20" t="s">
        <v>344</v>
      </c>
      <c r="AM20" t="s">
        <v>47</v>
      </c>
      <c r="AO20" t="s">
        <v>356</v>
      </c>
      <c r="AP20" t="s">
        <v>343</v>
      </c>
      <c r="AQ20" t="s">
        <v>357</v>
      </c>
    </row>
    <row r="21" spans="1:43" x14ac:dyDescent="0.2">
      <c r="A21" t="s">
        <v>338</v>
      </c>
      <c r="B21">
        <v>2014</v>
      </c>
      <c r="C21" t="s">
        <v>355</v>
      </c>
      <c r="D21" t="s">
        <v>75</v>
      </c>
      <c r="E21" t="s">
        <v>110</v>
      </c>
      <c r="F21" t="e" vm="2">
        <v>#VALUE!</v>
      </c>
      <c r="G21" t="s">
        <v>340</v>
      </c>
      <c r="H21" t="s">
        <v>113</v>
      </c>
      <c r="I21" t="s">
        <v>35</v>
      </c>
      <c r="J21" t="s">
        <v>61</v>
      </c>
      <c r="K21" t="s">
        <v>37</v>
      </c>
      <c r="L21" t="s">
        <v>40</v>
      </c>
      <c r="M21" t="s">
        <v>40</v>
      </c>
      <c r="N21" t="s">
        <v>40</v>
      </c>
      <c r="O21" t="s">
        <v>40</v>
      </c>
      <c r="P21" t="s">
        <v>39</v>
      </c>
      <c r="Q21" t="s">
        <v>40</v>
      </c>
      <c r="S21" t="s">
        <v>341</v>
      </c>
      <c r="AD21" t="s">
        <v>456</v>
      </c>
      <c r="AE21" t="s">
        <v>457</v>
      </c>
      <c r="AF21" t="s">
        <v>290</v>
      </c>
      <c r="AG21" t="s">
        <v>360</v>
      </c>
      <c r="AH21" t="s">
        <v>343</v>
      </c>
      <c r="AI21" t="s">
        <v>361</v>
      </c>
      <c r="AJ21" t="s">
        <v>358</v>
      </c>
      <c r="AK21" t="s">
        <v>343</v>
      </c>
      <c r="AL21" t="s">
        <v>359</v>
      </c>
      <c r="AM21" t="s">
        <v>47</v>
      </c>
    </row>
    <row r="22" spans="1:43" x14ac:dyDescent="0.2">
      <c r="A22" t="s">
        <v>396</v>
      </c>
      <c r="B22">
        <v>2017</v>
      </c>
      <c r="C22" t="s">
        <v>397</v>
      </c>
      <c r="D22" t="s">
        <v>49</v>
      </c>
      <c r="E22" t="s">
        <v>50</v>
      </c>
      <c r="F22" t="e" vm="7">
        <v>#VALUE!</v>
      </c>
      <c r="G22" t="s">
        <v>398</v>
      </c>
      <c r="H22" t="s">
        <v>34</v>
      </c>
      <c r="I22" t="s">
        <v>35</v>
      </c>
      <c r="J22" t="s">
        <v>94</v>
      </c>
      <c r="K22" t="s">
        <v>37</v>
      </c>
      <c r="L22" t="s">
        <v>39</v>
      </c>
      <c r="M22" t="s">
        <v>39</v>
      </c>
      <c r="N22" t="s">
        <v>38</v>
      </c>
      <c r="O22" t="s">
        <v>39</v>
      </c>
      <c r="P22" t="s">
        <v>39</v>
      </c>
      <c r="Q22" t="s">
        <v>39</v>
      </c>
      <c r="T22" t="s">
        <v>399</v>
      </c>
      <c r="U22" t="s">
        <v>400</v>
      </c>
      <c r="V22" t="s">
        <v>401</v>
      </c>
      <c r="Z22" t="s">
        <v>402</v>
      </c>
      <c r="AA22" t="s">
        <v>403</v>
      </c>
      <c r="AC22" t="s">
        <v>57</v>
      </c>
      <c r="AD22" t="s">
        <v>456</v>
      </c>
      <c r="AE22" t="s">
        <v>457</v>
      </c>
      <c r="AF22" t="s">
        <v>290</v>
      </c>
      <c r="AG22" t="s">
        <v>407</v>
      </c>
      <c r="AI22" t="s">
        <v>406</v>
      </c>
      <c r="AJ22" t="s">
        <v>405</v>
      </c>
      <c r="AL22" t="s">
        <v>404</v>
      </c>
      <c r="AM22" t="s">
        <v>47</v>
      </c>
    </row>
    <row r="23" spans="1:43" x14ac:dyDescent="0.2">
      <c r="A23" t="s">
        <v>396</v>
      </c>
      <c r="B23">
        <v>2017</v>
      </c>
      <c r="C23" t="s">
        <v>411</v>
      </c>
      <c r="D23" t="s">
        <v>31</v>
      </c>
      <c r="E23" t="s">
        <v>31</v>
      </c>
      <c r="F23" t="e" vm="7">
        <v>#VALUE!</v>
      </c>
      <c r="G23" t="s">
        <v>398</v>
      </c>
      <c r="H23" t="s">
        <v>34</v>
      </c>
      <c r="I23" t="s">
        <v>35</v>
      </c>
      <c r="J23" t="s">
        <v>94</v>
      </c>
      <c r="K23" t="s">
        <v>37</v>
      </c>
      <c r="L23" t="s">
        <v>39</v>
      </c>
      <c r="M23" t="s">
        <v>39</v>
      </c>
      <c r="N23" t="s">
        <v>38</v>
      </c>
      <c r="O23" t="s">
        <v>39</v>
      </c>
      <c r="P23" t="s">
        <v>39</v>
      </c>
      <c r="Q23" t="s">
        <v>39</v>
      </c>
      <c r="T23" t="s">
        <v>412</v>
      </c>
      <c r="U23" t="s">
        <v>413</v>
      </c>
      <c r="V23" t="s">
        <v>414</v>
      </c>
      <c r="Z23" t="s">
        <v>415</v>
      </c>
      <c r="AA23" t="s">
        <v>416</v>
      </c>
      <c r="AC23" t="s">
        <v>417</v>
      </c>
      <c r="AD23" t="s">
        <v>456</v>
      </c>
      <c r="AE23" t="s">
        <v>457</v>
      </c>
      <c r="AF23" t="s">
        <v>290</v>
      </c>
      <c r="AG23" t="s">
        <v>421</v>
      </c>
      <c r="AI23" t="s">
        <v>420</v>
      </c>
      <c r="AJ23" t="s">
        <v>419</v>
      </c>
      <c r="AL23" t="s">
        <v>418</v>
      </c>
      <c r="AM23" t="s">
        <v>47</v>
      </c>
    </row>
    <row r="24" spans="1:43" s="2" customFormat="1" x14ac:dyDescent="0.2">
      <c r="A24" s="2" t="s">
        <v>472</v>
      </c>
      <c r="B24" s="2">
        <v>2020</v>
      </c>
      <c r="C24" s="2" t="s">
        <v>501</v>
      </c>
      <c r="D24" s="2" t="s">
        <v>49</v>
      </c>
      <c r="F24" s="2" t="e" vm="8">
        <v>#VALUE!</v>
      </c>
      <c r="G24" s="2" t="s">
        <v>498</v>
      </c>
      <c r="H24" s="2" t="s">
        <v>475</v>
      </c>
      <c r="I24" s="2" t="s">
        <v>476</v>
      </c>
      <c r="J24" s="2" t="s">
        <v>477</v>
      </c>
      <c r="K24" s="2" t="s">
        <v>37</v>
      </c>
      <c r="L24" s="2" t="s">
        <v>38</v>
      </c>
      <c r="M24" s="2" t="s">
        <v>39</v>
      </c>
      <c r="N24" s="2" t="s">
        <v>38</v>
      </c>
      <c r="O24" s="2" t="s">
        <v>39</v>
      </c>
      <c r="P24" s="2" t="s">
        <v>38</v>
      </c>
      <c r="Q24" s="2" t="s">
        <v>38</v>
      </c>
      <c r="S24" s="4">
        <v>0.76</v>
      </c>
      <c r="T24" s="2" t="s">
        <v>503</v>
      </c>
      <c r="U24" s="4">
        <v>0.92</v>
      </c>
      <c r="Z24" s="2" t="s">
        <v>473</v>
      </c>
      <c r="AC24" s="2" t="s">
        <v>83</v>
      </c>
      <c r="AD24" s="2" t="s">
        <v>456</v>
      </c>
      <c r="AE24" s="2" t="s">
        <v>434</v>
      </c>
      <c r="AF24" s="2" t="s">
        <v>290</v>
      </c>
      <c r="AG24" s="2">
        <v>6.7</v>
      </c>
      <c r="AH24" s="2">
        <v>25</v>
      </c>
      <c r="AI24" s="2">
        <v>2.1</v>
      </c>
      <c r="AJ24" s="2">
        <v>2.9</v>
      </c>
      <c r="AK24" s="2">
        <v>25</v>
      </c>
      <c r="AL24" s="2">
        <v>2.4</v>
      </c>
      <c r="AM24" s="2" t="s">
        <v>447</v>
      </c>
    </row>
    <row r="25" spans="1:43" s="2" customFormat="1" x14ac:dyDescent="0.2">
      <c r="A25" s="2" t="s">
        <v>472</v>
      </c>
      <c r="B25" s="2">
        <v>2020</v>
      </c>
      <c r="C25" s="2" t="s">
        <v>499</v>
      </c>
      <c r="D25" s="2" t="s">
        <v>31</v>
      </c>
      <c r="F25" s="2" t="e" vm="8">
        <v>#VALUE!</v>
      </c>
      <c r="G25" s="2" t="s">
        <v>498</v>
      </c>
      <c r="H25" s="2" t="s">
        <v>475</v>
      </c>
      <c r="I25" s="2" t="s">
        <v>476</v>
      </c>
      <c r="J25" s="2" t="s">
        <v>477</v>
      </c>
      <c r="K25" s="2" t="s">
        <v>37</v>
      </c>
      <c r="L25" s="2" t="s">
        <v>38</v>
      </c>
      <c r="M25" s="2" t="s">
        <v>39</v>
      </c>
      <c r="N25" s="2" t="s">
        <v>38</v>
      </c>
      <c r="O25" s="2" t="s">
        <v>39</v>
      </c>
      <c r="P25" s="2" t="s">
        <v>38</v>
      </c>
      <c r="Q25" s="2" t="s">
        <v>38</v>
      </c>
      <c r="S25" s="3">
        <v>0.76900000000000002</v>
      </c>
      <c r="T25" s="2" t="s">
        <v>502</v>
      </c>
      <c r="U25" s="3">
        <v>0.80800000000000005</v>
      </c>
      <c r="Z25" s="2" t="s">
        <v>500</v>
      </c>
      <c r="AC25" s="2" t="s">
        <v>83</v>
      </c>
      <c r="AD25" s="2" t="s">
        <v>456</v>
      </c>
      <c r="AE25" s="2" t="s">
        <v>434</v>
      </c>
      <c r="AF25" s="2" t="s">
        <v>290</v>
      </c>
      <c r="AG25" s="2">
        <v>6.8</v>
      </c>
      <c r="AH25" s="2">
        <v>26</v>
      </c>
      <c r="AI25" s="2">
        <v>2.2999999999999998</v>
      </c>
      <c r="AJ25" s="2">
        <v>5.5</v>
      </c>
      <c r="AK25" s="2">
        <v>26</v>
      </c>
      <c r="AL25" s="2">
        <v>3.4</v>
      </c>
      <c r="AM25" s="2" t="s">
        <v>447</v>
      </c>
    </row>
    <row r="26" spans="1:43" s="5" customFormat="1" x14ac:dyDescent="0.2">
      <c r="A26" s="5" t="s">
        <v>481</v>
      </c>
      <c r="B26" s="5">
        <v>2020</v>
      </c>
      <c r="C26" s="5" t="s">
        <v>507</v>
      </c>
      <c r="D26" s="5" t="s">
        <v>75</v>
      </c>
      <c r="F26" s="5" t="e" vm="7">
        <v>#VALUE!</v>
      </c>
      <c r="G26" s="5" t="s">
        <v>508</v>
      </c>
      <c r="H26" s="5" t="s">
        <v>479</v>
      </c>
      <c r="I26" s="5" t="s">
        <v>476</v>
      </c>
      <c r="J26" s="5" t="s">
        <v>480</v>
      </c>
      <c r="K26" s="5" t="s">
        <v>506</v>
      </c>
      <c r="L26" s="5" t="s">
        <v>38</v>
      </c>
      <c r="M26" s="5" t="s">
        <v>40</v>
      </c>
      <c r="N26" s="5" t="s">
        <v>38</v>
      </c>
      <c r="O26" s="5" t="s">
        <v>38</v>
      </c>
      <c r="P26" s="5" t="s">
        <v>38</v>
      </c>
      <c r="Q26" s="5" t="s">
        <v>39</v>
      </c>
      <c r="S26" s="6">
        <v>0.52800000000000002</v>
      </c>
      <c r="Z26" s="5" t="s">
        <v>478</v>
      </c>
      <c r="AC26" s="5" t="s">
        <v>83</v>
      </c>
      <c r="AN26" s="5" t="s">
        <v>536</v>
      </c>
    </row>
    <row r="27" spans="1:43" s="5" customFormat="1" x14ac:dyDescent="0.2">
      <c r="A27" s="5" t="s">
        <v>481</v>
      </c>
      <c r="B27" s="5">
        <v>2020</v>
      </c>
      <c r="C27" s="5" t="s">
        <v>285</v>
      </c>
      <c r="D27" s="5" t="s">
        <v>75</v>
      </c>
      <c r="F27" s="5" t="e" vm="7">
        <v>#VALUE!</v>
      </c>
      <c r="G27" s="5" t="s">
        <v>508</v>
      </c>
      <c r="H27" s="5" t="s">
        <v>479</v>
      </c>
      <c r="I27" s="5" t="s">
        <v>476</v>
      </c>
      <c r="J27" s="5" t="s">
        <v>480</v>
      </c>
      <c r="K27" s="5" t="s">
        <v>506</v>
      </c>
      <c r="L27" s="5" t="s">
        <v>38</v>
      </c>
      <c r="M27" s="5" t="s">
        <v>40</v>
      </c>
      <c r="N27" s="5" t="s">
        <v>38</v>
      </c>
      <c r="O27" s="5" t="s">
        <v>38</v>
      </c>
      <c r="P27" s="5" t="s">
        <v>38</v>
      </c>
      <c r="Q27" s="5" t="s">
        <v>39</v>
      </c>
      <c r="S27" s="6">
        <v>0.52900000000000003</v>
      </c>
      <c r="Z27" s="5" t="s">
        <v>478</v>
      </c>
      <c r="AC27" s="5" t="s">
        <v>83</v>
      </c>
      <c r="AN27" s="5" t="s">
        <v>536</v>
      </c>
    </row>
    <row r="28" spans="1:43" s="2" customFormat="1" x14ac:dyDescent="0.2">
      <c r="A28" s="2" t="s">
        <v>482</v>
      </c>
      <c r="B28" s="2">
        <v>2019</v>
      </c>
      <c r="C28" s="2" t="s">
        <v>91</v>
      </c>
      <c r="D28" s="2" t="s">
        <v>300</v>
      </c>
      <c r="F28" s="2" t="e" vm="5">
        <v>#VALUE!</v>
      </c>
      <c r="G28" s="2" t="s">
        <v>509</v>
      </c>
      <c r="H28" s="2" t="s">
        <v>484</v>
      </c>
      <c r="I28" s="2" t="s">
        <v>484</v>
      </c>
      <c r="J28" s="2" t="s">
        <v>485</v>
      </c>
      <c r="K28" s="2" t="s">
        <v>37</v>
      </c>
      <c r="L28" s="2" t="s">
        <v>38</v>
      </c>
      <c r="M28" s="2" t="s">
        <v>40</v>
      </c>
      <c r="N28" s="2" t="s">
        <v>38</v>
      </c>
      <c r="O28" s="2" t="s">
        <v>39</v>
      </c>
      <c r="P28" s="2" t="s">
        <v>39</v>
      </c>
      <c r="Q28" s="2" t="s">
        <v>40</v>
      </c>
      <c r="R28" s="2" t="s">
        <v>511</v>
      </c>
      <c r="S28" s="3">
        <v>0.76700000000000002</v>
      </c>
      <c r="T28" s="2" t="s">
        <v>513</v>
      </c>
      <c r="U28" s="3">
        <v>0.83330000000000004</v>
      </c>
      <c r="Z28" s="2" t="s">
        <v>483</v>
      </c>
      <c r="AC28" s="2" t="s">
        <v>83</v>
      </c>
      <c r="AD28" s="2" t="s">
        <v>456</v>
      </c>
      <c r="AE28" s="2" t="s">
        <v>434</v>
      </c>
      <c r="AF28" s="2" t="s">
        <v>290</v>
      </c>
      <c r="AG28" s="2">
        <v>31.43</v>
      </c>
      <c r="AH28" s="2">
        <v>30</v>
      </c>
      <c r="AI28" s="2">
        <v>18.18</v>
      </c>
      <c r="AJ28" s="2">
        <v>27.87</v>
      </c>
      <c r="AK28" s="2">
        <v>26</v>
      </c>
      <c r="AL28" s="2">
        <v>18.39</v>
      </c>
      <c r="AM28" s="2" t="s">
        <v>515</v>
      </c>
    </row>
    <row r="29" spans="1:43" s="2" customFormat="1" x14ac:dyDescent="0.2">
      <c r="A29" s="2" t="s">
        <v>482</v>
      </c>
      <c r="B29" s="2">
        <v>2019</v>
      </c>
      <c r="C29" s="2" t="s">
        <v>30</v>
      </c>
      <c r="D29" s="2" t="s">
        <v>31</v>
      </c>
      <c r="F29" s="2" t="e" vm="5">
        <v>#VALUE!</v>
      </c>
      <c r="G29" s="2" t="s">
        <v>509</v>
      </c>
      <c r="H29" s="2" t="s">
        <v>484</v>
      </c>
      <c r="I29" s="2" t="s">
        <v>484</v>
      </c>
      <c r="J29" s="2" t="s">
        <v>485</v>
      </c>
      <c r="K29" s="2" t="s">
        <v>37</v>
      </c>
      <c r="L29" s="2" t="s">
        <v>38</v>
      </c>
      <c r="M29" s="2" t="s">
        <v>40</v>
      </c>
      <c r="N29" s="2" t="s">
        <v>38</v>
      </c>
      <c r="O29" s="2" t="s">
        <v>39</v>
      </c>
      <c r="P29" s="2" t="s">
        <v>39</v>
      </c>
      <c r="Q29" s="2" t="s">
        <v>40</v>
      </c>
      <c r="R29" s="2" t="s">
        <v>512</v>
      </c>
      <c r="S29" s="3">
        <v>0.67700000000000005</v>
      </c>
      <c r="T29" s="2" t="s">
        <v>514</v>
      </c>
      <c r="U29" s="3">
        <v>0.74229999999999996</v>
      </c>
      <c r="Z29" s="2" t="s">
        <v>510</v>
      </c>
      <c r="AC29" s="2" t="s">
        <v>83</v>
      </c>
      <c r="AD29" s="2" t="s">
        <v>456</v>
      </c>
      <c r="AE29" s="2" t="s">
        <v>434</v>
      </c>
      <c r="AF29" s="2" t="s">
        <v>290</v>
      </c>
      <c r="AG29" s="2">
        <v>40.17</v>
      </c>
      <c r="AH29" s="2">
        <v>31</v>
      </c>
      <c r="AI29" s="2">
        <v>18.100000000000001</v>
      </c>
      <c r="AJ29" s="2">
        <v>40.700000000000003</v>
      </c>
      <c r="AK29" s="2">
        <v>28</v>
      </c>
      <c r="AL29" s="2">
        <v>17.66</v>
      </c>
      <c r="AM29" s="2" t="s">
        <v>515</v>
      </c>
    </row>
    <row r="30" spans="1:43" s="2" customFormat="1" x14ac:dyDescent="0.2">
      <c r="A30" s="2" t="s">
        <v>486</v>
      </c>
      <c r="B30" s="2">
        <v>2020</v>
      </c>
      <c r="C30" s="2" t="s">
        <v>355</v>
      </c>
      <c r="D30" s="2" t="s">
        <v>49</v>
      </c>
      <c r="F30" s="2" t="e" vm="1">
        <v>#VALUE!</v>
      </c>
      <c r="G30" s="2" t="s">
        <v>487</v>
      </c>
      <c r="H30" s="2" t="s">
        <v>488</v>
      </c>
      <c r="I30" s="2" t="s">
        <v>489</v>
      </c>
      <c r="J30" s="2" t="s">
        <v>165</v>
      </c>
      <c r="K30" s="2" t="s">
        <v>37</v>
      </c>
      <c r="L30" s="2" t="s">
        <v>490</v>
      </c>
      <c r="M30" s="2" t="s">
        <v>490</v>
      </c>
      <c r="N30" s="2" t="s">
        <v>40</v>
      </c>
      <c r="O30" s="2" t="s">
        <v>40</v>
      </c>
      <c r="P30" s="2" t="s">
        <v>40</v>
      </c>
      <c r="Q30" s="2" t="s">
        <v>40</v>
      </c>
      <c r="Z30" s="2" t="s">
        <v>523</v>
      </c>
      <c r="AC30" s="2" t="s">
        <v>83</v>
      </c>
      <c r="AD30" s="2" t="s">
        <v>456</v>
      </c>
      <c r="AE30" s="2" t="s">
        <v>457</v>
      </c>
      <c r="AF30" s="2" t="s">
        <v>290</v>
      </c>
      <c r="AG30" s="2">
        <v>55.36</v>
      </c>
      <c r="AH30" s="2">
        <v>157</v>
      </c>
      <c r="AI30" s="5">
        <f>0.45*SQRT(AH30)</f>
        <v>5.6384838387637508</v>
      </c>
      <c r="AJ30" s="2">
        <v>53.87</v>
      </c>
      <c r="AK30" s="2">
        <v>157</v>
      </c>
      <c r="AL30" s="5">
        <f>0.49*SQRT(AK30)</f>
        <v>6.1396824022094174</v>
      </c>
      <c r="AM30" s="2" t="s">
        <v>442</v>
      </c>
      <c r="AN30" s="5" t="s">
        <v>525</v>
      </c>
    </row>
    <row r="31" spans="1:43" s="2" customFormat="1" x14ac:dyDescent="0.2">
      <c r="A31" s="2" t="s">
        <v>486</v>
      </c>
      <c r="B31" s="2">
        <v>2020</v>
      </c>
      <c r="C31" s="2" t="s">
        <v>30</v>
      </c>
      <c r="D31" s="2" t="s">
        <v>31</v>
      </c>
      <c r="F31" s="2" t="e" vm="1">
        <v>#VALUE!</v>
      </c>
      <c r="G31" s="2" t="s">
        <v>487</v>
      </c>
      <c r="H31" s="2" t="s">
        <v>488</v>
      </c>
      <c r="I31" s="2" t="s">
        <v>489</v>
      </c>
      <c r="J31" s="2" t="s">
        <v>165</v>
      </c>
      <c r="K31" s="2" t="s">
        <v>37</v>
      </c>
      <c r="L31" s="2" t="s">
        <v>490</v>
      </c>
      <c r="M31" s="2" t="s">
        <v>490</v>
      </c>
      <c r="N31" s="2" t="s">
        <v>40</v>
      </c>
      <c r="O31" s="2" t="s">
        <v>40</v>
      </c>
      <c r="P31" s="2" t="s">
        <v>40</v>
      </c>
      <c r="Q31" s="2" t="s">
        <v>40</v>
      </c>
      <c r="Z31" s="2" t="s">
        <v>524</v>
      </c>
      <c r="AC31" s="2" t="s">
        <v>83</v>
      </c>
      <c r="AD31" s="2" t="s">
        <v>456</v>
      </c>
      <c r="AE31" s="2" t="s">
        <v>457</v>
      </c>
      <c r="AF31" s="2" t="s">
        <v>290</v>
      </c>
      <c r="AG31" s="2">
        <v>54.14</v>
      </c>
      <c r="AH31" s="2">
        <v>157</v>
      </c>
      <c r="AI31" s="5">
        <f>0.45*SQRT(AH31)</f>
        <v>5.6384838387637508</v>
      </c>
      <c r="AJ31" s="2">
        <v>19.61</v>
      </c>
      <c r="AK31" s="2">
        <v>157</v>
      </c>
      <c r="AL31" s="5">
        <f>0.49*SQRT(AK31)</f>
        <v>6.1396824022094174</v>
      </c>
      <c r="AM31" s="2" t="s">
        <v>442</v>
      </c>
      <c r="AN31" s="5" t="s">
        <v>525</v>
      </c>
    </row>
    <row r="32" spans="1:43" s="5" customFormat="1" x14ac:dyDescent="0.2">
      <c r="A32" s="5" t="s">
        <v>491</v>
      </c>
      <c r="B32" s="5">
        <v>2019</v>
      </c>
      <c r="C32" s="5" t="s">
        <v>91</v>
      </c>
      <c r="D32" s="5" t="s">
        <v>75</v>
      </c>
      <c r="F32" s="5" t="e" vm="2">
        <v>#VALUE!</v>
      </c>
      <c r="G32" s="5" t="s">
        <v>492</v>
      </c>
      <c r="H32" s="5" t="s">
        <v>493</v>
      </c>
      <c r="I32" s="5" t="s">
        <v>494</v>
      </c>
      <c r="J32" s="5" t="s">
        <v>165</v>
      </c>
      <c r="K32" s="5" t="s">
        <v>37</v>
      </c>
      <c r="L32" s="5" t="s">
        <v>490</v>
      </c>
      <c r="M32" s="5" t="s">
        <v>40</v>
      </c>
      <c r="N32" s="5" t="s">
        <v>38</v>
      </c>
      <c r="O32" s="5" t="s">
        <v>39</v>
      </c>
      <c r="P32" s="5" t="s">
        <v>39</v>
      </c>
      <c r="Q32" s="5" t="s">
        <v>40</v>
      </c>
      <c r="R32" s="5" t="s">
        <v>530</v>
      </c>
      <c r="T32" s="5" t="s">
        <v>532</v>
      </c>
      <c r="U32" s="11">
        <v>0.88</v>
      </c>
      <c r="Z32" s="5" t="s">
        <v>533</v>
      </c>
      <c r="AC32" s="5" t="s">
        <v>83</v>
      </c>
      <c r="AN32" s="5" t="s">
        <v>535</v>
      </c>
    </row>
    <row r="33" spans="1:40" s="5" customFormat="1" x14ac:dyDescent="0.2">
      <c r="A33" s="5" t="s">
        <v>491</v>
      </c>
      <c r="B33" s="5">
        <v>2019</v>
      </c>
      <c r="C33" s="5" t="s">
        <v>30</v>
      </c>
      <c r="D33" s="5" t="s">
        <v>31</v>
      </c>
      <c r="F33" s="5" t="e" vm="2">
        <v>#VALUE!</v>
      </c>
      <c r="G33" s="5" t="s">
        <v>492</v>
      </c>
      <c r="H33" s="5" t="s">
        <v>493</v>
      </c>
      <c r="I33" s="5" t="s">
        <v>494</v>
      </c>
      <c r="J33" s="5" t="s">
        <v>165</v>
      </c>
      <c r="K33" s="5" t="s">
        <v>37</v>
      </c>
      <c r="L33" s="5" t="s">
        <v>490</v>
      </c>
      <c r="M33" s="5" t="s">
        <v>40</v>
      </c>
      <c r="N33" s="5" t="s">
        <v>38</v>
      </c>
      <c r="O33" s="5" t="s">
        <v>39</v>
      </c>
      <c r="P33" s="5" t="s">
        <v>39</v>
      </c>
      <c r="Q33" s="5" t="s">
        <v>40</v>
      </c>
      <c r="R33" s="5" t="s">
        <v>529</v>
      </c>
      <c r="T33" s="5" t="s">
        <v>531</v>
      </c>
      <c r="U33" s="11">
        <v>0.72</v>
      </c>
      <c r="Z33" s="5" t="s">
        <v>534</v>
      </c>
      <c r="AC33" s="5" t="s">
        <v>83</v>
      </c>
      <c r="AN33" s="5" t="s">
        <v>535</v>
      </c>
    </row>
    <row r="34" spans="1:40" s="5" customFormat="1" x14ac:dyDescent="0.2">
      <c r="A34" s="5" t="s">
        <v>495</v>
      </c>
      <c r="B34" s="5">
        <v>2019</v>
      </c>
      <c r="C34" s="5" t="s">
        <v>91</v>
      </c>
      <c r="D34" s="5" t="s">
        <v>75</v>
      </c>
      <c r="F34" s="5" t="e" vm="7">
        <v>#VALUE!</v>
      </c>
      <c r="G34" s="5" t="s">
        <v>537</v>
      </c>
      <c r="H34" s="5" t="s">
        <v>497</v>
      </c>
      <c r="I34" s="5" t="s">
        <v>35</v>
      </c>
      <c r="J34" s="5" t="s">
        <v>94</v>
      </c>
      <c r="K34" s="5" t="s">
        <v>37</v>
      </c>
      <c r="L34" s="5" t="s">
        <v>38</v>
      </c>
      <c r="M34" s="5" t="s">
        <v>490</v>
      </c>
      <c r="N34" s="5" t="s">
        <v>39</v>
      </c>
      <c r="O34" s="5" t="s">
        <v>39</v>
      </c>
      <c r="P34" s="5" t="s">
        <v>39</v>
      </c>
      <c r="Q34" s="5" t="s">
        <v>39</v>
      </c>
      <c r="S34" s="6">
        <v>0.71430000000000005</v>
      </c>
      <c r="T34" s="5" t="s">
        <v>540</v>
      </c>
      <c r="U34" s="6">
        <v>0.55359999999999998</v>
      </c>
      <c r="Z34" s="5" t="s">
        <v>538</v>
      </c>
      <c r="AC34" s="5" t="s">
        <v>83</v>
      </c>
      <c r="AN34" s="5" t="s">
        <v>535</v>
      </c>
    </row>
    <row r="35" spans="1:40" s="5" customFormat="1" x14ac:dyDescent="0.2">
      <c r="A35" s="5" t="s">
        <v>495</v>
      </c>
      <c r="B35" s="5">
        <v>2019</v>
      </c>
      <c r="C35" s="5" t="s">
        <v>285</v>
      </c>
      <c r="D35" s="5" t="s">
        <v>31</v>
      </c>
      <c r="F35" s="5" t="e" vm="7">
        <v>#VALUE!</v>
      </c>
      <c r="G35" s="5" t="s">
        <v>537</v>
      </c>
      <c r="H35" s="5" t="s">
        <v>497</v>
      </c>
      <c r="I35" s="5" t="s">
        <v>35</v>
      </c>
      <c r="J35" s="5" t="s">
        <v>94</v>
      </c>
      <c r="K35" s="5" t="s">
        <v>37</v>
      </c>
      <c r="L35" s="5" t="s">
        <v>38</v>
      </c>
      <c r="M35" s="5" t="s">
        <v>490</v>
      </c>
      <c r="N35" s="5" t="s">
        <v>39</v>
      </c>
      <c r="O35" s="5" t="s">
        <v>39</v>
      </c>
      <c r="P35" s="5" t="s">
        <v>39</v>
      </c>
      <c r="Q35" s="5" t="s">
        <v>39</v>
      </c>
      <c r="S35" s="6">
        <v>0.63390000000000002</v>
      </c>
      <c r="T35" s="5" t="s">
        <v>541</v>
      </c>
      <c r="U35" s="6">
        <v>0.69640000000000002</v>
      </c>
      <c r="Z35" s="5" t="s">
        <v>539</v>
      </c>
      <c r="AC35" s="5" t="s">
        <v>83</v>
      </c>
      <c r="AN35" s="5" t="s">
        <v>535</v>
      </c>
    </row>
    <row r="36" spans="1:40" s="5" customFormat="1" x14ac:dyDescent="0.2">
      <c r="A36" s="5" t="s">
        <v>496</v>
      </c>
      <c r="B36" s="5">
        <v>2020</v>
      </c>
      <c r="C36" s="5" t="s">
        <v>91</v>
      </c>
      <c r="D36" s="5" t="s">
        <v>75</v>
      </c>
      <c r="F36" s="5" t="e" vm="2">
        <v>#VALUE!</v>
      </c>
      <c r="G36" s="5" t="s">
        <v>552</v>
      </c>
      <c r="K36" s="5" t="s">
        <v>37</v>
      </c>
      <c r="L36" s="5" t="s">
        <v>38</v>
      </c>
      <c r="M36" s="5" t="s">
        <v>490</v>
      </c>
      <c r="N36" s="5" t="s">
        <v>38</v>
      </c>
      <c r="O36" s="5" t="s">
        <v>38</v>
      </c>
      <c r="P36" s="5" t="s">
        <v>38</v>
      </c>
      <c r="Q36" s="5" t="s">
        <v>38</v>
      </c>
      <c r="Z36" s="5" t="s">
        <v>553</v>
      </c>
      <c r="AC36" s="5" t="s">
        <v>83</v>
      </c>
      <c r="AN36" s="5" t="s">
        <v>535</v>
      </c>
    </row>
    <row r="37" spans="1:40" s="5" customFormat="1" x14ac:dyDescent="0.2">
      <c r="A37" s="5" t="s">
        <v>496</v>
      </c>
      <c r="B37" s="5">
        <v>2020</v>
      </c>
      <c r="C37" s="5" t="s">
        <v>285</v>
      </c>
      <c r="D37" s="5" t="s">
        <v>31</v>
      </c>
      <c r="F37" s="5" t="e" vm="2">
        <v>#VALUE!</v>
      </c>
      <c r="G37" s="5" t="s">
        <v>552</v>
      </c>
      <c r="K37" s="5" t="s">
        <v>37</v>
      </c>
      <c r="L37" s="5" t="s">
        <v>38</v>
      </c>
      <c r="M37" s="5" t="s">
        <v>490</v>
      </c>
      <c r="N37" s="5" t="s">
        <v>38</v>
      </c>
      <c r="O37" s="5" t="s">
        <v>38</v>
      </c>
      <c r="P37" s="5" t="s">
        <v>38</v>
      </c>
      <c r="Q37" s="5" t="s">
        <v>38</v>
      </c>
      <c r="Z37" s="5" t="s">
        <v>554</v>
      </c>
      <c r="AC37" s="5" t="s">
        <v>83</v>
      </c>
      <c r="AN37" s="5" t="s">
        <v>535</v>
      </c>
    </row>
  </sheetData>
  <autoFilter ref="A1:AQ19" xr:uid="{00000000-0001-0000-0000-000000000000}"/>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B29"/>
  <sheetViews>
    <sheetView zoomScale="125" zoomScaleNormal="50" workbookViewId="0">
      <pane xSplit="3" ySplit="9" topLeftCell="D10" activePane="bottomRight" state="frozen"/>
      <selection pane="topRight" activeCell="D1" sqref="D1"/>
      <selection pane="bottomLeft" activeCell="A10" sqref="A10"/>
      <selection pane="bottomRight" activeCell="A4" sqref="A4"/>
    </sheetView>
  </sheetViews>
  <sheetFormatPr baseColWidth="10" defaultRowHeight="15" x14ac:dyDescent="0.2"/>
  <cols>
    <col min="2" max="39" width="10.83203125" customWidth="1"/>
  </cols>
  <sheetData>
    <row r="1" spans="1:54" x14ac:dyDescent="0.2">
      <c r="A1" t="s">
        <v>0</v>
      </c>
      <c r="B1" t="s">
        <v>1</v>
      </c>
      <c r="C1" t="s">
        <v>2</v>
      </c>
      <c r="D1" t="s">
        <v>3</v>
      </c>
      <c r="E1" t="s">
        <v>4</v>
      </c>
      <c r="F1" t="s">
        <v>5</v>
      </c>
      <c r="G1" t="s">
        <v>6</v>
      </c>
      <c r="H1" t="s">
        <v>7</v>
      </c>
      <c r="I1" t="s">
        <v>8</v>
      </c>
      <c r="J1" t="s">
        <v>9</v>
      </c>
      <c r="K1" t="s">
        <v>10</v>
      </c>
      <c r="L1" t="s">
        <v>272</v>
      </c>
      <c r="M1" t="s">
        <v>273</v>
      </c>
      <c r="N1" t="s">
        <v>274</v>
      </c>
      <c r="O1" t="s">
        <v>275</v>
      </c>
      <c r="P1" t="s">
        <v>276</v>
      </c>
      <c r="Q1" t="s">
        <v>277</v>
      </c>
      <c r="R1" t="s">
        <v>278</v>
      </c>
      <c r="S1" t="s">
        <v>279</v>
      </c>
      <c r="T1" t="s">
        <v>280</v>
      </c>
      <c r="U1" t="s">
        <v>281</v>
      </c>
      <c r="V1" t="s">
        <v>11</v>
      </c>
      <c r="W1" t="s">
        <v>12</v>
      </c>
      <c r="X1" t="s">
        <v>13</v>
      </c>
      <c r="Y1" t="s">
        <v>14</v>
      </c>
      <c r="Z1" t="s">
        <v>15</v>
      </c>
      <c r="AA1" t="s">
        <v>16</v>
      </c>
      <c r="AB1" t="s">
        <v>17</v>
      </c>
      <c r="AC1" t="s">
        <v>18</v>
      </c>
      <c r="AD1" t="s">
        <v>19</v>
      </c>
      <c r="AE1" t="s">
        <v>20</v>
      </c>
      <c r="AF1" t="s">
        <v>22</v>
      </c>
      <c r="AG1" t="s">
        <v>23</v>
      </c>
      <c r="AH1" t="s">
        <v>24</v>
      </c>
      <c r="AI1" t="s">
        <v>25</v>
      </c>
      <c r="AJ1" t="s">
        <v>282</v>
      </c>
      <c r="AK1" t="s">
        <v>26</v>
      </c>
      <c r="AL1" t="s">
        <v>283</v>
      </c>
      <c r="AM1" t="s">
        <v>28</v>
      </c>
      <c r="AN1" t="s">
        <v>455</v>
      </c>
      <c r="AO1" t="s">
        <v>425</v>
      </c>
      <c r="AP1" t="s">
        <v>435</v>
      </c>
      <c r="AQ1" t="s">
        <v>426</v>
      </c>
      <c r="AR1" t="s">
        <v>427</v>
      </c>
      <c r="AS1" t="s">
        <v>428</v>
      </c>
      <c r="AT1" t="s">
        <v>429</v>
      </c>
      <c r="AU1" t="s">
        <v>430</v>
      </c>
      <c r="AV1" t="s">
        <v>431</v>
      </c>
      <c r="AW1" t="s">
        <v>432</v>
      </c>
      <c r="AX1" t="s">
        <v>443</v>
      </c>
      <c r="AY1" t="s">
        <v>444</v>
      </c>
      <c r="AZ1" t="s">
        <v>445</v>
      </c>
      <c r="BA1" t="s">
        <v>446</v>
      </c>
      <c r="BB1" t="s">
        <v>432</v>
      </c>
    </row>
    <row r="2" spans="1:54" s="9" customFormat="1" x14ac:dyDescent="0.2">
      <c r="A2" s="9" t="s">
        <v>90</v>
      </c>
      <c r="B2" s="9">
        <v>2011</v>
      </c>
      <c r="C2" s="9" t="s">
        <v>91</v>
      </c>
      <c r="D2" s="9" t="s">
        <v>49</v>
      </c>
      <c r="E2" s="9" t="s">
        <v>50</v>
      </c>
      <c r="F2" s="9" t="s">
        <v>92</v>
      </c>
      <c r="G2" s="9" t="s">
        <v>93</v>
      </c>
      <c r="H2" s="9" t="s">
        <v>34</v>
      </c>
      <c r="I2" s="9" t="s">
        <v>35</v>
      </c>
      <c r="J2" s="9" t="s">
        <v>94</v>
      </c>
      <c r="K2" s="9" t="s">
        <v>37</v>
      </c>
      <c r="V2" s="9" t="s">
        <v>38</v>
      </c>
      <c r="W2" s="9" t="s">
        <v>39</v>
      </c>
      <c r="X2" s="9" t="s">
        <v>38</v>
      </c>
      <c r="Y2" s="9" t="s">
        <v>40</v>
      </c>
      <c r="Z2" s="9" t="s">
        <v>39</v>
      </c>
      <c r="AA2" s="9" t="s">
        <v>40</v>
      </c>
      <c r="AB2" s="9" t="s">
        <v>95</v>
      </c>
      <c r="AC2" s="9" t="s">
        <v>96</v>
      </c>
      <c r="AD2" s="9" t="s">
        <v>97</v>
      </c>
      <c r="AE2" s="9" t="s">
        <v>98</v>
      </c>
      <c r="AI2" s="9" t="s">
        <v>99</v>
      </c>
      <c r="AK2" s="9" t="s">
        <v>100</v>
      </c>
      <c r="AM2" s="9" t="s">
        <v>57</v>
      </c>
      <c r="AN2" s="9" t="s">
        <v>453</v>
      </c>
      <c r="AO2" s="9" t="s">
        <v>454</v>
      </c>
      <c r="AP2" s="9" t="s">
        <v>436</v>
      </c>
      <c r="AT2" s="9">
        <v>-0.14000000000000001</v>
      </c>
      <c r="AU2" s="9">
        <v>27</v>
      </c>
      <c r="AV2" s="9">
        <v>0.26500000000000001</v>
      </c>
      <c r="AX2" s="5" t="s">
        <v>548</v>
      </c>
    </row>
    <row r="3" spans="1:54" s="9" customFormat="1" x14ac:dyDescent="0.2">
      <c r="A3" s="9" t="s">
        <v>90</v>
      </c>
      <c r="B3" s="9">
        <v>2011</v>
      </c>
      <c r="C3" s="9" t="s">
        <v>101</v>
      </c>
      <c r="D3" s="9" t="s">
        <v>31</v>
      </c>
      <c r="E3" s="9" t="s">
        <v>31</v>
      </c>
      <c r="F3" s="9" t="s">
        <v>92</v>
      </c>
      <c r="G3" s="9" t="s">
        <v>93</v>
      </c>
      <c r="H3" s="9" t="s">
        <v>34</v>
      </c>
      <c r="I3" s="9" t="s">
        <v>35</v>
      </c>
      <c r="J3" s="9" t="s">
        <v>94</v>
      </c>
      <c r="K3" s="9" t="s">
        <v>37</v>
      </c>
      <c r="V3" s="9" t="s">
        <v>38</v>
      </c>
      <c r="W3" s="9" t="s">
        <v>39</v>
      </c>
      <c r="X3" s="9" t="s">
        <v>38</v>
      </c>
      <c r="Y3" s="9" t="s">
        <v>40</v>
      </c>
      <c r="Z3" s="9" t="s">
        <v>39</v>
      </c>
      <c r="AA3" s="9" t="s">
        <v>40</v>
      </c>
      <c r="AB3" s="9" t="s">
        <v>102</v>
      </c>
      <c r="AC3" s="9" t="s">
        <v>103</v>
      </c>
      <c r="AD3" s="9" t="s">
        <v>104</v>
      </c>
      <c r="AE3" s="9" t="s">
        <v>105</v>
      </c>
      <c r="AI3" s="9" t="s">
        <v>106</v>
      </c>
      <c r="AK3" s="9" t="s">
        <v>107</v>
      </c>
      <c r="AM3" s="9" t="s">
        <v>47</v>
      </c>
      <c r="AN3" s="9" t="s">
        <v>453</v>
      </c>
      <c r="AO3" s="9" t="s">
        <v>454</v>
      </c>
      <c r="AP3" s="9" t="s">
        <v>436</v>
      </c>
      <c r="AU3" s="9">
        <v>29</v>
      </c>
      <c r="AX3" s="5" t="s">
        <v>548</v>
      </c>
    </row>
    <row r="4" spans="1:54" s="9" customFormat="1" x14ac:dyDescent="0.2">
      <c r="A4" s="9" t="s">
        <v>90</v>
      </c>
      <c r="B4" s="9">
        <v>2011</v>
      </c>
      <c r="C4" s="9" t="s">
        <v>91</v>
      </c>
      <c r="D4" s="9" t="s">
        <v>49</v>
      </c>
      <c r="E4" s="9" t="s">
        <v>50</v>
      </c>
      <c r="F4" s="9" t="s">
        <v>92</v>
      </c>
      <c r="G4" s="9" t="s">
        <v>93</v>
      </c>
      <c r="H4" s="9" t="s">
        <v>34</v>
      </c>
      <c r="I4" s="9" t="s">
        <v>35</v>
      </c>
      <c r="J4" s="9" t="s">
        <v>94</v>
      </c>
      <c r="K4" s="9" t="s">
        <v>37</v>
      </c>
      <c r="V4" s="9" t="s">
        <v>38</v>
      </c>
      <c r="W4" s="9" t="s">
        <v>39</v>
      </c>
      <c r="X4" s="9" t="s">
        <v>38</v>
      </c>
      <c r="Y4" s="9" t="s">
        <v>40</v>
      </c>
      <c r="Z4" s="9" t="s">
        <v>39</v>
      </c>
      <c r="AA4" s="9" t="s">
        <v>40</v>
      </c>
      <c r="AB4" s="9" t="s">
        <v>95</v>
      </c>
      <c r="AC4" s="9" t="s">
        <v>96</v>
      </c>
      <c r="AD4" s="9" t="s">
        <v>97</v>
      </c>
      <c r="AE4" s="9" t="s">
        <v>98</v>
      </c>
      <c r="AI4" s="9" t="s">
        <v>99</v>
      </c>
      <c r="AK4" s="9" t="s">
        <v>100</v>
      </c>
      <c r="AM4" s="9" t="s">
        <v>57</v>
      </c>
      <c r="AN4" s="9" t="s">
        <v>547</v>
      </c>
      <c r="AO4" s="9" t="s">
        <v>460</v>
      </c>
      <c r="AP4" s="9" t="s">
        <v>436</v>
      </c>
      <c r="AT4" s="9">
        <v>0.1</v>
      </c>
      <c r="AU4" s="9">
        <v>27</v>
      </c>
      <c r="AV4" s="9">
        <v>0.28749999999999998</v>
      </c>
      <c r="AX4" s="5" t="s">
        <v>548</v>
      </c>
    </row>
    <row r="5" spans="1:54" s="9" customFormat="1" x14ac:dyDescent="0.2">
      <c r="A5" s="9" t="s">
        <v>90</v>
      </c>
      <c r="B5" s="9">
        <v>2011</v>
      </c>
      <c r="C5" s="9" t="s">
        <v>101</v>
      </c>
      <c r="D5" s="9" t="s">
        <v>31</v>
      </c>
      <c r="E5" s="9" t="s">
        <v>31</v>
      </c>
      <c r="F5" s="9" t="s">
        <v>92</v>
      </c>
      <c r="G5" s="9" t="s">
        <v>93</v>
      </c>
      <c r="H5" s="9" t="s">
        <v>34</v>
      </c>
      <c r="I5" s="9" t="s">
        <v>35</v>
      </c>
      <c r="J5" s="9" t="s">
        <v>94</v>
      </c>
      <c r="K5" s="9" t="s">
        <v>37</v>
      </c>
      <c r="V5" s="9" t="s">
        <v>38</v>
      </c>
      <c r="W5" s="9" t="s">
        <v>39</v>
      </c>
      <c r="X5" s="9" t="s">
        <v>38</v>
      </c>
      <c r="Y5" s="9" t="s">
        <v>40</v>
      </c>
      <c r="Z5" s="9" t="s">
        <v>39</v>
      </c>
      <c r="AA5" s="9" t="s">
        <v>40</v>
      </c>
      <c r="AB5" s="9" t="s">
        <v>102</v>
      </c>
      <c r="AC5" s="9" t="s">
        <v>103</v>
      </c>
      <c r="AD5" s="9" t="s">
        <v>104</v>
      </c>
      <c r="AE5" s="9" t="s">
        <v>105</v>
      </c>
      <c r="AI5" s="9" t="s">
        <v>106</v>
      </c>
      <c r="AK5" s="9" t="s">
        <v>107</v>
      </c>
      <c r="AM5" s="9" t="s">
        <v>47</v>
      </c>
      <c r="AN5" s="9" t="s">
        <v>547</v>
      </c>
      <c r="AO5" s="9" t="s">
        <v>460</v>
      </c>
      <c r="AP5" s="9" t="s">
        <v>436</v>
      </c>
      <c r="AU5" s="9">
        <v>29</v>
      </c>
      <c r="AX5" s="5" t="s">
        <v>548</v>
      </c>
    </row>
    <row r="6" spans="1:54" s="9" customFormat="1" x14ac:dyDescent="0.2">
      <c r="A6" s="9" t="s">
        <v>90</v>
      </c>
      <c r="B6" s="9">
        <v>2011</v>
      </c>
      <c r="C6" s="9" t="s">
        <v>91</v>
      </c>
      <c r="D6" s="9" t="s">
        <v>49</v>
      </c>
      <c r="E6" s="9" t="s">
        <v>50</v>
      </c>
      <c r="F6" s="9" t="s">
        <v>92</v>
      </c>
      <c r="G6" s="9" t="s">
        <v>93</v>
      </c>
      <c r="H6" s="9" t="s">
        <v>34</v>
      </c>
      <c r="I6" s="9" t="s">
        <v>35</v>
      </c>
      <c r="J6" s="9" t="s">
        <v>94</v>
      </c>
      <c r="K6" s="9" t="s">
        <v>37</v>
      </c>
      <c r="V6" s="9" t="s">
        <v>38</v>
      </c>
      <c r="W6" s="9" t="s">
        <v>39</v>
      </c>
      <c r="X6" s="9" t="s">
        <v>38</v>
      </c>
      <c r="Y6" s="9" t="s">
        <v>40</v>
      </c>
      <c r="Z6" s="9" t="s">
        <v>39</v>
      </c>
      <c r="AA6" s="9" t="s">
        <v>40</v>
      </c>
      <c r="AB6" s="9" t="s">
        <v>95</v>
      </c>
      <c r="AC6" s="9" t="s">
        <v>96</v>
      </c>
      <c r="AD6" s="9" t="s">
        <v>97</v>
      </c>
      <c r="AE6" s="9" t="s">
        <v>98</v>
      </c>
      <c r="AI6" s="9" t="s">
        <v>99</v>
      </c>
      <c r="AK6" s="9" t="s">
        <v>100</v>
      </c>
      <c r="AM6" s="9" t="s">
        <v>57</v>
      </c>
      <c r="AN6" s="9" t="s">
        <v>452</v>
      </c>
      <c r="AO6" s="9" t="s">
        <v>451</v>
      </c>
      <c r="AP6" s="9" t="s">
        <v>436</v>
      </c>
      <c r="AT6" s="9">
        <v>-0.09</v>
      </c>
      <c r="AU6" s="9">
        <v>27</v>
      </c>
      <c r="AV6" s="9">
        <v>0.28000000000000003</v>
      </c>
      <c r="AX6" s="5" t="s">
        <v>548</v>
      </c>
    </row>
    <row r="7" spans="1:54" s="9" customFormat="1" x14ac:dyDescent="0.2">
      <c r="A7" s="9" t="s">
        <v>90</v>
      </c>
      <c r="B7" s="9">
        <v>2011</v>
      </c>
      <c r="C7" s="9" t="s">
        <v>101</v>
      </c>
      <c r="D7" s="9" t="s">
        <v>31</v>
      </c>
      <c r="E7" s="9" t="s">
        <v>31</v>
      </c>
      <c r="F7" s="9" t="s">
        <v>92</v>
      </c>
      <c r="G7" s="9" t="s">
        <v>93</v>
      </c>
      <c r="H7" s="9" t="s">
        <v>34</v>
      </c>
      <c r="I7" s="9" t="s">
        <v>35</v>
      </c>
      <c r="J7" s="9" t="s">
        <v>94</v>
      </c>
      <c r="K7" s="9" t="s">
        <v>37</v>
      </c>
      <c r="V7" s="9" t="s">
        <v>38</v>
      </c>
      <c r="W7" s="9" t="s">
        <v>39</v>
      </c>
      <c r="X7" s="9" t="s">
        <v>38</v>
      </c>
      <c r="Y7" s="9" t="s">
        <v>40</v>
      </c>
      <c r="Z7" s="9" t="s">
        <v>39</v>
      </c>
      <c r="AA7" s="9" t="s">
        <v>40</v>
      </c>
      <c r="AB7" s="9" t="s">
        <v>102</v>
      </c>
      <c r="AC7" s="9" t="s">
        <v>103</v>
      </c>
      <c r="AD7" s="9" t="s">
        <v>104</v>
      </c>
      <c r="AE7" s="9" t="s">
        <v>105</v>
      </c>
      <c r="AI7" s="9" t="s">
        <v>106</v>
      </c>
      <c r="AK7" s="9" t="s">
        <v>107</v>
      </c>
      <c r="AM7" s="9" t="s">
        <v>47</v>
      </c>
      <c r="AN7" s="9" t="s">
        <v>452</v>
      </c>
      <c r="AO7" s="9" t="s">
        <v>451</v>
      </c>
      <c r="AP7" s="9" t="s">
        <v>436</v>
      </c>
      <c r="AU7" s="9">
        <v>29</v>
      </c>
    </row>
    <row r="8" spans="1:54" x14ac:dyDescent="0.2">
      <c r="A8" t="s">
        <v>338</v>
      </c>
      <c r="B8">
        <v>2014</v>
      </c>
      <c r="C8" t="s">
        <v>339</v>
      </c>
      <c r="D8" t="s">
        <v>31</v>
      </c>
      <c r="E8" t="s">
        <v>31</v>
      </c>
      <c r="F8" t="s">
        <v>59</v>
      </c>
      <c r="G8" t="s">
        <v>340</v>
      </c>
      <c r="H8" t="s">
        <v>113</v>
      </c>
      <c r="I8" t="s">
        <v>35</v>
      </c>
      <c r="J8" t="s">
        <v>61</v>
      </c>
      <c r="V8" t="s">
        <v>40</v>
      </c>
      <c r="W8" t="s">
        <v>40</v>
      </c>
      <c r="X8" t="s">
        <v>40</v>
      </c>
      <c r="Y8" t="s">
        <v>40</v>
      </c>
      <c r="Z8" t="s">
        <v>39</v>
      </c>
      <c r="AA8" t="s">
        <v>40</v>
      </c>
      <c r="AE8" t="s">
        <v>341</v>
      </c>
      <c r="AN8" t="s">
        <v>458</v>
      </c>
      <c r="AO8" t="s">
        <v>457</v>
      </c>
      <c r="AP8" t="s">
        <v>290</v>
      </c>
      <c r="AQ8" t="s">
        <v>349</v>
      </c>
      <c r="AR8" t="s">
        <v>343</v>
      </c>
      <c r="AS8" t="s">
        <v>350</v>
      </c>
      <c r="AT8" t="s">
        <v>347</v>
      </c>
      <c r="AU8" t="s">
        <v>343</v>
      </c>
      <c r="AV8" t="s">
        <v>348</v>
      </c>
    </row>
    <row r="9" spans="1:54" x14ac:dyDescent="0.2">
      <c r="A9" t="s">
        <v>338</v>
      </c>
      <c r="B9">
        <v>2014</v>
      </c>
      <c r="C9" t="s">
        <v>355</v>
      </c>
      <c r="D9" t="s">
        <v>75</v>
      </c>
      <c r="E9" t="s">
        <v>110</v>
      </c>
      <c r="F9" t="s">
        <v>59</v>
      </c>
      <c r="G9" t="s">
        <v>340</v>
      </c>
      <c r="H9" t="s">
        <v>113</v>
      </c>
      <c r="I9" t="s">
        <v>35</v>
      </c>
      <c r="J9" t="s">
        <v>61</v>
      </c>
      <c r="V9" t="s">
        <v>40</v>
      </c>
      <c r="W9" t="s">
        <v>40</v>
      </c>
      <c r="X9" t="s">
        <v>40</v>
      </c>
      <c r="Y9" t="s">
        <v>40</v>
      </c>
      <c r="Z9" t="s">
        <v>39</v>
      </c>
      <c r="AA9" t="s">
        <v>40</v>
      </c>
      <c r="AE9" t="s">
        <v>341</v>
      </c>
      <c r="AN9" t="s">
        <v>458</v>
      </c>
      <c r="AO9" t="s">
        <v>457</v>
      </c>
      <c r="AP9" t="s">
        <v>290</v>
      </c>
      <c r="AQ9" t="s">
        <v>157</v>
      </c>
      <c r="AR9" t="s">
        <v>343</v>
      </c>
      <c r="AS9" t="s">
        <v>364</v>
      </c>
      <c r="AT9" t="s">
        <v>362</v>
      </c>
      <c r="AU9" t="s">
        <v>343</v>
      </c>
      <c r="AV9" t="s">
        <v>363</v>
      </c>
      <c r="AY9" t="s">
        <v>311</v>
      </c>
      <c r="AZ9" t="s">
        <v>343</v>
      </c>
      <c r="BA9" t="s">
        <v>251</v>
      </c>
    </row>
    <row r="10" spans="1:54" s="2" customFormat="1" x14ac:dyDescent="0.2">
      <c r="A10" s="2" t="s">
        <v>472</v>
      </c>
      <c r="B10" s="2">
        <v>2020</v>
      </c>
      <c r="C10" s="2" t="s">
        <v>501</v>
      </c>
      <c r="D10" s="2" t="s">
        <v>49</v>
      </c>
      <c r="F10" s="2" t="s">
        <v>474</v>
      </c>
      <c r="G10" s="2" t="s">
        <v>498</v>
      </c>
      <c r="H10" s="2" t="s">
        <v>475</v>
      </c>
      <c r="I10" s="2" t="s">
        <v>476</v>
      </c>
      <c r="J10" s="2" t="s">
        <v>477</v>
      </c>
      <c r="K10" s="2" t="s">
        <v>37</v>
      </c>
      <c r="V10" s="2" t="s">
        <v>38</v>
      </c>
      <c r="W10" s="2" t="s">
        <v>39</v>
      </c>
      <c r="X10" s="2" t="s">
        <v>38</v>
      </c>
      <c r="Y10" s="2" t="s">
        <v>39</v>
      </c>
      <c r="Z10" s="2" t="s">
        <v>38</v>
      </c>
      <c r="AA10" s="2" t="s">
        <v>38</v>
      </c>
      <c r="AC10" s="4">
        <v>0.76</v>
      </c>
      <c r="AD10" s="2" t="s">
        <v>503</v>
      </c>
      <c r="AE10" s="4">
        <v>0.92</v>
      </c>
      <c r="AI10" s="2" t="s">
        <v>473</v>
      </c>
      <c r="AM10" s="2" t="s">
        <v>83</v>
      </c>
      <c r="AN10" s="2" t="s">
        <v>504</v>
      </c>
      <c r="AO10" s="2" t="s">
        <v>505</v>
      </c>
      <c r="AP10" s="2" t="s">
        <v>290</v>
      </c>
      <c r="AQ10" s="2">
        <v>4.0999999999999996</v>
      </c>
      <c r="AR10" s="2">
        <v>25</v>
      </c>
      <c r="AS10" s="2">
        <v>3</v>
      </c>
      <c r="AT10" s="2">
        <v>0.9</v>
      </c>
      <c r="AU10" s="2">
        <v>25</v>
      </c>
      <c r="AV10" s="2">
        <v>1</v>
      </c>
      <c r="AW10" s="2" t="s">
        <v>447</v>
      </c>
    </row>
    <row r="11" spans="1:54" s="2" customFormat="1" x14ac:dyDescent="0.2">
      <c r="A11" s="2" t="s">
        <v>472</v>
      </c>
      <c r="B11" s="2">
        <v>2020</v>
      </c>
      <c r="C11" s="2" t="s">
        <v>499</v>
      </c>
      <c r="D11" s="2" t="s">
        <v>31</v>
      </c>
      <c r="F11" s="2" t="s">
        <v>474</v>
      </c>
      <c r="G11" s="2" t="s">
        <v>498</v>
      </c>
      <c r="H11" s="2" t="s">
        <v>475</v>
      </c>
      <c r="I11" s="2" t="s">
        <v>476</v>
      </c>
      <c r="J11" s="2" t="s">
        <v>477</v>
      </c>
      <c r="K11" s="2" t="s">
        <v>37</v>
      </c>
      <c r="V11" s="2" t="s">
        <v>38</v>
      </c>
      <c r="W11" s="2" t="s">
        <v>39</v>
      </c>
      <c r="X11" s="2" t="s">
        <v>38</v>
      </c>
      <c r="Y11" s="2" t="s">
        <v>39</v>
      </c>
      <c r="Z11" s="2" t="s">
        <v>38</v>
      </c>
      <c r="AA11" s="2" t="s">
        <v>38</v>
      </c>
      <c r="AC11" s="3">
        <v>0.76900000000000002</v>
      </c>
      <c r="AD11" s="2" t="s">
        <v>502</v>
      </c>
      <c r="AE11" s="3">
        <v>0.80800000000000005</v>
      </c>
      <c r="AI11" s="2" t="s">
        <v>500</v>
      </c>
      <c r="AM11" s="2" t="s">
        <v>83</v>
      </c>
      <c r="AN11" s="2" t="s">
        <v>504</v>
      </c>
      <c r="AO11" s="2" t="s">
        <v>505</v>
      </c>
      <c r="AP11" s="2" t="s">
        <v>290</v>
      </c>
      <c r="AQ11" s="2">
        <v>4.5999999999999996</v>
      </c>
      <c r="AR11" s="2">
        <v>26</v>
      </c>
      <c r="AS11" s="2">
        <v>2.8</v>
      </c>
      <c r="AT11" s="2">
        <v>2.9</v>
      </c>
      <c r="AU11" s="2">
        <v>26</v>
      </c>
      <c r="AV11" s="2">
        <v>2.8</v>
      </c>
      <c r="AW11" s="2" t="s">
        <v>447</v>
      </c>
    </row>
    <row r="12" spans="1:54" s="5" customFormat="1" x14ac:dyDescent="0.2">
      <c r="A12" s="5" t="s">
        <v>482</v>
      </c>
      <c r="B12" s="5">
        <v>2019</v>
      </c>
      <c r="C12" s="5" t="s">
        <v>91</v>
      </c>
      <c r="D12" s="5" t="s">
        <v>300</v>
      </c>
      <c r="F12" s="5" t="s">
        <v>163</v>
      </c>
      <c r="G12" s="5" t="s">
        <v>509</v>
      </c>
      <c r="H12" s="5" t="s">
        <v>484</v>
      </c>
      <c r="I12" s="5" t="s">
        <v>484</v>
      </c>
      <c r="J12" s="5" t="s">
        <v>485</v>
      </c>
      <c r="K12" s="5" t="s">
        <v>37</v>
      </c>
      <c r="V12" s="5" t="s">
        <v>38</v>
      </c>
      <c r="W12" s="5" t="s">
        <v>40</v>
      </c>
      <c r="X12" s="5" t="s">
        <v>38</v>
      </c>
      <c r="Y12" s="5" t="s">
        <v>39</v>
      </c>
      <c r="Z12" s="5" t="s">
        <v>39</v>
      </c>
      <c r="AA12" s="5" t="s">
        <v>40</v>
      </c>
      <c r="AB12" s="5" t="s">
        <v>511</v>
      </c>
      <c r="AC12" s="6">
        <v>0.76700000000000002</v>
      </c>
      <c r="AD12" s="5" t="s">
        <v>513</v>
      </c>
      <c r="AE12" s="6">
        <v>0.83330000000000004</v>
      </c>
      <c r="AI12" s="5" t="s">
        <v>483</v>
      </c>
      <c r="AM12" s="5" t="s">
        <v>83</v>
      </c>
      <c r="AN12" s="5" t="s">
        <v>458</v>
      </c>
      <c r="AO12" s="5" t="s">
        <v>516</v>
      </c>
      <c r="AP12" s="5" t="s">
        <v>290</v>
      </c>
      <c r="AQ12" s="5">
        <v>11.87</v>
      </c>
      <c r="AR12" s="5">
        <v>30</v>
      </c>
      <c r="AS12" s="5">
        <v>9.73</v>
      </c>
      <c r="AT12" s="5">
        <v>10.5</v>
      </c>
      <c r="AU12" s="5">
        <v>26</v>
      </c>
      <c r="AV12" s="5">
        <v>8.6999999999999993</v>
      </c>
      <c r="AW12" s="5" t="s">
        <v>515</v>
      </c>
      <c r="AX12" s="5" t="s">
        <v>517</v>
      </c>
    </row>
    <row r="13" spans="1:54" s="5" customFormat="1" x14ac:dyDescent="0.2">
      <c r="A13" s="5" t="s">
        <v>482</v>
      </c>
      <c r="B13" s="5">
        <v>2019</v>
      </c>
      <c r="C13" s="5" t="s">
        <v>30</v>
      </c>
      <c r="D13" s="5" t="s">
        <v>31</v>
      </c>
      <c r="F13" s="5" t="s">
        <v>163</v>
      </c>
      <c r="G13" s="5" t="s">
        <v>509</v>
      </c>
      <c r="H13" s="5" t="s">
        <v>484</v>
      </c>
      <c r="I13" s="5" t="s">
        <v>484</v>
      </c>
      <c r="J13" s="5" t="s">
        <v>485</v>
      </c>
      <c r="K13" s="5" t="s">
        <v>37</v>
      </c>
      <c r="V13" s="5" t="s">
        <v>38</v>
      </c>
      <c r="W13" s="5" t="s">
        <v>40</v>
      </c>
      <c r="X13" s="5" t="s">
        <v>38</v>
      </c>
      <c r="Y13" s="5" t="s">
        <v>39</v>
      </c>
      <c r="Z13" s="5" t="s">
        <v>39</v>
      </c>
      <c r="AA13" s="5" t="s">
        <v>40</v>
      </c>
      <c r="AB13" s="5" t="s">
        <v>512</v>
      </c>
      <c r="AC13" s="6">
        <v>0.67700000000000005</v>
      </c>
      <c r="AD13" s="5" t="s">
        <v>514</v>
      </c>
      <c r="AE13" s="6">
        <v>0.74229999999999996</v>
      </c>
      <c r="AI13" s="5" t="s">
        <v>510</v>
      </c>
      <c r="AM13" s="5" t="s">
        <v>83</v>
      </c>
      <c r="AN13" s="5" t="s">
        <v>458</v>
      </c>
      <c r="AO13" s="5" t="s">
        <v>516</v>
      </c>
      <c r="AP13" s="5" t="s">
        <v>290</v>
      </c>
      <c r="AQ13" s="5">
        <v>9.35</v>
      </c>
      <c r="AR13" s="5">
        <v>31</v>
      </c>
      <c r="AS13" s="5">
        <v>8.06</v>
      </c>
      <c r="AT13" s="5">
        <v>14.64</v>
      </c>
      <c r="AU13" s="5">
        <v>28</v>
      </c>
      <c r="AV13" s="5">
        <v>10.06</v>
      </c>
      <c r="AW13" s="5" t="s">
        <v>515</v>
      </c>
      <c r="AX13" s="5" t="s">
        <v>517</v>
      </c>
    </row>
    <row r="14" spans="1:54" s="5" customFormat="1" x14ac:dyDescent="0.2">
      <c r="A14" s="5" t="s">
        <v>482</v>
      </c>
      <c r="B14" s="5">
        <v>2019</v>
      </c>
      <c r="C14" s="5" t="s">
        <v>91</v>
      </c>
      <c r="D14" s="5" t="s">
        <v>300</v>
      </c>
      <c r="F14" s="5" t="s">
        <v>163</v>
      </c>
      <c r="G14" s="5" t="s">
        <v>509</v>
      </c>
      <c r="H14" s="5" t="s">
        <v>484</v>
      </c>
      <c r="I14" s="5" t="s">
        <v>484</v>
      </c>
      <c r="J14" s="5" t="s">
        <v>485</v>
      </c>
      <c r="K14" s="5" t="s">
        <v>37</v>
      </c>
      <c r="V14" s="5" t="s">
        <v>38</v>
      </c>
      <c r="W14" s="5" t="s">
        <v>40</v>
      </c>
      <c r="X14" s="5" t="s">
        <v>38</v>
      </c>
      <c r="Y14" s="5" t="s">
        <v>39</v>
      </c>
      <c r="Z14" s="5" t="s">
        <v>39</v>
      </c>
      <c r="AA14" s="5" t="s">
        <v>40</v>
      </c>
      <c r="AB14" s="5" t="s">
        <v>511</v>
      </c>
      <c r="AC14" s="6">
        <v>0.76700000000000002</v>
      </c>
      <c r="AD14" s="5" t="s">
        <v>513</v>
      </c>
      <c r="AE14" s="6">
        <v>0.83330000000000004</v>
      </c>
      <c r="AI14" s="5" t="s">
        <v>483</v>
      </c>
      <c r="AM14" s="5" t="s">
        <v>83</v>
      </c>
      <c r="AN14" s="5" t="s">
        <v>458</v>
      </c>
      <c r="AO14" s="5" t="s">
        <v>518</v>
      </c>
      <c r="AP14" s="5" t="s">
        <v>290</v>
      </c>
      <c r="AQ14" s="5">
        <v>11.62</v>
      </c>
      <c r="AR14" s="5">
        <v>30</v>
      </c>
      <c r="AS14" s="5">
        <v>8.34</v>
      </c>
      <c r="AT14" s="5">
        <v>9.68</v>
      </c>
      <c r="AU14" s="5">
        <v>26</v>
      </c>
      <c r="AV14" s="5">
        <v>8.4499999999999993</v>
      </c>
      <c r="AW14" s="5" t="s">
        <v>515</v>
      </c>
      <c r="AX14" s="5" t="s">
        <v>517</v>
      </c>
    </row>
    <row r="15" spans="1:54" s="5" customFormat="1" x14ac:dyDescent="0.2">
      <c r="A15" s="5" t="s">
        <v>482</v>
      </c>
      <c r="B15" s="5">
        <v>2019</v>
      </c>
      <c r="C15" s="5" t="s">
        <v>30</v>
      </c>
      <c r="D15" s="5" t="s">
        <v>31</v>
      </c>
      <c r="F15" s="5" t="s">
        <v>163</v>
      </c>
      <c r="G15" s="5" t="s">
        <v>509</v>
      </c>
      <c r="H15" s="5" t="s">
        <v>484</v>
      </c>
      <c r="I15" s="5" t="s">
        <v>484</v>
      </c>
      <c r="J15" s="5" t="s">
        <v>485</v>
      </c>
      <c r="K15" s="5" t="s">
        <v>37</v>
      </c>
      <c r="V15" s="5" t="s">
        <v>38</v>
      </c>
      <c r="W15" s="5" t="s">
        <v>40</v>
      </c>
      <c r="X15" s="5" t="s">
        <v>38</v>
      </c>
      <c r="Y15" s="5" t="s">
        <v>39</v>
      </c>
      <c r="Z15" s="5" t="s">
        <v>39</v>
      </c>
      <c r="AA15" s="5" t="s">
        <v>40</v>
      </c>
      <c r="AB15" s="5" t="s">
        <v>512</v>
      </c>
      <c r="AC15" s="6">
        <v>0.67700000000000005</v>
      </c>
      <c r="AD15" s="5" t="s">
        <v>514</v>
      </c>
      <c r="AE15" s="6">
        <v>0.74229999999999996</v>
      </c>
      <c r="AI15" s="5" t="s">
        <v>510</v>
      </c>
      <c r="AM15" s="5" t="s">
        <v>83</v>
      </c>
      <c r="AN15" s="5" t="s">
        <v>458</v>
      </c>
      <c r="AO15" s="5" t="s">
        <v>518</v>
      </c>
      <c r="AP15" s="5" t="s">
        <v>290</v>
      </c>
      <c r="AQ15" s="5">
        <v>15.23</v>
      </c>
      <c r="AR15" s="5">
        <v>31</v>
      </c>
      <c r="AS15" s="5">
        <v>7.7</v>
      </c>
      <c r="AT15" s="5">
        <v>20.64</v>
      </c>
      <c r="AU15" s="5">
        <v>28</v>
      </c>
      <c r="AV15" s="5">
        <v>8.94</v>
      </c>
      <c r="AW15" s="5" t="s">
        <v>515</v>
      </c>
      <c r="AX15" s="5" t="s">
        <v>517</v>
      </c>
    </row>
    <row r="16" spans="1:54" s="5" customFormat="1" x14ac:dyDescent="0.2">
      <c r="A16" s="5" t="s">
        <v>482</v>
      </c>
      <c r="B16" s="5">
        <v>2019</v>
      </c>
      <c r="C16" s="5" t="s">
        <v>91</v>
      </c>
      <c r="D16" s="5" t="s">
        <v>300</v>
      </c>
      <c r="F16" s="5" t="s">
        <v>163</v>
      </c>
      <c r="G16" s="5" t="s">
        <v>509</v>
      </c>
      <c r="H16" s="5" t="s">
        <v>484</v>
      </c>
      <c r="I16" s="5" t="s">
        <v>484</v>
      </c>
      <c r="J16" s="5" t="s">
        <v>485</v>
      </c>
      <c r="K16" s="5" t="s">
        <v>37</v>
      </c>
      <c r="V16" s="5" t="s">
        <v>38</v>
      </c>
      <c r="W16" s="5" t="s">
        <v>40</v>
      </c>
      <c r="X16" s="5" t="s">
        <v>38</v>
      </c>
      <c r="Y16" s="5" t="s">
        <v>39</v>
      </c>
      <c r="Z16" s="5" t="s">
        <v>39</v>
      </c>
      <c r="AA16" s="5" t="s">
        <v>40</v>
      </c>
      <c r="AB16" s="5" t="s">
        <v>511</v>
      </c>
      <c r="AC16" s="6">
        <v>0.76700000000000002</v>
      </c>
      <c r="AD16" s="5" t="s">
        <v>513</v>
      </c>
      <c r="AE16" s="6">
        <v>0.83330000000000004</v>
      </c>
      <c r="AI16" s="5" t="s">
        <v>483</v>
      </c>
      <c r="AM16" s="5" t="s">
        <v>83</v>
      </c>
      <c r="AN16" s="5" t="s">
        <v>520</v>
      </c>
      <c r="AO16" s="5" t="s">
        <v>519</v>
      </c>
      <c r="AP16" s="5" t="s">
        <v>290</v>
      </c>
      <c r="AQ16" s="5">
        <v>10.06</v>
      </c>
      <c r="AR16" s="5">
        <v>30</v>
      </c>
      <c r="AS16" s="5">
        <v>8.89</v>
      </c>
      <c r="AT16" s="5">
        <v>6.18</v>
      </c>
      <c r="AU16" s="5">
        <v>26</v>
      </c>
      <c r="AV16" s="5">
        <v>7.26</v>
      </c>
      <c r="AW16" s="5" t="s">
        <v>515</v>
      </c>
      <c r="AX16" s="5" t="s">
        <v>517</v>
      </c>
    </row>
    <row r="17" spans="1:54" s="5" customFormat="1" x14ac:dyDescent="0.2">
      <c r="A17" s="5" t="s">
        <v>482</v>
      </c>
      <c r="B17" s="5">
        <v>2019</v>
      </c>
      <c r="C17" s="5" t="s">
        <v>30</v>
      </c>
      <c r="D17" s="5" t="s">
        <v>31</v>
      </c>
      <c r="F17" s="5" t="s">
        <v>163</v>
      </c>
      <c r="G17" s="5" t="s">
        <v>509</v>
      </c>
      <c r="H17" s="5" t="s">
        <v>484</v>
      </c>
      <c r="I17" s="5" t="s">
        <v>484</v>
      </c>
      <c r="J17" s="5" t="s">
        <v>485</v>
      </c>
      <c r="K17" s="5" t="s">
        <v>37</v>
      </c>
      <c r="V17" s="5" t="s">
        <v>38</v>
      </c>
      <c r="W17" s="5" t="s">
        <v>40</v>
      </c>
      <c r="X17" s="5" t="s">
        <v>38</v>
      </c>
      <c r="Y17" s="5" t="s">
        <v>39</v>
      </c>
      <c r="Z17" s="5" t="s">
        <v>39</v>
      </c>
      <c r="AA17" s="5" t="s">
        <v>40</v>
      </c>
      <c r="AB17" s="5" t="s">
        <v>512</v>
      </c>
      <c r="AC17" s="6">
        <v>0.67700000000000005</v>
      </c>
      <c r="AD17" s="5" t="s">
        <v>514</v>
      </c>
      <c r="AE17" s="6">
        <v>0.74229999999999996</v>
      </c>
      <c r="AI17" s="5" t="s">
        <v>510</v>
      </c>
      <c r="AM17" s="5" t="s">
        <v>83</v>
      </c>
      <c r="AN17" s="5" t="s">
        <v>520</v>
      </c>
      <c r="AO17" s="5" t="s">
        <v>519</v>
      </c>
      <c r="AP17" s="5" t="s">
        <v>290</v>
      </c>
      <c r="AQ17" s="5">
        <v>12.23</v>
      </c>
      <c r="AR17" s="5">
        <v>31</v>
      </c>
      <c r="AS17" s="5">
        <v>8.0500000000000007</v>
      </c>
      <c r="AT17" s="5">
        <v>15.47</v>
      </c>
      <c r="AU17" s="5">
        <v>28</v>
      </c>
      <c r="AV17" s="5">
        <v>9.2799999999999994</v>
      </c>
      <c r="AW17" s="5" t="s">
        <v>515</v>
      </c>
      <c r="AX17" s="5" t="s">
        <v>517</v>
      </c>
    </row>
    <row r="18" spans="1:54" s="5" customFormat="1" x14ac:dyDescent="0.2">
      <c r="A18" s="5" t="s">
        <v>482</v>
      </c>
      <c r="B18" s="5">
        <v>2019</v>
      </c>
      <c r="C18" s="5" t="s">
        <v>91</v>
      </c>
      <c r="D18" s="5" t="s">
        <v>300</v>
      </c>
      <c r="F18" s="5" t="s">
        <v>163</v>
      </c>
      <c r="G18" s="5" t="s">
        <v>509</v>
      </c>
      <c r="H18" s="5" t="s">
        <v>484</v>
      </c>
      <c r="I18" s="5" t="s">
        <v>484</v>
      </c>
      <c r="J18" s="5" t="s">
        <v>485</v>
      </c>
      <c r="K18" s="5" t="s">
        <v>37</v>
      </c>
      <c r="V18" s="5" t="s">
        <v>38</v>
      </c>
      <c r="W18" s="5" t="s">
        <v>40</v>
      </c>
      <c r="X18" s="5" t="s">
        <v>38</v>
      </c>
      <c r="Y18" s="5" t="s">
        <v>39</v>
      </c>
      <c r="Z18" s="5" t="s">
        <v>39</v>
      </c>
      <c r="AA18" s="5" t="s">
        <v>40</v>
      </c>
      <c r="AB18" s="5" t="s">
        <v>511</v>
      </c>
      <c r="AC18" s="6">
        <v>0.76700000000000002</v>
      </c>
      <c r="AD18" s="5" t="s">
        <v>513</v>
      </c>
      <c r="AE18" s="6">
        <v>0.83330000000000004</v>
      </c>
      <c r="AI18" s="5" t="s">
        <v>483</v>
      </c>
      <c r="AM18" s="5" t="s">
        <v>83</v>
      </c>
      <c r="AN18" s="5" t="s">
        <v>522</v>
      </c>
      <c r="AO18" s="5" t="s">
        <v>521</v>
      </c>
      <c r="AP18" s="5" t="s">
        <v>290</v>
      </c>
      <c r="AQ18" s="5">
        <v>41.79</v>
      </c>
      <c r="AR18" s="5">
        <v>30</v>
      </c>
      <c r="AS18" s="5">
        <v>9.0239999999999991</v>
      </c>
      <c r="AT18" s="5">
        <v>44.87</v>
      </c>
      <c r="AU18" s="5">
        <v>26</v>
      </c>
      <c r="AV18" s="5">
        <v>8.94</v>
      </c>
      <c r="AW18" s="5" t="s">
        <v>515</v>
      </c>
      <c r="AX18" s="5" t="s">
        <v>517</v>
      </c>
    </row>
    <row r="19" spans="1:54" s="5" customFormat="1" x14ac:dyDescent="0.2">
      <c r="A19" s="5" t="s">
        <v>482</v>
      </c>
      <c r="B19" s="5">
        <v>2019</v>
      </c>
      <c r="C19" s="5" t="s">
        <v>30</v>
      </c>
      <c r="D19" s="5" t="s">
        <v>31</v>
      </c>
      <c r="F19" s="5" t="s">
        <v>163</v>
      </c>
      <c r="G19" s="5" t="s">
        <v>509</v>
      </c>
      <c r="H19" s="5" t="s">
        <v>484</v>
      </c>
      <c r="I19" s="5" t="s">
        <v>484</v>
      </c>
      <c r="J19" s="5" t="s">
        <v>485</v>
      </c>
      <c r="K19" s="5" t="s">
        <v>37</v>
      </c>
      <c r="V19" s="5" t="s">
        <v>38</v>
      </c>
      <c r="W19" s="5" t="s">
        <v>40</v>
      </c>
      <c r="X19" s="5" t="s">
        <v>38</v>
      </c>
      <c r="Y19" s="5" t="s">
        <v>39</v>
      </c>
      <c r="Z19" s="5" t="s">
        <v>39</v>
      </c>
      <c r="AA19" s="5" t="s">
        <v>40</v>
      </c>
      <c r="AB19" s="5" t="s">
        <v>512</v>
      </c>
      <c r="AC19" s="6">
        <v>0.67700000000000005</v>
      </c>
      <c r="AD19" s="5" t="s">
        <v>514</v>
      </c>
      <c r="AE19" s="6">
        <v>0.74229999999999996</v>
      </c>
      <c r="AI19" s="5" t="s">
        <v>510</v>
      </c>
      <c r="AM19" s="5" t="s">
        <v>83</v>
      </c>
      <c r="AN19" s="5" t="s">
        <v>522</v>
      </c>
      <c r="AO19" s="5" t="s">
        <v>521</v>
      </c>
      <c r="AP19" s="5" t="s">
        <v>290</v>
      </c>
      <c r="AQ19" s="5">
        <v>42.18</v>
      </c>
      <c r="AR19" s="5">
        <v>31</v>
      </c>
      <c r="AS19" s="5">
        <v>10.52</v>
      </c>
      <c r="AT19" s="5">
        <v>39.47</v>
      </c>
      <c r="AU19" s="5">
        <v>28</v>
      </c>
      <c r="AV19" s="5">
        <v>9.39</v>
      </c>
      <c r="AW19" s="5" t="s">
        <v>515</v>
      </c>
      <c r="AX19" s="5" t="s">
        <v>517</v>
      </c>
    </row>
    <row r="20" spans="1:54" s="2" customFormat="1" x14ac:dyDescent="0.2">
      <c r="A20" s="2" t="s">
        <v>495</v>
      </c>
      <c r="B20" s="2">
        <v>2019</v>
      </c>
      <c r="C20" s="2" t="s">
        <v>91</v>
      </c>
      <c r="D20" s="2" t="s">
        <v>75</v>
      </c>
      <c r="F20" s="2" t="s">
        <v>286</v>
      </c>
      <c r="G20" s="2" t="s">
        <v>537</v>
      </c>
      <c r="H20" s="2" t="s">
        <v>497</v>
      </c>
      <c r="I20" s="2" t="s">
        <v>35</v>
      </c>
      <c r="J20" s="2" t="s">
        <v>94</v>
      </c>
      <c r="K20" s="2" t="s">
        <v>37</v>
      </c>
      <c r="V20" s="2" t="s">
        <v>38</v>
      </c>
      <c r="W20" s="2" t="s">
        <v>490</v>
      </c>
      <c r="X20" s="2" t="s">
        <v>39</v>
      </c>
      <c r="Y20" s="2" t="s">
        <v>39</v>
      </c>
      <c r="Z20" s="2" t="s">
        <v>39</v>
      </c>
      <c r="AA20" s="2" t="s">
        <v>39</v>
      </c>
      <c r="AC20" s="3">
        <v>0.71430000000000005</v>
      </c>
      <c r="AD20" s="2" t="s">
        <v>540</v>
      </c>
      <c r="AE20" s="3">
        <v>0.55359999999999998</v>
      </c>
      <c r="AI20" s="2" t="s">
        <v>538</v>
      </c>
      <c r="AK20" s="2" t="s">
        <v>83</v>
      </c>
      <c r="AM20" s="8" t="s">
        <v>544</v>
      </c>
      <c r="AN20" s="2" t="s">
        <v>458</v>
      </c>
      <c r="AO20" s="2" t="s">
        <v>545</v>
      </c>
      <c r="AP20" s="2" t="s">
        <v>290</v>
      </c>
      <c r="AQ20" s="2">
        <v>13.93</v>
      </c>
      <c r="AR20" s="2">
        <v>56</v>
      </c>
      <c r="AS20" s="2">
        <v>3.45</v>
      </c>
      <c r="AT20" s="2">
        <v>9.4</v>
      </c>
      <c r="AU20" s="2">
        <v>54</v>
      </c>
      <c r="AV20" s="2">
        <v>3.39</v>
      </c>
      <c r="AW20" s="5"/>
      <c r="AY20" s="2">
        <v>10.19</v>
      </c>
      <c r="AZ20" s="2">
        <v>47</v>
      </c>
      <c r="BA20" s="2">
        <v>2.78</v>
      </c>
      <c r="BB20" s="2" t="s">
        <v>546</v>
      </c>
    </row>
    <row r="21" spans="1:54" s="2" customFormat="1" x14ac:dyDescent="0.2">
      <c r="A21" s="2" t="s">
        <v>495</v>
      </c>
      <c r="B21" s="2">
        <v>2019</v>
      </c>
      <c r="C21" s="2" t="s">
        <v>285</v>
      </c>
      <c r="D21" s="2" t="s">
        <v>31</v>
      </c>
      <c r="F21" s="2" t="s">
        <v>286</v>
      </c>
      <c r="G21" s="2" t="s">
        <v>537</v>
      </c>
      <c r="H21" s="2" t="s">
        <v>497</v>
      </c>
      <c r="I21" s="2" t="s">
        <v>35</v>
      </c>
      <c r="J21" s="2" t="s">
        <v>94</v>
      </c>
      <c r="K21" s="2" t="s">
        <v>37</v>
      </c>
      <c r="V21" s="2" t="s">
        <v>38</v>
      </c>
      <c r="W21" s="2" t="s">
        <v>490</v>
      </c>
      <c r="X21" s="2" t="s">
        <v>39</v>
      </c>
      <c r="Y21" s="2" t="s">
        <v>39</v>
      </c>
      <c r="Z21" s="2" t="s">
        <v>39</v>
      </c>
      <c r="AA21" s="2" t="s">
        <v>39</v>
      </c>
      <c r="AC21" s="3">
        <v>0.63390000000000002</v>
      </c>
      <c r="AD21" s="2" t="s">
        <v>541</v>
      </c>
      <c r="AE21" s="3">
        <v>0.69640000000000002</v>
      </c>
      <c r="AI21" s="2" t="s">
        <v>539</v>
      </c>
      <c r="AK21" s="2" t="s">
        <v>83</v>
      </c>
      <c r="AM21" s="8" t="s">
        <v>544</v>
      </c>
      <c r="AN21" s="2" t="s">
        <v>458</v>
      </c>
      <c r="AO21" s="2" t="s">
        <v>545</v>
      </c>
      <c r="AP21" s="2" t="s">
        <v>290</v>
      </c>
      <c r="AQ21" s="2">
        <v>13.21</v>
      </c>
      <c r="AR21" s="2">
        <v>56</v>
      </c>
      <c r="AS21" s="2">
        <v>3.11</v>
      </c>
      <c r="AT21" s="2">
        <v>11.96</v>
      </c>
      <c r="AU21" s="2">
        <v>45</v>
      </c>
      <c r="AV21" s="2">
        <v>3.4</v>
      </c>
      <c r="AW21" s="5"/>
      <c r="AY21" s="2">
        <v>12.21</v>
      </c>
      <c r="AZ21" s="2">
        <v>35</v>
      </c>
      <c r="BA21" s="2">
        <v>3.56</v>
      </c>
      <c r="BB21" s="2" t="s">
        <v>546</v>
      </c>
    </row>
    <row r="22" spans="1:54" s="2" customFormat="1" x14ac:dyDescent="0.2">
      <c r="A22" s="2" t="s">
        <v>496</v>
      </c>
      <c r="B22" s="2">
        <v>2020</v>
      </c>
      <c r="C22" s="2" t="s">
        <v>91</v>
      </c>
      <c r="D22" s="2" t="s">
        <v>75</v>
      </c>
      <c r="F22" s="2" t="e" vm="2">
        <v>#VALUE!</v>
      </c>
      <c r="G22" s="2" t="s">
        <v>552</v>
      </c>
      <c r="K22" s="2" t="s">
        <v>37</v>
      </c>
      <c r="V22" s="2" t="s">
        <v>38</v>
      </c>
      <c r="W22" s="2" t="s">
        <v>490</v>
      </c>
      <c r="X22" s="2" t="s">
        <v>38</v>
      </c>
      <c r="Y22" s="2" t="s">
        <v>38</v>
      </c>
      <c r="Z22" s="2" t="s">
        <v>38</v>
      </c>
      <c r="AA22" s="2" t="s">
        <v>38</v>
      </c>
      <c r="AE22" s="3">
        <v>0.68600000000000005</v>
      </c>
      <c r="AI22" s="2" t="s">
        <v>553</v>
      </c>
      <c r="AM22" s="2" t="s">
        <v>83</v>
      </c>
      <c r="AN22" s="2" t="s">
        <v>520</v>
      </c>
      <c r="AO22" s="2" t="s">
        <v>555</v>
      </c>
      <c r="AP22" s="2" t="s">
        <v>290</v>
      </c>
      <c r="AQ22" s="2">
        <v>74.11</v>
      </c>
      <c r="AR22" s="2">
        <v>35</v>
      </c>
      <c r="AS22" s="2">
        <v>4.7300000000000004</v>
      </c>
      <c r="AT22" s="2">
        <v>70.510000000000005</v>
      </c>
      <c r="AV22" s="2">
        <v>3.78</v>
      </c>
      <c r="AW22" s="2" t="s">
        <v>442</v>
      </c>
      <c r="AX22" s="5"/>
      <c r="AY22" s="2">
        <v>70.31</v>
      </c>
      <c r="BA22" s="2">
        <v>3.78</v>
      </c>
      <c r="BB22" s="2" t="s">
        <v>447</v>
      </c>
    </row>
    <row r="23" spans="1:54" s="2" customFormat="1" x14ac:dyDescent="0.2">
      <c r="A23" s="2" t="s">
        <v>496</v>
      </c>
      <c r="B23" s="2">
        <v>2020</v>
      </c>
      <c r="C23" s="2" t="s">
        <v>285</v>
      </c>
      <c r="D23" s="2" t="s">
        <v>31</v>
      </c>
      <c r="F23" s="2" t="e" vm="2">
        <v>#VALUE!</v>
      </c>
      <c r="G23" s="2" t="s">
        <v>552</v>
      </c>
      <c r="K23" s="2" t="s">
        <v>37</v>
      </c>
      <c r="V23" s="2" t="s">
        <v>38</v>
      </c>
      <c r="W23" s="2" t="s">
        <v>490</v>
      </c>
      <c r="X23" s="2" t="s">
        <v>38</v>
      </c>
      <c r="Y23" s="2" t="s">
        <v>38</v>
      </c>
      <c r="Z23" s="2" t="s">
        <v>38</v>
      </c>
      <c r="AA23" s="2" t="s">
        <v>38</v>
      </c>
      <c r="AE23" s="3">
        <v>0.71399999999999997</v>
      </c>
      <c r="AI23" s="2" t="s">
        <v>554</v>
      </c>
      <c r="AM23" s="2" t="s">
        <v>83</v>
      </c>
      <c r="AN23" s="2" t="s">
        <v>520</v>
      </c>
      <c r="AO23" s="2" t="s">
        <v>555</v>
      </c>
      <c r="AP23" s="2" t="s">
        <v>290</v>
      </c>
      <c r="AQ23" s="2">
        <v>75.63</v>
      </c>
      <c r="AR23" s="2">
        <v>35</v>
      </c>
      <c r="AS23" s="2">
        <v>3.08</v>
      </c>
      <c r="AT23" s="2">
        <v>76.45</v>
      </c>
      <c r="AV23" s="2">
        <v>3.45</v>
      </c>
      <c r="AW23" s="2" t="s">
        <v>442</v>
      </c>
      <c r="AX23" s="5"/>
      <c r="AY23" s="2">
        <v>76.22</v>
      </c>
      <c r="BA23" s="2">
        <v>5.08</v>
      </c>
      <c r="BB23" s="2" t="s">
        <v>447</v>
      </c>
    </row>
    <row r="24" spans="1:54" s="5" customFormat="1" x14ac:dyDescent="0.2">
      <c r="A24" s="5" t="s">
        <v>491</v>
      </c>
      <c r="B24" s="5">
        <v>2019</v>
      </c>
      <c r="C24" s="5" t="s">
        <v>91</v>
      </c>
      <c r="D24" s="5" t="s">
        <v>75</v>
      </c>
      <c r="F24" s="5" t="e" vm="2">
        <v>#VALUE!</v>
      </c>
      <c r="G24" s="5" t="s">
        <v>492</v>
      </c>
      <c r="H24" s="5" t="s">
        <v>493</v>
      </c>
      <c r="I24" s="5" t="s">
        <v>494</v>
      </c>
      <c r="J24" s="5" t="s">
        <v>165</v>
      </c>
      <c r="K24" s="5" t="s">
        <v>37</v>
      </c>
      <c r="V24" s="5" t="s">
        <v>490</v>
      </c>
      <c r="W24" s="5" t="s">
        <v>40</v>
      </c>
      <c r="X24" s="5" t="s">
        <v>38</v>
      </c>
      <c r="Y24" s="5" t="s">
        <v>39</v>
      </c>
      <c r="Z24" s="5" t="s">
        <v>39</v>
      </c>
      <c r="AA24" s="5" t="s">
        <v>40</v>
      </c>
      <c r="AB24" s="5" t="s">
        <v>530</v>
      </c>
      <c r="AD24" s="5" t="s">
        <v>532</v>
      </c>
      <c r="AE24" s="11">
        <v>0.88</v>
      </c>
      <c r="AI24" s="5" t="s">
        <v>533</v>
      </c>
      <c r="AL24" s="5" t="s">
        <v>83</v>
      </c>
      <c r="AN24" s="5" t="s">
        <v>458</v>
      </c>
      <c r="AO24" s="5" t="s">
        <v>558</v>
      </c>
      <c r="AP24" s="5" t="s">
        <v>290</v>
      </c>
      <c r="AQ24" s="10">
        <v>4.5</v>
      </c>
      <c r="AR24" s="10">
        <v>27</v>
      </c>
      <c r="AS24" s="10">
        <v>3.04</v>
      </c>
      <c r="AT24" s="10">
        <v>0.4</v>
      </c>
      <c r="AU24" s="10">
        <v>25</v>
      </c>
      <c r="AV24" s="10">
        <v>0.7</v>
      </c>
      <c r="AX24" s="5" t="s">
        <v>551</v>
      </c>
    </row>
    <row r="25" spans="1:54" s="5" customFormat="1" x14ac:dyDescent="0.2">
      <c r="A25" s="5" t="s">
        <v>491</v>
      </c>
      <c r="B25" s="5">
        <v>2019</v>
      </c>
      <c r="C25" s="5" t="s">
        <v>30</v>
      </c>
      <c r="D25" s="5" t="s">
        <v>31</v>
      </c>
      <c r="F25" s="5" t="e" vm="2">
        <v>#VALUE!</v>
      </c>
      <c r="G25" s="5" t="s">
        <v>492</v>
      </c>
      <c r="H25" s="5" t="s">
        <v>493</v>
      </c>
      <c r="I25" s="5" t="s">
        <v>494</v>
      </c>
      <c r="J25" s="5" t="s">
        <v>165</v>
      </c>
      <c r="K25" s="5" t="s">
        <v>37</v>
      </c>
      <c r="V25" s="5" t="s">
        <v>490</v>
      </c>
      <c r="W25" s="5" t="s">
        <v>40</v>
      </c>
      <c r="X25" s="5" t="s">
        <v>38</v>
      </c>
      <c r="Y25" s="5" t="s">
        <v>39</v>
      </c>
      <c r="Z25" s="5" t="s">
        <v>39</v>
      </c>
      <c r="AA25" s="5" t="s">
        <v>40</v>
      </c>
      <c r="AB25" s="5" t="s">
        <v>529</v>
      </c>
      <c r="AD25" s="5" t="s">
        <v>531</v>
      </c>
      <c r="AE25" s="11">
        <v>0.72</v>
      </c>
      <c r="AI25" s="5" t="s">
        <v>534</v>
      </c>
      <c r="AL25" s="5" t="s">
        <v>83</v>
      </c>
      <c r="AN25" s="5" t="s">
        <v>458</v>
      </c>
      <c r="AO25" s="5" t="s">
        <v>558</v>
      </c>
      <c r="AP25" s="5" t="s">
        <v>290</v>
      </c>
      <c r="AQ25" s="10">
        <v>4.8</v>
      </c>
      <c r="AR25" s="5">
        <v>27</v>
      </c>
      <c r="AS25" s="10">
        <v>3.6</v>
      </c>
      <c r="AT25" s="10">
        <v>5.08</v>
      </c>
      <c r="AU25" s="10">
        <v>25</v>
      </c>
      <c r="AV25" s="10">
        <v>3.7</v>
      </c>
      <c r="AX25" s="5" t="s">
        <v>551</v>
      </c>
    </row>
    <row r="26" spans="1:54" s="5" customFormat="1" x14ac:dyDescent="0.2">
      <c r="A26" s="5" t="s">
        <v>491</v>
      </c>
      <c r="B26" s="5">
        <v>2019</v>
      </c>
      <c r="C26" s="5" t="s">
        <v>91</v>
      </c>
      <c r="D26" s="5" t="s">
        <v>75</v>
      </c>
      <c r="F26" s="5" t="e" vm="2">
        <v>#VALUE!</v>
      </c>
      <c r="G26" s="5" t="s">
        <v>492</v>
      </c>
      <c r="H26" s="5" t="s">
        <v>493</v>
      </c>
      <c r="I26" s="5" t="s">
        <v>494</v>
      </c>
      <c r="J26" s="5" t="s">
        <v>165</v>
      </c>
      <c r="K26" s="5" t="s">
        <v>37</v>
      </c>
      <c r="V26" s="5" t="s">
        <v>490</v>
      </c>
      <c r="W26" s="5" t="s">
        <v>40</v>
      </c>
      <c r="X26" s="5" t="s">
        <v>38</v>
      </c>
      <c r="Y26" s="5" t="s">
        <v>39</v>
      </c>
      <c r="Z26" s="5" t="s">
        <v>39</v>
      </c>
      <c r="AA26" s="5" t="s">
        <v>40</v>
      </c>
      <c r="AB26" s="5" t="s">
        <v>530</v>
      </c>
      <c r="AD26" s="5" t="s">
        <v>532</v>
      </c>
      <c r="AE26" s="11">
        <v>0.88</v>
      </c>
      <c r="AI26" s="5" t="s">
        <v>533</v>
      </c>
      <c r="AL26" s="5" t="s">
        <v>83</v>
      </c>
      <c r="AN26" s="5" t="s">
        <v>559</v>
      </c>
      <c r="AO26" s="5" t="s">
        <v>558</v>
      </c>
      <c r="AP26" s="5" t="s">
        <v>290</v>
      </c>
      <c r="AQ26" s="5">
        <v>11.6</v>
      </c>
      <c r="AR26" s="5">
        <v>27</v>
      </c>
      <c r="AS26" s="5">
        <v>2.8</v>
      </c>
      <c r="AT26" s="5">
        <v>3.4</v>
      </c>
      <c r="AU26" s="5">
        <v>25</v>
      </c>
      <c r="AV26" s="5">
        <v>1.5</v>
      </c>
      <c r="AX26" s="5" t="s">
        <v>551</v>
      </c>
    </row>
    <row r="27" spans="1:54" s="5" customFormat="1" x14ac:dyDescent="0.2">
      <c r="A27" s="5" t="s">
        <v>491</v>
      </c>
      <c r="B27" s="5">
        <v>2019</v>
      </c>
      <c r="C27" s="5" t="s">
        <v>30</v>
      </c>
      <c r="D27" s="5" t="s">
        <v>31</v>
      </c>
      <c r="F27" s="5" t="e" vm="2">
        <v>#VALUE!</v>
      </c>
      <c r="G27" s="5" t="s">
        <v>492</v>
      </c>
      <c r="H27" s="5" t="s">
        <v>493</v>
      </c>
      <c r="I27" s="5" t="s">
        <v>494</v>
      </c>
      <c r="J27" s="5" t="s">
        <v>165</v>
      </c>
      <c r="K27" s="5" t="s">
        <v>37</v>
      </c>
      <c r="V27" s="5" t="s">
        <v>490</v>
      </c>
      <c r="W27" s="5" t="s">
        <v>40</v>
      </c>
      <c r="X27" s="5" t="s">
        <v>38</v>
      </c>
      <c r="Y27" s="5" t="s">
        <v>39</v>
      </c>
      <c r="Z27" s="5" t="s">
        <v>39</v>
      </c>
      <c r="AA27" s="5" t="s">
        <v>40</v>
      </c>
      <c r="AB27" s="5" t="s">
        <v>529</v>
      </c>
      <c r="AD27" s="5" t="s">
        <v>531</v>
      </c>
      <c r="AE27" s="11">
        <v>0.72</v>
      </c>
      <c r="AI27" s="5" t="s">
        <v>534</v>
      </c>
      <c r="AL27" s="5" t="s">
        <v>83</v>
      </c>
      <c r="AN27" s="5" t="s">
        <v>559</v>
      </c>
      <c r="AO27" s="5" t="s">
        <v>558</v>
      </c>
      <c r="AP27" s="5" t="s">
        <v>290</v>
      </c>
      <c r="AQ27" s="5">
        <v>10.039999999999999</v>
      </c>
      <c r="AR27" s="5">
        <v>27</v>
      </c>
      <c r="AS27" s="5">
        <v>4.0199999999999996</v>
      </c>
      <c r="AT27" s="5">
        <v>10.5</v>
      </c>
      <c r="AU27" s="5">
        <v>25</v>
      </c>
      <c r="AV27" s="5">
        <v>3.7</v>
      </c>
      <c r="AX27" s="5" t="s">
        <v>551</v>
      </c>
    </row>
    <row r="28" spans="1:54" s="5" customFormat="1" x14ac:dyDescent="0.2">
      <c r="A28" s="5" t="s">
        <v>491</v>
      </c>
      <c r="B28" s="5">
        <v>2019</v>
      </c>
      <c r="C28" s="5" t="s">
        <v>91</v>
      </c>
      <c r="D28" s="5" t="s">
        <v>75</v>
      </c>
      <c r="F28" s="5" t="e" vm="2">
        <v>#VALUE!</v>
      </c>
      <c r="G28" s="5" t="s">
        <v>492</v>
      </c>
      <c r="H28" s="5" t="s">
        <v>493</v>
      </c>
      <c r="I28" s="5" t="s">
        <v>494</v>
      </c>
      <c r="J28" s="5" t="s">
        <v>165</v>
      </c>
      <c r="K28" s="5" t="s">
        <v>37</v>
      </c>
      <c r="V28" s="5" t="s">
        <v>490</v>
      </c>
      <c r="W28" s="5" t="s">
        <v>40</v>
      </c>
      <c r="X28" s="5" t="s">
        <v>38</v>
      </c>
      <c r="Y28" s="5" t="s">
        <v>39</v>
      </c>
      <c r="Z28" s="5" t="s">
        <v>39</v>
      </c>
      <c r="AA28" s="5" t="s">
        <v>40</v>
      </c>
      <c r="AB28" s="5" t="s">
        <v>530</v>
      </c>
      <c r="AD28" s="5" t="s">
        <v>532</v>
      </c>
      <c r="AE28" s="11">
        <v>0.88</v>
      </c>
      <c r="AI28" s="5" t="s">
        <v>533</v>
      </c>
      <c r="AL28" s="5" t="s">
        <v>83</v>
      </c>
      <c r="AN28" s="5" t="s">
        <v>522</v>
      </c>
      <c r="AO28" s="5" t="s">
        <v>558</v>
      </c>
      <c r="AP28" s="5" t="s">
        <v>290</v>
      </c>
      <c r="AQ28" s="5">
        <v>39.9</v>
      </c>
      <c r="AR28" s="5">
        <v>27</v>
      </c>
      <c r="AS28" s="5">
        <v>8.4</v>
      </c>
      <c r="AT28" s="5">
        <v>16.079999999999998</v>
      </c>
      <c r="AU28" s="5">
        <v>25</v>
      </c>
      <c r="AV28" s="5">
        <v>3.7</v>
      </c>
      <c r="AX28" s="5" t="s">
        <v>551</v>
      </c>
    </row>
    <row r="29" spans="1:54" s="5" customFormat="1" x14ac:dyDescent="0.2">
      <c r="A29" s="5" t="s">
        <v>491</v>
      </c>
      <c r="B29" s="5">
        <v>2019</v>
      </c>
      <c r="C29" s="5" t="s">
        <v>30</v>
      </c>
      <c r="D29" s="5" t="s">
        <v>31</v>
      </c>
      <c r="F29" s="5" t="e" vm="2">
        <v>#VALUE!</v>
      </c>
      <c r="G29" s="5" t="s">
        <v>492</v>
      </c>
      <c r="H29" s="5" t="s">
        <v>493</v>
      </c>
      <c r="I29" s="5" t="s">
        <v>494</v>
      </c>
      <c r="J29" s="5" t="s">
        <v>165</v>
      </c>
      <c r="K29" s="5" t="s">
        <v>37</v>
      </c>
      <c r="V29" s="5" t="s">
        <v>490</v>
      </c>
      <c r="W29" s="5" t="s">
        <v>40</v>
      </c>
      <c r="X29" s="5" t="s">
        <v>38</v>
      </c>
      <c r="Y29" s="5" t="s">
        <v>39</v>
      </c>
      <c r="Z29" s="5" t="s">
        <v>39</v>
      </c>
      <c r="AA29" s="5" t="s">
        <v>40</v>
      </c>
      <c r="AB29" s="5" t="s">
        <v>529</v>
      </c>
      <c r="AD29" s="5" t="s">
        <v>531</v>
      </c>
      <c r="AE29" s="11">
        <v>0.72</v>
      </c>
      <c r="AI29" s="5" t="s">
        <v>534</v>
      </c>
      <c r="AL29" s="5" t="s">
        <v>83</v>
      </c>
      <c r="AN29" s="5" t="s">
        <v>522</v>
      </c>
      <c r="AO29" s="5" t="s">
        <v>558</v>
      </c>
      <c r="AP29" s="5" t="s">
        <v>290</v>
      </c>
      <c r="AQ29" s="5">
        <v>32.04</v>
      </c>
      <c r="AR29" s="5">
        <v>27</v>
      </c>
      <c r="AS29" s="5">
        <v>7.02</v>
      </c>
      <c r="AT29" s="5">
        <v>32.9</v>
      </c>
      <c r="AU29" s="5">
        <v>25</v>
      </c>
      <c r="AV29" s="5">
        <v>7.2</v>
      </c>
      <c r="AX29" s="5" t="s">
        <v>551</v>
      </c>
    </row>
  </sheetData>
  <autoFilter ref="A1:BI29" xr:uid="{00000000-0001-0000-0100-000000000000}">
    <sortState xmlns:xlrd2="http://schemas.microsoft.com/office/spreadsheetml/2017/richdata2" ref="A2:BI29">
      <sortCondition ref="A1:A29"/>
    </sortState>
  </autoFilter>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33"/>
  <sheetViews>
    <sheetView tabSelected="1" zoomScale="92" zoomScaleNormal="109" workbookViewId="0">
      <pane xSplit="5" ySplit="19" topLeftCell="AL20" activePane="bottomRight" state="frozen"/>
      <selection pane="topRight" activeCell="F1" sqref="F1"/>
      <selection pane="bottomLeft" activeCell="A20" sqref="A20"/>
      <selection pane="bottomRight" activeCell="A5" sqref="A5"/>
    </sheetView>
  </sheetViews>
  <sheetFormatPr baseColWidth="10" defaultRowHeight="15" x14ac:dyDescent="0.2"/>
  <cols>
    <col min="2" max="38" width="10.83203125" customWidth="1"/>
  </cols>
  <sheetData>
    <row r="1" spans="1:60" x14ac:dyDescent="0.2">
      <c r="A1" t="s">
        <v>0</v>
      </c>
      <c r="B1" t="s">
        <v>1</v>
      </c>
      <c r="C1" t="s">
        <v>2</v>
      </c>
      <c r="D1" t="s">
        <v>3</v>
      </c>
      <c r="E1" t="s">
        <v>4</v>
      </c>
      <c r="F1" t="s">
        <v>5</v>
      </c>
      <c r="G1" t="s">
        <v>6</v>
      </c>
      <c r="H1" t="s">
        <v>7</v>
      </c>
      <c r="I1" t="s">
        <v>8</v>
      </c>
      <c r="J1" t="s">
        <v>9</v>
      </c>
      <c r="K1" t="s">
        <v>10</v>
      </c>
      <c r="L1" t="s">
        <v>272</v>
      </c>
      <c r="M1" t="s">
        <v>273</v>
      </c>
      <c r="N1" t="s">
        <v>274</v>
      </c>
      <c r="O1" t="s">
        <v>275</v>
      </c>
      <c r="P1" t="s">
        <v>276</v>
      </c>
      <c r="Q1" t="s">
        <v>277</v>
      </c>
      <c r="R1" t="s">
        <v>278</v>
      </c>
      <c r="S1" t="s">
        <v>279</v>
      </c>
      <c r="T1" t="s">
        <v>281</v>
      </c>
      <c r="U1" t="s">
        <v>11</v>
      </c>
      <c r="V1" t="s">
        <v>12</v>
      </c>
      <c r="W1" t="s">
        <v>13</v>
      </c>
      <c r="X1" t="s">
        <v>14</v>
      </c>
      <c r="Y1" t="s">
        <v>15</v>
      </c>
      <c r="Z1" t="s">
        <v>16</v>
      </c>
      <c r="AA1" t="s">
        <v>17</v>
      </c>
      <c r="AB1" t="s">
        <v>18</v>
      </c>
      <c r="AC1" t="s">
        <v>19</v>
      </c>
      <c r="AD1" t="s">
        <v>20</v>
      </c>
      <c r="AE1" t="s">
        <v>21</v>
      </c>
      <c r="AF1" t="s">
        <v>371</v>
      </c>
      <c r="AG1" t="s">
        <v>22</v>
      </c>
      <c r="AH1" t="s">
        <v>23</v>
      </c>
      <c r="AI1" t="s">
        <v>24</v>
      </c>
      <c r="AJ1" t="s">
        <v>25</v>
      </c>
      <c r="AK1" t="s">
        <v>26</v>
      </c>
      <c r="AL1" t="s">
        <v>28</v>
      </c>
      <c r="AM1" t="s">
        <v>455</v>
      </c>
      <c r="AN1" t="s">
        <v>425</v>
      </c>
      <c r="AO1" t="s">
        <v>435</v>
      </c>
      <c r="AP1" t="s">
        <v>426</v>
      </c>
      <c r="AQ1" t="s">
        <v>427</v>
      </c>
      <c r="AR1" t="s">
        <v>428</v>
      </c>
      <c r="AS1" t="s">
        <v>429</v>
      </c>
      <c r="AT1" t="s">
        <v>430</v>
      </c>
      <c r="AU1" t="s">
        <v>431</v>
      </c>
      <c r="AV1" t="s">
        <v>432</v>
      </c>
      <c r="AW1" t="s">
        <v>443</v>
      </c>
      <c r="AX1" t="s">
        <v>444</v>
      </c>
      <c r="AY1" t="s">
        <v>445</v>
      </c>
      <c r="AZ1" t="s">
        <v>446</v>
      </c>
      <c r="BA1" t="s">
        <v>432</v>
      </c>
      <c r="BB1" t="s">
        <v>450</v>
      </c>
      <c r="BC1" t="s">
        <v>426</v>
      </c>
      <c r="BD1" t="s">
        <v>427</v>
      </c>
      <c r="BE1" t="s">
        <v>428</v>
      </c>
      <c r="BF1" t="s">
        <v>429</v>
      </c>
      <c r="BG1" t="s">
        <v>430</v>
      </c>
      <c r="BH1" t="s">
        <v>431</v>
      </c>
    </row>
    <row r="2" spans="1:60" x14ac:dyDescent="0.2">
      <c r="A2" t="s">
        <v>284</v>
      </c>
      <c r="B2">
        <v>2010</v>
      </c>
      <c r="C2" t="s">
        <v>285</v>
      </c>
      <c r="D2" t="s">
        <v>31</v>
      </c>
      <c r="E2" t="s">
        <v>31</v>
      </c>
      <c r="F2" t="s">
        <v>286</v>
      </c>
      <c r="G2" t="s">
        <v>287</v>
      </c>
      <c r="H2" t="s">
        <v>113</v>
      </c>
      <c r="I2" t="s">
        <v>35</v>
      </c>
      <c r="J2" t="s">
        <v>36</v>
      </c>
      <c r="K2" t="s">
        <v>288</v>
      </c>
      <c r="L2" t="s">
        <v>289</v>
      </c>
      <c r="M2" t="s">
        <v>290</v>
      </c>
      <c r="N2" t="s">
        <v>291</v>
      </c>
      <c r="O2" t="s">
        <v>292</v>
      </c>
      <c r="P2" t="s">
        <v>293</v>
      </c>
      <c r="Q2" t="s">
        <v>294</v>
      </c>
      <c r="R2" t="s">
        <v>292</v>
      </c>
      <c r="S2" t="s">
        <v>295</v>
      </c>
      <c r="T2" t="s">
        <v>296</v>
      </c>
      <c r="U2" t="s">
        <v>39</v>
      </c>
      <c r="V2" t="s">
        <v>40</v>
      </c>
      <c r="W2" t="s">
        <v>38</v>
      </c>
      <c r="X2" t="s">
        <v>40</v>
      </c>
      <c r="Y2" t="s">
        <v>39</v>
      </c>
      <c r="Z2" t="s">
        <v>40</v>
      </c>
      <c r="AG2">
        <v>19.48</v>
      </c>
      <c r="AJ2" t="s">
        <v>297</v>
      </c>
      <c r="AK2" t="s">
        <v>298</v>
      </c>
      <c r="AL2" t="s">
        <v>299</v>
      </c>
      <c r="AM2" t="s">
        <v>465</v>
      </c>
      <c r="AN2" t="s">
        <v>466</v>
      </c>
      <c r="AO2" t="s">
        <v>290</v>
      </c>
      <c r="AP2">
        <v>20.6</v>
      </c>
      <c r="AQ2">
        <v>40</v>
      </c>
      <c r="AR2">
        <v>1.8</v>
      </c>
      <c r="AS2">
        <v>20.3</v>
      </c>
      <c r="AT2">
        <v>40</v>
      </c>
      <c r="AU2">
        <v>1.7</v>
      </c>
    </row>
    <row r="3" spans="1:60" x14ac:dyDescent="0.2">
      <c r="A3" t="s">
        <v>284</v>
      </c>
      <c r="B3">
        <v>2010</v>
      </c>
      <c r="C3" t="s">
        <v>91</v>
      </c>
      <c r="D3" t="s">
        <v>300</v>
      </c>
      <c r="E3" t="s">
        <v>301</v>
      </c>
      <c r="F3" t="s">
        <v>286</v>
      </c>
      <c r="G3" t="s">
        <v>287</v>
      </c>
      <c r="H3" t="s">
        <v>113</v>
      </c>
      <c r="I3" t="s">
        <v>35</v>
      </c>
      <c r="J3" t="s">
        <v>36</v>
      </c>
      <c r="K3" t="s">
        <v>288</v>
      </c>
      <c r="L3" t="s">
        <v>289</v>
      </c>
      <c r="M3" t="s">
        <v>290</v>
      </c>
      <c r="N3" t="s">
        <v>302</v>
      </c>
      <c r="O3" t="s">
        <v>292</v>
      </c>
      <c r="P3" t="s">
        <v>303</v>
      </c>
      <c r="Q3" t="s">
        <v>304</v>
      </c>
      <c r="R3" t="s">
        <v>292</v>
      </c>
      <c r="S3" t="s">
        <v>305</v>
      </c>
      <c r="T3" t="s">
        <v>296</v>
      </c>
      <c r="U3" t="s">
        <v>39</v>
      </c>
      <c r="V3" t="s">
        <v>40</v>
      </c>
      <c r="W3" t="s">
        <v>38</v>
      </c>
      <c r="X3" t="s">
        <v>40</v>
      </c>
      <c r="Y3" t="s">
        <v>39</v>
      </c>
      <c r="Z3" t="s">
        <v>40</v>
      </c>
      <c r="AG3">
        <v>19.21</v>
      </c>
      <c r="AJ3" t="s">
        <v>306</v>
      </c>
      <c r="AK3" t="s">
        <v>307</v>
      </c>
      <c r="AL3" t="s">
        <v>308</v>
      </c>
      <c r="AM3" t="s">
        <v>465</v>
      </c>
      <c r="AN3" t="s">
        <v>466</v>
      </c>
      <c r="AO3" t="s">
        <v>290</v>
      </c>
      <c r="AP3">
        <v>20.9</v>
      </c>
      <c r="AQ3">
        <v>40</v>
      </c>
      <c r="AR3">
        <v>1.9</v>
      </c>
      <c r="AS3">
        <v>19.399999999999999</v>
      </c>
      <c r="AT3">
        <v>40</v>
      </c>
      <c r="AU3">
        <v>1.8</v>
      </c>
    </row>
    <row r="4" spans="1:60" x14ac:dyDescent="0.2">
      <c r="A4" t="s">
        <v>90</v>
      </c>
      <c r="B4">
        <v>2011</v>
      </c>
      <c r="C4" t="s">
        <v>91</v>
      </c>
      <c r="D4" t="s">
        <v>49</v>
      </c>
      <c r="E4" t="s">
        <v>50</v>
      </c>
      <c r="F4" t="s">
        <v>92</v>
      </c>
      <c r="G4" t="s">
        <v>93</v>
      </c>
      <c r="H4" t="s">
        <v>34</v>
      </c>
      <c r="I4" t="s">
        <v>35</v>
      </c>
      <c r="J4" t="s">
        <v>94</v>
      </c>
      <c r="K4" t="s">
        <v>37</v>
      </c>
      <c r="U4" t="s">
        <v>38</v>
      </c>
      <c r="V4" t="s">
        <v>39</v>
      </c>
      <c r="W4" t="s">
        <v>38</v>
      </c>
      <c r="X4" t="s">
        <v>40</v>
      </c>
      <c r="Y4" t="s">
        <v>39</v>
      </c>
      <c r="Z4" t="s">
        <v>40</v>
      </c>
      <c r="AA4" t="s">
        <v>95</v>
      </c>
      <c r="AB4" t="s">
        <v>96</v>
      </c>
      <c r="AC4" t="s">
        <v>97</v>
      </c>
      <c r="AD4" t="s">
        <v>98</v>
      </c>
      <c r="AJ4" t="s">
        <v>99</v>
      </c>
      <c r="AK4" t="s">
        <v>100</v>
      </c>
      <c r="AL4" t="s">
        <v>57</v>
      </c>
      <c r="AM4" t="s">
        <v>459</v>
      </c>
      <c r="AN4" t="s">
        <v>460</v>
      </c>
      <c r="AO4" t="s">
        <v>436</v>
      </c>
      <c r="AS4">
        <v>0.49</v>
      </c>
      <c r="AT4">
        <v>27</v>
      </c>
      <c r="AU4">
        <v>0.2475</v>
      </c>
    </row>
    <row r="5" spans="1:60" x14ac:dyDescent="0.2">
      <c r="A5" t="s">
        <v>90</v>
      </c>
      <c r="B5">
        <v>2011</v>
      </c>
      <c r="C5" t="s">
        <v>101</v>
      </c>
      <c r="D5" t="s">
        <v>31</v>
      </c>
      <c r="E5" t="s">
        <v>31</v>
      </c>
      <c r="F5" t="s">
        <v>92</v>
      </c>
      <c r="G5" t="s">
        <v>93</v>
      </c>
      <c r="H5" t="s">
        <v>34</v>
      </c>
      <c r="I5" t="s">
        <v>35</v>
      </c>
      <c r="J5" t="s">
        <v>94</v>
      </c>
      <c r="K5" t="s">
        <v>37</v>
      </c>
      <c r="U5" t="s">
        <v>38</v>
      </c>
      <c r="V5" t="s">
        <v>39</v>
      </c>
      <c r="W5" t="s">
        <v>38</v>
      </c>
      <c r="X5" t="s">
        <v>40</v>
      </c>
      <c r="Y5" t="s">
        <v>39</v>
      </c>
      <c r="Z5" t="s">
        <v>40</v>
      </c>
      <c r="AA5" t="s">
        <v>102</v>
      </c>
      <c r="AB5" t="s">
        <v>103</v>
      </c>
      <c r="AC5" t="s">
        <v>104</v>
      </c>
      <c r="AD5" t="s">
        <v>105</v>
      </c>
      <c r="AJ5" t="s">
        <v>106</v>
      </c>
      <c r="AK5" t="s">
        <v>107</v>
      </c>
      <c r="AL5" t="s">
        <v>47</v>
      </c>
      <c r="AM5" t="s">
        <v>459</v>
      </c>
      <c r="AN5" t="s">
        <v>460</v>
      </c>
      <c r="AO5" t="s">
        <v>436</v>
      </c>
    </row>
    <row r="6" spans="1:60" s="1" customFormat="1" x14ac:dyDescent="0.2">
      <c r="A6" s="1" t="s">
        <v>372</v>
      </c>
      <c r="B6" s="1">
        <v>2012</v>
      </c>
      <c r="C6" s="1" t="s">
        <v>373</v>
      </c>
      <c r="D6" s="1" t="s">
        <v>75</v>
      </c>
      <c r="E6" s="1" t="s">
        <v>110</v>
      </c>
      <c r="F6" s="1" t="s">
        <v>286</v>
      </c>
      <c r="G6" s="1" t="s">
        <v>374</v>
      </c>
      <c r="H6" s="1" t="s">
        <v>34</v>
      </c>
      <c r="I6" s="1" t="s">
        <v>35</v>
      </c>
      <c r="J6" s="1" t="s">
        <v>94</v>
      </c>
      <c r="K6" s="1" t="s">
        <v>37</v>
      </c>
      <c r="U6" s="1" t="s">
        <v>39</v>
      </c>
      <c r="V6" s="1" t="s">
        <v>40</v>
      </c>
      <c r="W6" s="1" t="s">
        <v>40</v>
      </c>
      <c r="X6" s="1" t="s">
        <v>40</v>
      </c>
      <c r="Y6" s="1" t="s">
        <v>39</v>
      </c>
      <c r="Z6" s="1" t="s">
        <v>40</v>
      </c>
      <c r="AB6" s="1" t="s">
        <v>375</v>
      </c>
      <c r="AC6" s="1" t="s">
        <v>376</v>
      </c>
      <c r="AD6" s="1" t="s">
        <v>377</v>
      </c>
      <c r="AE6" s="1" t="s">
        <v>378</v>
      </c>
      <c r="AF6" s="1" t="s">
        <v>379</v>
      </c>
      <c r="AJ6" s="1" t="s">
        <v>380</v>
      </c>
      <c r="AK6" s="1" t="s">
        <v>381</v>
      </c>
      <c r="AL6" s="1" t="s">
        <v>57</v>
      </c>
      <c r="AM6" s="1" t="s">
        <v>462</v>
      </c>
      <c r="AN6" s="1" t="s">
        <v>464</v>
      </c>
      <c r="AO6" s="1" t="s">
        <v>290</v>
      </c>
      <c r="AP6" s="1" t="s">
        <v>385</v>
      </c>
      <c r="AQ6" s="1" t="s">
        <v>383</v>
      </c>
      <c r="AR6" s="1" t="s">
        <v>386</v>
      </c>
      <c r="AV6" s="1" t="s">
        <v>467</v>
      </c>
      <c r="AW6" s="1" t="s">
        <v>471</v>
      </c>
      <c r="AX6" s="1" t="s">
        <v>382</v>
      </c>
      <c r="AY6" s="1" t="s">
        <v>383</v>
      </c>
      <c r="AZ6" s="1" t="s">
        <v>384</v>
      </c>
      <c r="BA6" s="1" t="s">
        <v>468</v>
      </c>
    </row>
    <row r="7" spans="1:60" s="1" customFormat="1" x14ac:dyDescent="0.2">
      <c r="A7" s="1" t="s">
        <v>372</v>
      </c>
      <c r="B7" s="1">
        <v>2012</v>
      </c>
      <c r="C7" s="1" t="s">
        <v>387</v>
      </c>
      <c r="D7" s="1" t="s">
        <v>31</v>
      </c>
      <c r="E7" s="1" t="s">
        <v>31</v>
      </c>
      <c r="F7" s="1" t="s">
        <v>286</v>
      </c>
      <c r="G7" s="1" t="s">
        <v>374</v>
      </c>
      <c r="H7" s="1" t="s">
        <v>34</v>
      </c>
      <c r="I7" s="1" t="s">
        <v>35</v>
      </c>
      <c r="J7" s="1" t="s">
        <v>94</v>
      </c>
      <c r="K7" s="1" t="s">
        <v>37</v>
      </c>
      <c r="U7" s="1" t="s">
        <v>39</v>
      </c>
      <c r="V7" s="1" t="s">
        <v>40</v>
      </c>
      <c r="W7" s="1" t="s">
        <v>40</v>
      </c>
      <c r="X7" s="1" t="s">
        <v>40</v>
      </c>
      <c r="Y7" s="1" t="s">
        <v>39</v>
      </c>
      <c r="Z7" s="1" t="s">
        <v>40</v>
      </c>
      <c r="AB7" s="1" t="s">
        <v>43</v>
      </c>
      <c r="AC7" s="1" t="s">
        <v>388</v>
      </c>
      <c r="AD7" s="1" t="s">
        <v>389</v>
      </c>
      <c r="AE7" s="1" t="s">
        <v>390</v>
      </c>
      <c r="AF7" s="1" t="s">
        <v>379</v>
      </c>
      <c r="AJ7" s="1" t="s">
        <v>391</v>
      </c>
      <c r="AK7" s="1" t="s">
        <v>392</v>
      </c>
      <c r="AL7" s="1" t="s">
        <v>47</v>
      </c>
      <c r="AM7" s="1" t="s">
        <v>462</v>
      </c>
      <c r="AN7" s="1" t="s">
        <v>464</v>
      </c>
      <c r="AO7" s="1" t="s">
        <v>290</v>
      </c>
      <c r="AP7" s="1" t="s">
        <v>394</v>
      </c>
      <c r="AQ7" s="1" t="s">
        <v>383</v>
      </c>
      <c r="AR7" s="1" t="s">
        <v>395</v>
      </c>
      <c r="AV7" s="1" t="s">
        <v>467</v>
      </c>
      <c r="AW7" s="1" t="s">
        <v>471</v>
      </c>
      <c r="AX7" s="1" t="s">
        <v>393</v>
      </c>
      <c r="AY7" s="1" t="s">
        <v>383</v>
      </c>
      <c r="AZ7" s="1" t="s">
        <v>323</v>
      </c>
      <c r="BA7" s="1" t="s">
        <v>468</v>
      </c>
    </row>
    <row r="8" spans="1:60" s="1" customFormat="1" x14ac:dyDescent="0.2">
      <c r="A8" s="1" t="s">
        <v>312</v>
      </c>
      <c r="B8" s="1">
        <v>2014</v>
      </c>
      <c r="C8" s="1" t="s">
        <v>309</v>
      </c>
      <c r="D8" s="1" t="s">
        <v>31</v>
      </c>
      <c r="E8" s="1" t="s">
        <v>31</v>
      </c>
      <c r="F8" s="1" t="s">
        <v>286</v>
      </c>
      <c r="G8" s="1" t="s">
        <v>313</v>
      </c>
      <c r="H8" s="1" t="s">
        <v>113</v>
      </c>
      <c r="I8" s="1" t="s">
        <v>35</v>
      </c>
      <c r="J8" s="1" t="s">
        <v>61</v>
      </c>
      <c r="K8" s="1" t="s">
        <v>37</v>
      </c>
      <c r="L8" s="1" t="s">
        <v>310</v>
      </c>
      <c r="M8" s="1" t="s">
        <v>290</v>
      </c>
      <c r="N8" s="1" t="s">
        <v>314</v>
      </c>
      <c r="O8" s="1" t="s">
        <v>315</v>
      </c>
      <c r="P8" s="1" t="s">
        <v>316</v>
      </c>
      <c r="Q8" s="1" t="s">
        <v>317</v>
      </c>
      <c r="R8" s="1" t="s">
        <v>315</v>
      </c>
      <c r="S8" s="1" t="s">
        <v>318</v>
      </c>
      <c r="T8" s="1" t="s">
        <v>296</v>
      </c>
      <c r="U8" s="1" t="s">
        <v>39</v>
      </c>
      <c r="V8" s="1" t="s">
        <v>40</v>
      </c>
      <c r="W8" s="1" t="s">
        <v>38</v>
      </c>
      <c r="X8" s="1" t="s">
        <v>40</v>
      </c>
      <c r="Y8" s="1" t="s">
        <v>39</v>
      </c>
      <c r="Z8" s="1" t="s">
        <v>40</v>
      </c>
      <c r="AG8" s="1">
        <v>14.12</v>
      </c>
      <c r="AJ8" s="1" t="s">
        <v>319</v>
      </c>
      <c r="AK8" s="1" t="s">
        <v>320</v>
      </c>
      <c r="AL8" s="1" t="s">
        <v>321</v>
      </c>
      <c r="AM8" s="1" t="s">
        <v>465</v>
      </c>
      <c r="AN8" s="1" t="s">
        <v>466</v>
      </c>
      <c r="AO8" s="1" t="s">
        <v>290</v>
      </c>
      <c r="AP8" s="1">
        <v>34.21</v>
      </c>
      <c r="AQ8" s="1">
        <v>61</v>
      </c>
      <c r="AR8" s="1">
        <v>5.74</v>
      </c>
      <c r="AS8" s="1" t="s">
        <v>322</v>
      </c>
      <c r="AT8" s="1" t="s">
        <v>315</v>
      </c>
      <c r="AU8" s="1" t="s">
        <v>323</v>
      </c>
      <c r="AV8" s="1" t="s">
        <v>469</v>
      </c>
      <c r="AW8" s="1" t="s">
        <v>470</v>
      </c>
    </row>
    <row r="9" spans="1:60" s="1" customFormat="1" x14ac:dyDescent="0.2">
      <c r="A9" s="1" t="s">
        <v>312</v>
      </c>
      <c r="B9" s="1">
        <v>2014</v>
      </c>
      <c r="C9" s="1" t="s">
        <v>326</v>
      </c>
      <c r="D9" s="1" t="s">
        <v>300</v>
      </c>
      <c r="E9" s="1" t="s">
        <v>301</v>
      </c>
      <c r="F9" s="1" t="s">
        <v>286</v>
      </c>
      <c r="G9" s="1" t="s">
        <v>313</v>
      </c>
      <c r="H9" s="1" t="s">
        <v>113</v>
      </c>
      <c r="I9" s="1" t="s">
        <v>35</v>
      </c>
      <c r="J9" s="1" t="s">
        <v>61</v>
      </c>
      <c r="K9" s="1" t="s">
        <v>37</v>
      </c>
      <c r="L9" s="1" t="s">
        <v>310</v>
      </c>
      <c r="M9" s="1" t="s">
        <v>290</v>
      </c>
      <c r="N9" s="1" t="s">
        <v>327</v>
      </c>
      <c r="O9" s="1" t="s">
        <v>328</v>
      </c>
      <c r="P9" s="1" t="s">
        <v>316</v>
      </c>
      <c r="Q9" s="1" t="s">
        <v>329</v>
      </c>
      <c r="R9" s="1" t="s">
        <v>328</v>
      </c>
      <c r="S9" s="1" t="s">
        <v>330</v>
      </c>
      <c r="T9" s="1" t="s">
        <v>296</v>
      </c>
      <c r="U9" s="1" t="s">
        <v>39</v>
      </c>
      <c r="V9" s="1" t="s">
        <v>40</v>
      </c>
      <c r="W9" s="1" t="s">
        <v>38</v>
      </c>
      <c r="X9" s="1" t="s">
        <v>40</v>
      </c>
      <c r="Y9" s="1" t="s">
        <v>39</v>
      </c>
      <c r="Z9" s="1" t="s">
        <v>40</v>
      </c>
      <c r="AG9" s="1">
        <v>14.19</v>
      </c>
      <c r="AJ9" s="1" t="s">
        <v>331</v>
      </c>
      <c r="AK9" s="1" t="s">
        <v>332</v>
      </c>
      <c r="AL9" s="1" t="s">
        <v>333</v>
      </c>
      <c r="AM9" s="1" t="s">
        <v>465</v>
      </c>
      <c r="AN9" s="1" t="s">
        <v>466</v>
      </c>
      <c r="AO9" s="1" t="s">
        <v>290</v>
      </c>
      <c r="AP9" s="1">
        <v>34.14</v>
      </c>
      <c r="AQ9" s="1">
        <v>62</v>
      </c>
      <c r="AR9" s="1">
        <v>5.35</v>
      </c>
      <c r="AS9" s="1" t="s">
        <v>334</v>
      </c>
      <c r="AT9" s="1" t="s">
        <v>328</v>
      </c>
      <c r="AU9" s="1" t="s">
        <v>335</v>
      </c>
      <c r="AV9" s="1" t="s">
        <v>469</v>
      </c>
      <c r="AW9" s="1" t="s">
        <v>470</v>
      </c>
    </row>
    <row r="10" spans="1:60" x14ac:dyDescent="0.2">
      <c r="A10" t="s">
        <v>338</v>
      </c>
      <c r="B10">
        <v>2014</v>
      </c>
      <c r="C10" t="s">
        <v>339</v>
      </c>
      <c r="D10" t="s">
        <v>31</v>
      </c>
      <c r="E10" t="s">
        <v>31</v>
      </c>
      <c r="F10" t="s">
        <v>59</v>
      </c>
      <c r="G10" t="s">
        <v>340</v>
      </c>
      <c r="H10" t="s">
        <v>113</v>
      </c>
      <c r="I10" t="s">
        <v>35</v>
      </c>
      <c r="J10" t="s">
        <v>61</v>
      </c>
      <c r="U10" t="s">
        <v>40</v>
      </c>
      <c r="V10" t="s">
        <v>40</v>
      </c>
      <c r="W10" t="s">
        <v>40</v>
      </c>
      <c r="X10" t="s">
        <v>40</v>
      </c>
      <c r="Y10" t="s">
        <v>39</v>
      </c>
      <c r="Z10" t="s">
        <v>40</v>
      </c>
      <c r="AD10" t="s">
        <v>341</v>
      </c>
      <c r="AM10" t="s">
        <v>461</v>
      </c>
      <c r="AN10" t="s">
        <v>457</v>
      </c>
      <c r="AO10" t="s">
        <v>290</v>
      </c>
      <c r="AP10" t="s">
        <v>353</v>
      </c>
      <c r="AQ10" t="s">
        <v>343</v>
      </c>
      <c r="AR10" t="s">
        <v>354</v>
      </c>
      <c r="AS10" t="s">
        <v>351</v>
      </c>
      <c r="AT10" t="s">
        <v>343</v>
      </c>
      <c r="AU10" t="s">
        <v>352</v>
      </c>
    </row>
    <row r="11" spans="1:60" x14ac:dyDescent="0.2">
      <c r="A11" t="s">
        <v>338</v>
      </c>
      <c r="B11">
        <v>2014</v>
      </c>
      <c r="C11" t="s">
        <v>355</v>
      </c>
      <c r="D11" t="s">
        <v>75</v>
      </c>
      <c r="E11" t="s">
        <v>110</v>
      </c>
      <c r="F11" t="s">
        <v>59</v>
      </c>
      <c r="G11" t="s">
        <v>340</v>
      </c>
      <c r="H11" t="s">
        <v>113</v>
      </c>
      <c r="I11" t="s">
        <v>35</v>
      </c>
      <c r="J11" t="s">
        <v>61</v>
      </c>
      <c r="U11" t="s">
        <v>40</v>
      </c>
      <c r="V11" t="s">
        <v>40</v>
      </c>
      <c r="W11" t="s">
        <v>40</v>
      </c>
      <c r="X11" t="s">
        <v>40</v>
      </c>
      <c r="Y11" t="s">
        <v>39</v>
      </c>
      <c r="Z11" t="s">
        <v>40</v>
      </c>
      <c r="AD11" t="s">
        <v>341</v>
      </c>
      <c r="AM11" t="s">
        <v>461</v>
      </c>
      <c r="AN11" t="s">
        <v>457</v>
      </c>
      <c r="AO11" t="s">
        <v>290</v>
      </c>
      <c r="AP11" t="s">
        <v>369</v>
      </c>
      <c r="AQ11" t="s">
        <v>343</v>
      </c>
      <c r="AR11" t="s">
        <v>370</v>
      </c>
      <c r="AS11" t="s">
        <v>367</v>
      </c>
      <c r="AT11" t="s">
        <v>343</v>
      </c>
      <c r="AU11" t="s">
        <v>368</v>
      </c>
      <c r="AX11" t="s">
        <v>365</v>
      </c>
      <c r="AY11" t="s">
        <v>343</v>
      </c>
      <c r="AZ11" t="s">
        <v>366</v>
      </c>
    </row>
    <row r="12" spans="1:60" s="1" customFormat="1" x14ac:dyDescent="0.2">
      <c r="A12" s="1" t="s">
        <v>161</v>
      </c>
      <c r="B12" s="1">
        <v>2016</v>
      </c>
      <c r="C12" s="1" t="s">
        <v>162</v>
      </c>
      <c r="D12" s="1" t="s">
        <v>75</v>
      </c>
      <c r="E12" s="1" t="s">
        <v>76</v>
      </c>
      <c r="F12" s="1" t="s">
        <v>163</v>
      </c>
      <c r="G12" s="1" t="s">
        <v>164</v>
      </c>
      <c r="H12" s="1" t="s">
        <v>113</v>
      </c>
      <c r="I12" s="1" t="s">
        <v>35</v>
      </c>
      <c r="J12" s="1" t="s">
        <v>165</v>
      </c>
      <c r="K12" s="1" t="s">
        <v>37</v>
      </c>
      <c r="U12" s="1" t="s">
        <v>39</v>
      </c>
      <c r="V12" s="1" t="s">
        <v>39</v>
      </c>
      <c r="W12" s="1" t="s">
        <v>39</v>
      </c>
      <c r="X12" s="1" t="s">
        <v>40</v>
      </c>
      <c r="Y12" s="1" t="s">
        <v>39</v>
      </c>
      <c r="Z12" s="1" t="s">
        <v>40</v>
      </c>
      <c r="AA12" s="1" t="s">
        <v>166</v>
      </c>
      <c r="AB12" s="1" t="s">
        <v>167</v>
      </c>
      <c r="AC12" s="1" t="s">
        <v>168</v>
      </c>
      <c r="AD12" s="1" t="s">
        <v>169</v>
      </c>
      <c r="AH12" s="1" t="s">
        <v>170</v>
      </c>
      <c r="AI12" s="1" t="s">
        <v>116</v>
      </c>
      <c r="AJ12" s="1" t="s">
        <v>171</v>
      </c>
      <c r="AK12" s="1" t="s">
        <v>172</v>
      </c>
      <c r="AL12" s="1" t="s">
        <v>144</v>
      </c>
      <c r="AM12" s="1" t="s">
        <v>462</v>
      </c>
      <c r="AN12" s="1" t="s">
        <v>464</v>
      </c>
      <c r="AO12" s="1" t="s">
        <v>290</v>
      </c>
      <c r="AP12" s="1" t="s">
        <v>180</v>
      </c>
      <c r="AQ12" s="1" t="s">
        <v>174</v>
      </c>
      <c r="AR12" s="1" t="s">
        <v>181</v>
      </c>
      <c r="AW12" s="1" t="s">
        <v>471</v>
      </c>
      <c r="AX12" s="1" t="s">
        <v>178</v>
      </c>
      <c r="AY12" s="1" t="s">
        <v>174</v>
      </c>
      <c r="AZ12" s="1" t="s">
        <v>179</v>
      </c>
      <c r="BA12" s="1" t="s">
        <v>447</v>
      </c>
    </row>
    <row r="13" spans="1:60" s="1" customFormat="1" x14ac:dyDescent="0.2">
      <c r="A13" s="1" t="s">
        <v>161</v>
      </c>
      <c r="B13" s="1">
        <v>2016</v>
      </c>
      <c r="C13" s="1" t="s">
        <v>182</v>
      </c>
      <c r="D13" s="1" t="s">
        <v>31</v>
      </c>
      <c r="E13" s="1" t="s">
        <v>31</v>
      </c>
      <c r="F13" s="1" t="s">
        <v>163</v>
      </c>
      <c r="G13" s="1" t="s">
        <v>164</v>
      </c>
      <c r="H13" s="1" t="s">
        <v>113</v>
      </c>
      <c r="I13" s="1" t="s">
        <v>35</v>
      </c>
      <c r="J13" s="1" t="s">
        <v>165</v>
      </c>
      <c r="K13" s="1" t="s">
        <v>37</v>
      </c>
      <c r="U13" s="1" t="s">
        <v>39</v>
      </c>
      <c r="V13" s="1" t="s">
        <v>39</v>
      </c>
      <c r="W13" s="1" t="s">
        <v>39</v>
      </c>
      <c r="X13" s="1" t="s">
        <v>40</v>
      </c>
      <c r="Y13" s="1" t="s">
        <v>39</v>
      </c>
      <c r="Z13" s="1" t="s">
        <v>40</v>
      </c>
      <c r="AA13" s="1" t="s">
        <v>183</v>
      </c>
      <c r="AB13" s="1" t="s">
        <v>184</v>
      </c>
      <c r="AC13" s="1" t="s">
        <v>185</v>
      </c>
      <c r="AD13" s="1" t="s">
        <v>186</v>
      </c>
      <c r="AH13" s="1" t="s">
        <v>170</v>
      </c>
      <c r="AI13" s="1" t="s">
        <v>116</v>
      </c>
      <c r="AJ13" s="1" t="s">
        <v>187</v>
      </c>
      <c r="AK13" s="1" t="s">
        <v>188</v>
      </c>
      <c r="AL13" s="1" t="s">
        <v>47</v>
      </c>
      <c r="AM13" s="1" t="s">
        <v>462</v>
      </c>
      <c r="AN13" s="1" t="s">
        <v>464</v>
      </c>
      <c r="AO13" s="1" t="s">
        <v>290</v>
      </c>
      <c r="AP13" s="1" t="s">
        <v>195</v>
      </c>
      <c r="AQ13" s="1" t="s">
        <v>174</v>
      </c>
      <c r="AR13" s="1" t="s">
        <v>196</v>
      </c>
      <c r="AW13" s="1" t="s">
        <v>471</v>
      </c>
      <c r="AX13" s="1" t="s">
        <v>193</v>
      </c>
      <c r="AY13" s="1" t="s">
        <v>174</v>
      </c>
      <c r="AZ13" s="1" t="s">
        <v>194</v>
      </c>
      <c r="BA13" s="1" t="s">
        <v>447</v>
      </c>
    </row>
    <row r="14" spans="1:60" x14ac:dyDescent="0.2">
      <c r="A14" t="s">
        <v>396</v>
      </c>
      <c r="B14">
        <v>2017</v>
      </c>
      <c r="C14" t="s">
        <v>397</v>
      </c>
      <c r="D14" t="s">
        <v>49</v>
      </c>
      <c r="E14" t="s">
        <v>50</v>
      </c>
      <c r="F14" t="s">
        <v>286</v>
      </c>
      <c r="G14" t="s">
        <v>398</v>
      </c>
      <c r="H14" t="s">
        <v>34</v>
      </c>
      <c r="I14" t="s">
        <v>35</v>
      </c>
      <c r="J14" t="s">
        <v>94</v>
      </c>
      <c r="K14" t="s">
        <v>37</v>
      </c>
      <c r="U14" t="s">
        <v>39</v>
      </c>
      <c r="V14" t="s">
        <v>39</v>
      </c>
      <c r="W14" t="s">
        <v>38</v>
      </c>
      <c r="X14" t="s">
        <v>39</v>
      </c>
      <c r="Y14" t="s">
        <v>39</v>
      </c>
      <c r="Z14" t="s">
        <v>39</v>
      </c>
      <c r="AC14" t="s">
        <v>399</v>
      </c>
      <c r="AD14" t="s">
        <v>400</v>
      </c>
      <c r="AE14" t="s">
        <v>401</v>
      </c>
      <c r="AJ14" t="s">
        <v>402</v>
      </c>
      <c r="AK14" t="s">
        <v>403</v>
      </c>
      <c r="AL14" t="s">
        <v>57</v>
      </c>
      <c r="AM14" t="s">
        <v>461</v>
      </c>
      <c r="AN14" t="s">
        <v>457</v>
      </c>
      <c r="AO14" t="s">
        <v>290</v>
      </c>
      <c r="AP14" t="s">
        <v>410</v>
      </c>
      <c r="AR14">
        <v>7.83</v>
      </c>
      <c r="AS14" t="s">
        <v>409</v>
      </c>
      <c r="AU14" t="s">
        <v>408</v>
      </c>
      <c r="AV14" t="s">
        <v>447</v>
      </c>
    </row>
    <row r="15" spans="1:60" x14ac:dyDescent="0.2">
      <c r="A15" t="s">
        <v>396</v>
      </c>
      <c r="B15">
        <v>2017</v>
      </c>
      <c r="C15" t="s">
        <v>411</v>
      </c>
      <c r="D15" t="s">
        <v>31</v>
      </c>
      <c r="E15" t="s">
        <v>31</v>
      </c>
      <c r="F15" t="s">
        <v>286</v>
      </c>
      <c r="G15" t="s">
        <v>398</v>
      </c>
      <c r="H15" t="s">
        <v>34</v>
      </c>
      <c r="I15" t="s">
        <v>35</v>
      </c>
      <c r="J15" t="s">
        <v>94</v>
      </c>
      <c r="K15" t="s">
        <v>37</v>
      </c>
      <c r="U15" t="s">
        <v>39</v>
      </c>
      <c r="V15" t="s">
        <v>39</v>
      </c>
      <c r="W15" t="s">
        <v>38</v>
      </c>
      <c r="X15" t="s">
        <v>39</v>
      </c>
      <c r="Y15" t="s">
        <v>39</v>
      </c>
      <c r="Z15" t="s">
        <v>39</v>
      </c>
      <c r="AC15" t="s">
        <v>412</v>
      </c>
      <c r="AD15" t="s">
        <v>413</v>
      </c>
      <c r="AE15" t="s">
        <v>414</v>
      </c>
      <c r="AJ15" t="s">
        <v>415</v>
      </c>
      <c r="AK15" t="s">
        <v>416</v>
      </c>
      <c r="AL15" t="s">
        <v>417</v>
      </c>
      <c r="AM15" t="s">
        <v>461</v>
      </c>
      <c r="AN15" t="s">
        <v>457</v>
      </c>
      <c r="AO15" t="s">
        <v>290</v>
      </c>
      <c r="AP15" t="s">
        <v>424</v>
      </c>
      <c r="AR15">
        <v>4.2</v>
      </c>
      <c r="AS15" t="s">
        <v>423</v>
      </c>
      <c r="AU15" t="s">
        <v>422</v>
      </c>
      <c r="AV15" t="s">
        <v>447</v>
      </c>
    </row>
    <row r="16" spans="1:60" x14ac:dyDescent="0.2">
      <c r="A16" t="s">
        <v>239</v>
      </c>
      <c r="B16">
        <v>2018</v>
      </c>
      <c r="C16" t="s">
        <v>30</v>
      </c>
      <c r="D16" t="s">
        <v>31</v>
      </c>
      <c r="E16" t="s">
        <v>31</v>
      </c>
      <c r="F16" t="s">
        <v>111</v>
      </c>
      <c r="G16" t="s">
        <v>240</v>
      </c>
      <c r="H16" t="s">
        <v>34</v>
      </c>
      <c r="I16" t="s">
        <v>35</v>
      </c>
      <c r="J16" t="s">
        <v>61</v>
      </c>
      <c r="K16" t="s">
        <v>37</v>
      </c>
      <c r="U16" t="s">
        <v>39</v>
      </c>
      <c r="V16" t="s">
        <v>39</v>
      </c>
      <c r="W16" t="s">
        <v>38</v>
      </c>
      <c r="X16" t="s">
        <v>40</v>
      </c>
      <c r="Y16" t="s">
        <v>39</v>
      </c>
      <c r="Z16" t="s">
        <v>40</v>
      </c>
      <c r="AA16" t="s">
        <v>241</v>
      </c>
      <c r="AB16" t="s">
        <v>242</v>
      </c>
      <c r="AC16" t="s">
        <v>243</v>
      </c>
      <c r="AD16" t="s">
        <v>244</v>
      </c>
      <c r="AG16">
        <v>23.82</v>
      </c>
      <c r="AH16" t="s">
        <v>170</v>
      </c>
      <c r="AI16" t="s">
        <v>116</v>
      </c>
      <c r="AJ16" t="s">
        <v>245</v>
      </c>
      <c r="AL16" t="s">
        <v>47</v>
      </c>
      <c r="AM16" t="s">
        <v>462</v>
      </c>
      <c r="AN16" t="s">
        <v>463</v>
      </c>
      <c r="AO16" t="s">
        <v>290</v>
      </c>
      <c r="AP16" t="s">
        <v>250</v>
      </c>
      <c r="AQ16" t="s">
        <v>132</v>
      </c>
      <c r="AR16" t="s">
        <v>251</v>
      </c>
      <c r="AS16" t="s">
        <v>252</v>
      </c>
      <c r="AT16" t="s">
        <v>132</v>
      </c>
      <c r="AU16" t="s">
        <v>253</v>
      </c>
    </row>
    <row r="17" spans="1:53" x14ac:dyDescent="0.2">
      <c r="A17" t="s">
        <v>239</v>
      </c>
      <c r="B17">
        <v>2018</v>
      </c>
      <c r="C17" t="s">
        <v>254</v>
      </c>
      <c r="D17" t="s">
        <v>255</v>
      </c>
      <c r="E17" t="s">
        <v>256</v>
      </c>
      <c r="F17" t="s">
        <v>111</v>
      </c>
      <c r="G17" t="s">
        <v>240</v>
      </c>
      <c r="H17" t="s">
        <v>34</v>
      </c>
      <c r="I17" t="s">
        <v>35</v>
      </c>
      <c r="J17" t="s">
        <v>61</v>
      </c>
      <c r="K17" t="s">
        <v>37</v>
      </c>
      <c r="U17" t="s">
        <v>39</v>
      </c>
      <c r="V17" t="s">
        <v>39</v>
      </c>
      <c r="W17" t="s">
        <v>38</v>
      </c>
      <c r="X17" t="s">
        <v>40</v>
      </c>
      <c r="Y17" t="s">
        <v>39</v>
      </c>
      <c r="Z17" t="s">
        <v>40</v>
      </c>
      <c r="AA17" t="s">
        <v>257</v>
      </c>
      <c r="AB17" t="s">
        <v>258</v>
      </c>
      <c r="AC17" t="s">
        <v>259</v>
      </c>
      <c r="AD17" t="s">
        <v>260</v>
      </c>
      <c r="AG17">
        <v>19</v>
      </c>
      <c r="AH17" t="s">
        <v>170</v>
      </c>
      <c r="AI17" t="s">
        <v>116</v>
      </c>
      <c r="AJ17" t="s">
        <v>261</v>
      </c>
      <c r="AK17" t="s">
        <v>262</v>
      </c>
      <c r="AL17" t="s">
        <v>263</v>
      </c>
      <c r="AM17" t="s">
        <v>462</v>
      </c>
      <c r="AN17" t="s">
        <v>463</v>
      </c>
      <c r="AO17" t="s">
        <v>290</v>
      </c>
      <c r="AP17" t="s">
        <v>268</v>
      </c>
      <c r="AQ17" t="s">
        <v>132</v>
      </c>
      <c r="AR17" t="s">
        <v>269</v>
      </c>
      <c r="AS17" t="s">
        <v>270</v>
      </c>
      <c r="AT17" t="s">
        <v>132</v>
      </c>
      <c r="AU17" t="s">
        <v>271</v>
      </c>
    </row>
    <row r="18" spans="1:53" s="1" customFormat="1" x14ac:dyDescent="0.2">
      <c r="A18" s="1" t="s">
        <v>312</v>
      </c>
      <c r="B18" s="1">
        <v>2014</v>
      </c>
      <c r="C18" s="1" t="s">
        <v>309</v>
      </c>
      <c r="D18" s="1" t="s">
        <v>31</v>
      </c>
      <c r="E18" s="1" t="s">
        <v>31</v>
      </c>
      <c r="F18" s="1" t="s">
        <v>286</v>
      </c>
      <c r="G18" s="1" t="s">
        <v>313</v>
      </c>
      <c r="H18" s="1" t="s">
        <v>113</v>
      </c>
      <c r="I18" s="1" t="s">
        <v>35</v>
      </c>
      <c r="J18" s="1" t="s">
        <v>61</v>
      </c>
      <c r="K18" s="1" t="s">
        <v>37</v>
      </c>
      <c r="L18" s="1" t="s">
        <v>310</v>
      </c>
      <c r="M18" s="1" t="s">
        <v>290</v>
      </c>
      <c r="N18" s="1" t="s">
        <v>314</v>
      </c>
      <c r="O18" s="1" t="s">
        <v>315</v>
      </c>
      <c r="P18" s="1" t="s">
        <v>316</v>
      </c>
      <c r="Q18" s="1" t="s">
        <v>317</v>
      </c>
      <c r="R18" s="1" t="s">
        <v>315</v>
      </c>
      <c r="S18" s="1" t="s">
        <v>318</v>
      </c>
      <c r="T18" s="1" t="s">
        <v>296</v>
      </c>
      <c r="U18" s="1" t="s">
        <v>39</v>
      </c>
      <c r="V18" s="1" t="s">
        <v>40</v>
      </c>
      <c r="W18" s="1" t="s">
        <v>38</v>
      </c>
      <c r="X18" s="1" t="s">
        <v>40</v>
      </c>
      <c r="Y18" s="1" t="s">
        <v>39</v>
      </c>
      <c r="Z18" s="1" t="s">
        <v>40</v>
      </c>
      <c r="AG18" s="1">
        <v>14.12</v>
      </c>
      <c r="AJ18" s="1" t="s">
        <v>319</v>
      </c>
      <c r="AK18" s="1" t="s">
        <v>320</v>
      </c>
      <c r="AL18" s="1" t="s">
        <v>321</v>
      </c>
      <c r="AM18" s="1" t="s">
        <v>465</v>
      </c>
      <c r="AN18" s="1" t="s">
        <v>466</v>
      </c>
      <c r="AO18" s="1" t="s">
        <v>290</v>
      </c>
      <c r="AP18" s="1">
        <v>34.21</v>
      </c>
      <c r="AQ18" s="1">
        <v>61</v>
      </c>
      <c r="AR18" s="1">
        <v>5.74</v>
      </c>
      <c r="AS18" s="1" t="s">
        <v>324</v>
      </c>
      <c r="AT18" s="1" t="s">
        <v>315</v>
      </c>
      <c r="AU18" s="1" t="s">
        <v>325</v>
      </c>
      <c r="AV18" s="1" t="s">
        <v>433</v>
      </c>
      <c r="AW18" s="7" t="s">
        <v>470</v>
      </c>
    </row>
    <row r="19" spans="1:53" s="1" customFormat="1" x14ac:dyDescent="0.2">
      <c r="A19" s="1" t="s">
        <v>312</v>
      </c>
      <c r="B19" s="1">
        <v>2014</v>
      </c>
      <c r="C19" s="1" t="s">
        <v>326</v>
      </c>
      <c r="D19" s="1" t="s">
        <v>300</v>
      </c>
      <c r="E19" s="1" t="s">
        <v>301</v>
      </c>
      <c r="F19" s="1" t="s">
        <v>286</v>
      </c>
      <c r="G19" s="1" t="s">
        <v>313</v>
      </c>
      <c r="H19" s="1" t="s">
        <v>113</v>
      </c>
      <c r="I19" s="1" t="s">
        <v>35</v>
      </c>
      <c r="J19" s="1" t="s">
        <v>61</v>
      </c>
      <c r="K19" s="1" t="s">
        <v>37</v>
      </c>
      <c r="L19" s="1" t="s">
        <v>310</v>
      </c>
      <c r="M19" s="1" t="s">
        <v>290</v>
      </c>
      <c r="N19" s="1" t="s">
        <v>327</v>
      </c>
      <c r="O19" s="1" t="s">
        <v>328</v>
      </c>
      <c r="P19" s="1" t="s">
        <v>316</v>
      </c>
      <c r="Q19" s="1" t="s">
        <v>329</v>
      </c>
      <c r="R19" s="1" t="s">
        <v>328</v>
      </c>
      <c r="S19" s="1" t="s">
        <v>330</v>
      </c>
      <c r="T19" s="1" t="s">
        <v>296</v>
      </c>
      <c r="U19" s="1" t="s">
        <v>39</v>
      </c>
      <c r="V19" s="1" t="s">
        <v>40</v>
      </c>
      <c r="W19" s="1" t="s">
        <v>38</v>
      </c>
      <c r="X19" s="1" t="s">
        <v>40</v>
      </c>
      <c r="Y19" s="1" t="s">
        <v>39</v>
      </c>
      <c r="Z19" s="1" t="s">
        <v>40</v>
      </c>
      <c r="AG19" s="1">
        <v>14.19</v>
      </c>
      <c r="AJ19" s="1" t="s">
        <v>331</v>
      </c>
      <c r="AK19" s="1" t="s">
        <v>332</v>
      </c>
      <c r="AL19" s="1" t="s">
        <v>333</v>
      </c>
      <c r="AM19" s="1" t="s">
        <v>465</v>
      </c>
      <c r="AN19" s="1" t="s">
        <v>466</v>
      </c>
      <c r="AO19" s="1" t="s">
        <v>290</v>
      </c>
      <c r="AP19" s="1">
        <v>34.14</v>
      </c>
      <c r="AQ19" s="1">
        <v>62</v>
      </c>
      <c r="AR19" s="1">
        <v>5.35</v>
      </c>
      <c r="AS19" s="1" t="s">
        <v>336</v>
      </c>
      <c r="AT19" s="1" t="s">
        <v>328</v>
      </c>
      <c r="AU19" s="1" t="s">
        <v>337</v>
      </c>
      <c r="AV19" s="1" t="s">
        <v>433</v>
      </c>
      <c r="AW19" s="7" t="s">
        <v>470</v>
      </c>
    </row>
    <row r="20" spans="1:53" s="2" customFormat="1" x14ac:dyDescent="0.2">
      <c r="A20" s="2" t="s">
        <v>486</v>
      </c>
      <c r="B20" s="2">
        <v>2020</v>
      </c>
      <c r="C20" s="2" t="s">
        <v>355</v>
      </c>
      <c r="D20" s="2" t="s">
        <v>49</v>
      </c>
      <c r="F20" s="2" t="s">
        <v>32</v>
      </c>
      <c r="G20" s="2" t="s">
        <v>487</v>
      </c>
      <c r="H20" s="2" t="s">
        <v>488</v>
      </c>
      <c r="I20" s="2" t="s">
        <v>489</v>
      </c>
      <c r="J20" s="2" t="s">
        <v>165</v>
      </c>
      <c r="K20" s="2" t="s">
        <v>37</v>
      </c>
      <c r="U20" s="2" t="s">
        <v>490</v>
      </c>
      <c r="V20" s="2" t="s">
        <v>490</v>
      </c>
      <c r="W20" s="2" t="s">
        <v>40</v>
      </c>
      <c r="X20" s="2" t="s">
        <v>40</v>
      </c>
      <c r="Y20" s="2" t="s">
        <v>40</v>
      </c>
      <c r="Z20" s="2" t="s">
        <v>40</v>
      </c>
      <c r="AJ20" s="2" t="s">
        <v>523</v>
      </c>
      <c r="AL20" s="2" t="s">
        <v>83</v>
      </c>
      <c r="AM20" s="2" t="s">
        <v>526</v>
      </c>
      <c r="AN20" s="2" t="s">
        <v>457</v>
      </c>
      <c r="AO20" s="2" t="s">
        <v>290</v>
      </c>
      <c r="AP20" s="2">
        <v>180.88</v>
      </c>
      <c r="AQ20" s="2">
        <v>157</v>
      </c>
      <c r="AR20" s="5">
        <f>1.67*SQRT(AQ20)</f>
        <v>20.925040023856585</v>
      </c>
      <c r="AS20" s="2">
        <v>182.36</v>
      </c>
      <c r="AT20" s="2">
        <v>157</v>
      </c>
      <c r="AU20" s="5">
        <f>1.82*SQRT(AT20)</f>
        <v>22.804534636777834</v>
      </c>
      <c r="AV20" s="2" t="s">
        <v>442</v>
      </c>
      <c r="AW20" s="5" t="s">
        <v>560</v>
      </c>
    </row>
    <row r="21" spans="1:53" s="2" customFormat="1" x14ac:dyDescent="0.2">
      <c r="A21" s="2" t="s">
        <v>486</v>
      </c>
      <c r="B21" s="2">
        <v>2020</v>
      </c>
      <c r="C21" s="2" t="s">
        <v>30</v>
      </c>
      <c r="D21" s="2" t="s">
        <v>31</v>
      </c>
      <c r="F21" s="2" t="s">
        <v>32</v>
      </c>
      <c r="G21" s="2" t="s">
        <v>487</v>
      </c>
      <c r="H21" s="2" t="s">
        <v>488</v>
      </c>
      <c r="I21" s="2" t="s">
        <v>489</v>
      </c>
      <c r="J21" s="2" t="s">
        <v>165</v>
      </c>
      <c r="K21" s="2" t="s">
        <v>37</v>
      </c>
      <c r="U21" s="2" t="s">
        <v>490</v>
      </c>
      <c r="V21" s="2" t="s">
        <v>490</v>
      </c>
      <c r="W21" s="2" t="s">
        <v>40</v>
      </c>
      <c r="X21" s="2" t="s">
        <v>40</v>
      </c>
      <c r="Y21" s="2" t="s">
        <v>40</v>
      </c>
      <c r="Z21" s="2" t="s">
        <v>40</v>
      </c>
      <c r="AJ21" s="2" t="s">
        <v>524</v>
      </c>
      <c r="AL21" s="2" t="s">
        <v>83</v>
      </c>
      <c r="AM21" s="2" t="s">
        <v>526</v>
      </c>
      <c r="AN21" s="2" t="s">
        <v>457</v>
      </c>
      <c r="AO21" s="2" t="s">
        <v>290</v>
      </c>
      <c r="AP21" s="2">
        <v>180.24</v>
      </c>
      <c r="AQ21" s="2">
        <v>157</v>
      </c>
      <c r="AR21" s="5">
        <f>1.67*SQRT(AQ21)</f>
        <v>20.925040023856585</v>
      </c>
      <c r="AS21" s="2">
        <v>279.73</v>
      </c>
      <c r="AT21" s="2">
        <v>157</v>
      </c>
      <c r="AU21" s="5">
        <f>1.82*SQRT(AT21)</f>
        <v>22.804534636777834</v>
      </c>
      <c r="AV21" s="2" t="s">
        <v>442</v>
      </c>
      <c r="AW21" s="5" t="s">
        <v>560</v>
      </c>
    </row>
    <row r="22" spans="1:53" s="2" customFormat="1" x14ac:dyDescent="0.2">
      <c r="A22" s="2" t="s">
        <v>482</v>
      </c>
      <c r="B22" s="2">
        <v>2019</v>
      </c>
      <c r="C22" s="2" t="s">
        <v>91</v>
      </c>
      <c r="D22" s="2" t="s">
        <v>300</v>
      </c>
      <c r="F22" s="2" t="s">
        <v>163</v>
      </c>
      <c r="G22" s="2" t="s">
        <v>509</v>
      </c>
      <c r="H22" s="2" t="s">
        <v>484</v>
      </c>
      <c r="I22" s="2" t="s">
        <v>484</v>
      </c>
      <c r="J22" s="2" t="s">
        <v>485</v>
      </c>
      <c r="K22" s="2" t="s">
        <v>37</v>
      </c>
      <c r="U22" s="2" t="s">
        <v>38</v>
      </c>
      <c r="V22" s="2" t="s">
        <v>40</v>
      </c>
      <c r="W22" s="2" t="s">
        <v>38</v>
      </c>
      <c r="X22" s="2" t="s">
        <v>39</v>
      </c>
      <c r="Y22" s="2" t="s">
        <v>39</v>
      </c>
      <c r="Z22" s="2" t="s">
        <v>40</v>
      </c>
      <c r="AA22" s="2" t="s">
        <v>511</v>
      </c>
      <c r="AB22" s="3">
        <v>0.76700000000000002</v>
      </c>
      <c r="AC22" s="2" t="s">
        <v>513</v>
      </c>
      <c r="AD22" s="3">
        <v>0.83330000000000004</v>
      </c>
      <c r="AJ22" s="2" t="s">
        <v>483</v>
      </c>
      <c r="AL22" s="2" t="s">
        <v>83</v>
      </c>
      <c r="AM22" s="2" t="s">
        <v>527</v>
      </c>
      <c r="AN22" s="2" t="s">
        <v>528</v>
      </c>
      <c r="AO22" s="2" t="s">
        <v>290</v>
      </c>
      <c r="AP22" s="2">
        <v>41.75</v>
      </c>
      <c r="AQ22" s="2">
        <v>30</v>
      </c>
      <c r="AR22" s="2">
        <v>10</v>
      </c>
      <c r="AS22" s="2">
        <v>45.41</v>
      </c>
      <c r="AT22" s="2">
        <v>26</v>
      </c>
      <c r="AU22" s="2">
        <v>7.94</v>
      </c>
      <c r="AV22" s="2" t="s">
        <v>515</v>
      </c>
    </row>
    <row r="23" spans="1:53" s="2" customFormat="1" x14ac:dyDescent="0.2">
      <c r="A23" s="2" t="s">
        <v>482</v>
      </c>
      <c r="B23" s="2">
        <v>2019</v>
      </c>
      <c r="C23" s="2" t="s">
        <v>30</v>
      </c>
      <c r="D23" s="2" t="s">
        <v>31</v>
      </c>
      <c r="F23" s="2" t="s">
        <v>163</v>
      </c>
      <c r="G23" s="2" t="s">
        <v>509</v>
      </c>
      <c r="H23" s="2" t="s">
        <v>484</v>
      </c>
      <c r="I23" s="2" t="s">
        <v>484</v>
      </c>
      <c r="J23" s="2" t="s">
        <v>485</v>
      </c>
      <c r="K23" s="2" t="s">
        <v>37</v>
      </c>
      <c r="U23" s="2" t="s">
        <v>38</v>
      </c>
      <c r="V23" s="2" t="s">
        <v>40</v>
      </c>
      <c r="W23" s="2" t="s">
        <v>38</v>
      </c>
      <c r="X23" s="2" t="s">
        <v>39</v>
      </c>
      <c r="Y23" s="2" t="s">
        <v>39</v>
      </c>
      <c r="Z23" s="2" t="s">
        <v>40</v>
      </c>
      <c r="AA23" s="2" t="s">
        <v>512</v>
      </c>
      <c r="AB23" s="3">
        <v>0.67700000000000005</v>
      </c>
      <c r="AC23" s="2" t="s">
        <v>514</v>
      </c>
      <c r="AD23" s="3">
        <v>0.74229999999999996</v>
      </c>
      <c r="AJ23" s="2" t="s">
        <v>510</v>
      </c>
      <c r="AL23" s="2" t="s">
        <v>83</v>
      </c>
      <c r="AM23" s="2" t="s">
        <v>527</v>
      </c>
      <c r="AN23" s="2" t="s">
        <v>528</v>
      </c>
      <c r="AO23" s="2" t="s">
        <v>290</v>
      </c>
      <c r="AP23" s="2">
        <v>41.59</v>
      </c>
      <c r="AQ23" s="2">
        <v>31</v>
      </c>
      <c r="AR23" s="2">
        <v>9.7799999999999994</v>
      </c>
      <c r="AS23" s="2">
        <v>37.74</v>
      </c>
      <c r="AT23" s="2">
        <v>28</v>
      </c>
      <c r="AU23" s="2">
        <v>10.77</v>
      </c>
      <c r="AV23" s="2" t="s">
        <v>515</v>
      </c>
    </row>
    <row r="24" spans="1:53" s="5" customFormat="1" x14ac:dyDescent="0.2">
      <c r="A24" s="5" t="s">
        <v>495</v>
      </c>
      <c r="B24" s="5">
        <v>2019</v>
      </c>
      <c r="C24" s="5" t="s">
        <v>91</v>
      </c>
      <c r="D24" s="5" t="s">
        <v>75</v>
      </c>
      <c r="F24" s="5" t="s">
        <v>286</v>
      </c>
      <c r="G24" s="5" t="s">
        <v>537</v>
      </c>
      <c r="H24" s="5" t="s">
        <v>497</v>
      </c>
      <c r="I24" s="5" t="s">
        <v>35</v>
      </c>
      <c r="J24" s="5" t="s">
        <v>94</v>
      </c>
      <c r="K24" s="5" t="s">
        <v>37</v>
      </c>
      <c r="U24" s="5" t="s">
        <v>38</v>
      </c>
      <c r="V24" s="5" t="s">
        <v>490</v>
      </c>
      <c r="W24" s="5" t="s">
        <v>39</v>
      </c>
      <c r="X24" s="5" t="s">
        <v>39</v>
      </c>
      <c r="Y24" s="5" t="s">
        <v>39</v>
      </c>
      <c r="Z24" s="5" t="s">
        <v>39</v>
      </c>
      <c r="AB24" s="6">
        <v>0.71430000000000005</v>
      </c>
      <c r="AC24" s="5" t="s">
        <v>540</v>
      </c>
      <c r="AD24" s="6">
        <v>0.55359999999999998</v>
      </c>
      <c r="AJ24" s="5" t="s">
        <v>538</v>
      </c>
      <c r="AL24" s="5" t="s">
        <v>83</v>
      </c>
      <c r="AM24" s="5" t="s">
        <v>542</v>
      </c>
      <c r="AN24" s="5" t="s">
        <v>549</v>
      </c>
      <c r="AO24" s="5" t="s">
        <v>290</v>
      </c>
      <c r="AP24" s="5">
        <v>1.1499999999999999</v>
      </c>
      <c r="AQ24" s="5">
        <v>56</v>
      </c>
      <c r="AR24" s="5">
        <v>0.4</v>
      </c>
      <c r="AS24" s="5">
        <v>1.33</v>
      </c>
      <c r="AT24" s="5">
        <v>54</v>
      </c>
      <c r="AU24" s="5">
        <v>0.59</v>
      </c>
      <c r="AW24" s="5" t="s">
        <v>551</v>
      </c>
      <c r="AX24" s="5">
        <v>1.27</v>
      </c>
      <c r="AY24" s="5">
        <v>47</v>
      </c>
      <c r="AZ24" s="5">
        <v>0.54</v>
      </c>
      <c r="BA24" s="5" t="s">
        <v>546</v>
      </c>
    </row>
    <row r="25" spans="1:53" s="5" customFormat="1" x14ac:dyDescent="0.2">
      <c r="A25" s="5" t="s">
        <v>495</v>
      </c>
      <c r="B25" s="5">
        <v>2019</v>
      </c>
      <c r="C25" s="5" t="s">
        <v>285</v>
      </c>
      <c r="D25" s="5" t="s">
        <v>31</v>
      </c>
      <c r="F25" s="5" t="s">
        <v>286</v>
      </c>
      <c r="G25" s="5" t="s">
        <v>537</v>
      </c>
      <c r="H25" s="5" t="s">
        <v>497</v>
      </c>
      <c r="I25" s="5" t="s">
        <v>35</v>
      </c>
      <c r="J25" s="5" t="s">
        <v>94</v>
      </c>
      <c r="K25" s="5" t="s">
        <v>37</v>
      </c>
      <c r="U25" s="5" t="s">
        <v>38</v>
      </c>
      <c r="V25" s="5" t="s">
        <v>490</v>
      </c>
      <c r="W25" s="5" t="s">
        <v>39</v>
      </c>
      <c r="X25" s="5" t="s">
        <v>39</v>
      </c>
      <c r="Y25" s="5" t="s">
        <v>39</v>
      </c>
      <c r="Z25" s="5" t="s">
        <v>39</v>
      </c>
      <c r="AB25" s="6">
        <v>0.63390000000000002</v>
      </c>
      <c r="AC25" s="5" t="s">
        <v>541</v>
      </c>
      <c r="AD25" s="6">
        <v>0.69640000000000002</v>
      </c>
      <c r="AJ25" s="5" t="s">
        <v>539</v>
      </c>
      <c r="AL25" s="5" t="s">
        <v>83</v>
      </c>
      <c r="AM25" s="5" t="s">
        <v>542</v>
      </c>
      <c r="AN25" s="5" t="s">
        <v>549</v>
      </c>
      <c r="AO25" s="5" t="s">
        <v>290</v>
      </c>
      <c r="AP25" s="5">
        <v>1.1499999999999999</v>
      </c>
      <c r="AQ25" s="5">
        <v>56</v>
      </c>
      <c r="AR25" s="5">
        <v>0.51</v>
      </c>
      <c r="AS25" s="5">
        <v>1.19</v>
      </c>
      <c r="AT25" s="5">
        <v>45</v>
      </c>
      <c r="AU25" s="5">
        <v>0.42</v>
      </c>
      <c r="AW25" s="5" t="s">
        <v>551</v>
      </c>
      <c r="AX25" s="5">
        <v>1.1299999999999999</v>
      </c>
      <c r="AY25" s="5">
        <v>35</v>
      </c>
      <c r="AZ25" s="5">
        <v>0.5</v>
      </c>
      <c r="BA25" s="5" t="s">
        <v>546</v>
      </c>
    </row>
    <row r="26" spans="1:53" s="5" customFormat="1" x14ac:dyDescent="0.2">
      <c r="A26" s="5" t="s">
        <v>495</v>
      </c>
      <c r="B26" s="5">
        <v>2019</v>
      </c>
      <c r="C26" s="5" t="s">
        <v>91</v>
      </c>
      <c r="D26" s="5" t="s">
        <v>75</v>
      </c>
      <c r="F26" s="5" t="s">
        <v>286</v>
      </c>
      <c r="G26" s="5" t="s">
        <v>537</v>
      </c>
      <c r="H26" s="5" t="s">
        <v>497</v>
      </c>
      <c r="I26" s="5" t="s">
        <v>35</v>
      </c>
      <c r="J26" s="5" t="s">
        <v>94</v>
      </c>
      <c r="K26" s="5" t="s">
        <v>37</v>
      </c>
      <c r="U26" s="5" t="s">
        <v>38</v>
      </c>
      <c r="V26" s="5" t="s">
        <v>490</v>
      </c>
      <c r="W26" s="5" t="s">
        <v>39</v>
      </c>
      <c r="X26" s="5" t="s">
        <v>39</v>
      </c>
      <c r="Y26" s="5" t="s">
        <v>39</v>
      </c>
      <c r="Z26" s="5" t="s">
        <v>39</v>
      </c>
      <c r="AB26" s="6">
        <v>0.71430000000000005</v>
      </c>
      <c r="AC26" s="5" t="s">
        <v>540</v>
      </c>
      <c r="AD26" s="6">
        <v>0.55359999999999998</v>
      </c>
      <c r="AJ26" s="5" t="s">
        <v>538</v>
      </c>
      <c r="AL26" s="5" t="s">
        <v>83</v>
      </c>
      <c r="AM26" s="10" t="s">
        <v>544</v>
      </c>
      <c r="AN26" s="5" t="s">
        <v>550</v>
      </c>
      <c r="AO26" s="5" t="s">
        <v>290</v>
      </c>
      <c r="AP26" s="5">
        <v>1.38</v>
      </c>
      <c r="AQ26" s="5">
        <v>56</v>
      </c>
      <c r="AR26" s="5">
        <v>0.42</v>
      </c>
      <c r="AS26" s="5">
        <v>1.24</v>
      </c>
      <c r="AT26" s="5">
        <v>54</v>
      </c>
      <c r="AU26" s="5">
        <v>0.38</v>
      </c>
      <c r="AW26" s="5" t="s">
        <v>551</v>
      </c>
      <c r="AX26" s="5">
        <v>1.1299999999999999</v>
      </c>
      <c r="AY26" s="5">
        <v>47</v>
      </c>
      <c r="AZ26" s="5">
        <v>0.39</v>
      </c>
      <c r="BA26" s="5" t="s">
        <v>546</v>
      </c>
    </row>
    <row r="27" spans="1:53" s="5" customFormat="1" x14ac:dyDescent="0.2">
      <c r="A27" s="5" t="s">
        <v>495</v>
      </c>
      <c r="B27" s="5">
        <v>2019</v>
      </c>
      <c r="C27" s="5" t="s">
        <v>285</v>
      </c>
      <c r="D27" s="5" t="s">
        <v>31</v>
      </c>
      <c r="F27" s="5" t="s">
        <v>286</v>
      </c>
      <c r="G27" s="5" t="s">
        <v>537</v>
      </c>
      <c r="H27" s="5" t="s">
        <v>497</v>
      </c>
      <c r="I27" s="5" t="s">
        <v>35</v>
      </c>
      <c r="J27" s="5" t="s">
        <v>94</v>
      </c>
      <c r="K27" s="5" t="s">
        <v>37</v>
      </c>
      <c r="U27" s="5" t="s">
        <v>38</v>
      </c>
      <c r="V27" s="5" t="s">
        <v>490</v>
      </c>
      <c r="W27" s="5" t="s">
        <v>39</v>
      </c>
      <c r="X27" s="5" t="s">
        <v>39</v>
      </c>
      <c r="Y27" s="5" t="s">
        <v>39</v>
      </c>
      <c r="Z27" s="5" t="s">
        <v>39</v>
      </c>
      <c r="AB27" s="6">
        <v>0.63390000000000002</v>
      </c>
      <c r="AC27" s="5" t="s">
        <v>541</v>
      </c>
      <c r="AD27" s="6">
        <v>0.69640000000000002</v>
      </c>
      <c r="AJ27" s="5" t="s">
        <v>539</v>
      </c>
      <c r="AL27" s="5" t="s">
        <v>83</v>
      </c>
      <c r="AM27" s="10" t="s">
        <v>544</v>
      </c>
      <c r="AN27" s="5" t="s">
        <v>550</v>
      </c>
      <c r="AO27" s="5" t="s">
        <v>290</v>
      </c>
      <c r="AP27" s="5">
        <v>1.39</v>
      </c>
      <c r="AQ27" s="5">
        <v>56</v>
      </c>
      <c r="AR27" s="5">
        <v>0.35</v>
      </c>
      <c r="AS27" s="5">
        <v>1.29</v>
      </c>
      <c r="AT27" s="5">
        <v>45</v>
      </c>
      <c r="AU27" s="5">
        <v>0.32</v>
      </c>
      <c r="AW27" s="5" t="s">
        <v>551</v>
      </c>
      <c r="AX27" s="5">
        <v>1.0900000000000001</v>
      </c>
      <c r="AY27" s="5">
        <v>35</v>
      </c>
      <c r="AZ27" s="5">
        <v>0.3</v>
      </c>
      <c r="BA27" s="5" t="s">
        <v>546</v>
      </c>
    </row>
    <row r="28" spans="1:53" s="5" customFormat="1" x14ac:dyDescent="0.2">
      <c r="A28" s="5" t="s">
        <v>495</v>
      </c>
      <c r="B28" s="5">
        <v>2019</v>
      </c>
      <c r="C28" s="5" t="s">
        <v>91</v>
      </c>
      <c r="D28" s="5" t="s">
        <v>75</v>
      </c>
      <c r="F28" s="5" t="s">
        <v>286</v>
      </c>
      <c r="G28" s="5" t="s">
        <v>537</v>
      </c>
      <c r="H28" s="5" t="s">
        <v>497</v>
      </c>
      <c r="I28" s="5" t="s">
        <v>35</v>
      </c>
      <c r="J28" s="5" t="s">
        <v>94</v>
      </c>
      <c r="K28" s="5" t="s">
        <v>37</v>
      </c>
      <c r="U28" s="5" t="s">
        <v>38</v>
      </c>
      <c r="V28" s="5" t="s">
        <v>490</v>
      </c>
      <c r="W28" s="5" t="s">
        <v>39</v>
      </c>
      <c r="X28" s="5" t="s">
        <v>39</v>
      </c>
      <c r="Y28" s="5" t="s">
        <v>39</v>
      </c>
      <c r="Z28" s="5" t="s">
        <v>39</v>
      </c>
      <c r="AB28" s="6">
        <v>0.71430000000000005</v>
      </c>
      <c r="AC28" s="5" t="s">
        <v>540</v>
      </c>
      <c r="AD28" s="6">
        <v>0.55359999999999998</v>
      </c>
      <c r="AJ28" s="5" t="s">
        <v>538</v>
      </c>
      <c r="AL28" s="5" t="s">
        <v>83</v>
      </c>
      <c r="AM28" s="5" t="s">
        <v>543</v>
      </c>
      <c r="AN28" s="5" t="s">
        <v>550</v>
      </c>
      <c r="AO28" s="5" t="s">
        <v>290</v>
      </c>
      <c r="AP28" s="5">
        <v>1.1499999999999999</v>
      </c>
      <c r="AQ28" s="5">
        <v>56</v>
      </c>
      <c r="AR28" s="5">
        <v>0.4</v>
      </c>
      <c r="AS28" s="5">
        <v>1.65</v>
      </c>
      <c r="AT28" s="5">
        <v>54</v>
      </c>
      <c r="AU28" s="5">
        <v>0.45</v>
      </c>
      <c r="AW28" s="5" t="s">
        <v>551</v>
      </c>
      <c r="AX28" s="5">
        <v>1.45</v>
      </c>
      <c r="AY28" s="5">
        <v>47</v>
      </c>
      <c r="AZ28" s="5">
        <v>0.43</v>
      </c>
      <c r="BA28" s="5" t="s">
        <v>546</v>
      </c>
    </row>
    <row r="29" spans="1:53" s="5" customFormat="1" x14ac:dyDescent="0.2">
      <c r="A29" s="5" t="s">
        <v>495</v>
      </c>
      <c r="B29" s="5">
        <v>2019</v>
      </c>
      <c r="C29" s="5" t="s">
        <v>285</v>
      </c>
      <c r="D29" s="5" t="s">
        <v>31</v>
      </c>
      <c r="F29" s="5" t="s">
        <v>286</v>
      </c>
      <c r="G29" s="5" t="s">
        <v>537</v>
      </c>
      <c r="H29" s="5" t="s">
        <v>497</v>
      </c>
      <c r="I29" s="5" t="s">
        <v>35</v>
      </c>
      <c r="J29" s="5" t="s">
        <v>94</v>
      </c>
      <c r="K29" s="5" t="s">
        <v>37</v>
      </c>
      <c r="U29" s="5" t="s">
        <v>38</v>
      </c>
      <c r="V29" s="5" t="s">
        <v>490</v>
      </c>
      <c r="W29" s="5" t="s">
        <v>39</v>
      </c>
      <c r="X29" s="5" t="s">
        <v>39</v>
      </c>
      <c r="Y29" s="5" t="s">
        <v>39</v>
      </c>
      <c r="Z29" s="5" t="s">
        <v>39</v>
      </c>
      <c r="AB29" s="6">
        <v>0.63390000000000002</v>
      </c>
      <c r="AC29" s="5" t="s">
        <v>541</v>
      </c>
      <c r="AD29" s="6">
        <v>0.69640000000000002</v>
      </c>
      <c r="AJ29" s="5" t="s">
        <v>539</v>
      </c>
      <c r="AL29" s="5" t="s">
        <v>83</v>
      </c>
      <c r="AM29" s="5" t="s">
        <v>543</v>
      </c>
      <c r="AN29" s="5" t="s">
        <v>550</v>
      </c>
      <c r="AO29" s="5" t="s">
        <v>290</v>
      </c>
      <c r="AP29" s="5">
        <v>1.1499999999999999</v>
      </c>
      <c r="AQ29" s="5">
        <v>56</v>
      </c>
      <c r="AR29" s="5">
        <v>0.37</v>
      </c>
      <c r="AS29" s="5">
        <v>1.28</v>
      </c>
      <c r="AT29" s="5">
        <v>45</v>
      </c>
      <c r="AU29" s="5">
        <v>0.38</v>
      </c>
      <c r="AW29" s="5" t="s">
        <v>551</v>
      </c>
      <c r="AX29" s="5">
        <v>1.24</v>
      </c>
      <c r="AY29" s="5">
        <v>35</v>
      </c>
      <c r="AZ29" s="5">
        <v>0.32</v>
      </c>
      <c r="BA29" s="5" t="s">
        <v>546</v>
      </c>
    </row>
    <row r="30" spans="1:53" s="5" customFormat="1" x14ac:dyDescent="0.2">
      <c r="A30" s="5" t="s">
        <v>491</v>
      </c>
      <c r="B30" s="5">
        <v>2019</v>
      </c>
      <c r="C30" s="5" t="s">
        <v>91</v>
      </c>
      <c r="D30" s="5" t="s">
        <v>75</v>
      </c>
      <c r="F30" s="5" t="e" vm="2">
        <v>#VALUE!</v>
      </c>
      <c r="G30" s="5" t="s">
        <v>492</v>
      </c>
      <c r="H30" s="5" t="s">
        <v>493</v>
      </c>
      <c r="I30" s="5" t="s">
        <v>494</v>
      </c>
      <c r="J30" s="5" t="s">
        <v>165</v>
      </c>
      <c r="K30" s="5" t="s">
        <v>37</v>
      </c>
      <c r="U30" s="5" t="s">
        <v>490</v>
      </c>
      <c r="V30" s="5" t="s">
        <v>40</v>
      </c>
      <c r="W30" s="5" t="s">
        <v>38</v>
      </c>
      <c r="X30" s="5" t="s">
        <v>39</v>
      </c>
      <c r="Y30" s="5" t="s">
        <v>39</v>
      </c>
      <c r="Z30" s="5" t="s">
        <v>40</v>
      </c>
      <c r="AA30" s="5" t="s">
        <v>530</v>
      </c>
      <c r="AC30" s="5" t="s">
        <v>532</v>
      </c>
      <c r="AD30" s="11">
        <v>0.88</v>
      </c>
      <c r="AJ30" s="5" t="s">
        <v>533</v>
      </c>
      <c r="AM30" s="5" t="s">
        <v>556</v>
      </c>
      <c r="AN30" s="5" t="s">
        <v>558</v>
      </c>
      <c r="AO30" s="5" t="s">
        <v>290</v>
      </c>
      <c r="AP30" s="5">
        <v>10.8</v>
      </c>
      <c r="AQ30" s="5">
        <v>27</v>
      </c>
      <c r="AR30" s="5">
        <v>3.2</v>
      </c>
      <c r="AS30" s="5">
        <v>3.5</v>
      </c>
      <c r="AT30" s="5">
        <v>25</v>
      </c>
      <c r="AU30" s="5">
        <v>1.5</v>
      </c>
      <c r="AW30" s="5" t="s">
        <v>551</v>
      </c>
    </row>
    <row r="31" spans="1:53" s="5" customFormat="1" x14ac:dyDescent="0.2">
      <c r="A31" s="5" t="s">
        <v>491</v>
      </c>
      <c r="B31" s="5">
        <v>2019</v>
      </c>
      <c r="C31" s="5" t="s">
        <v>30</v>
      </c>
      <c r="D31" s="5" t="s">
        <v>31</v>
      </c>
      <c r="F31" s="5" t="e" vm="2">
        <v>#VALUE!</v>
      </c>
      <c r="G31" s="5" t="s">
        <v>492</v>
      </c>
      <c r="H31" s="5" t="s">
        <v>493</v>
      </c>
      <c r="I31" s="5" t="s">
        <v>494</v>
      </c>
      <c r="J31" s="5" t="s">
        <v>165</v>
      </c>
      <c r="K31" s="5" t="s">
        <v>37</v>
      </c>
      <c r="U31" s="5" t="s">
        <v>490</v>
      </c>
      <c r="V31" s="5" t="s">
        <v>40</v>
      </c>
      <c r="W31" s="5" t="s">
        <v>38</v>
      </c>
      <c r="X31" s="5" t="s">
        <v>39</v>
      </c>
      <c r="Y31" s="5" t="s">
        <v>39</v>
      </c>
      <c r="Z31" s="5" t="s">
        <v>40</v>
      </c>
      <c r="AA31" s="5" t="s">
        <v>529</v>
      </c>
      <c r="AC31" s="5" t="s">
        <v>531</v>
      </c>
      <c r="AD31" s="11">
        <v>0.72</v>
      </c>
      <c r="AJ31" s="5" t="s">
        <v>534</v>
      </c>
      <c r="AM31" s="5" t="s">
        <v>556</v>
      </c>
      <c r="AN31" s="5" t="s">
        <v>558</v>
      </c>
      <c r="AO31" s="5" t="s">
        <v>290</v>
      </c>
      <c r="AP31" s="5">
        <v>8.9</v>
      </c>
      <c r="AQ31" s="5">
        <v>27</v>
      </c>
      <c r="AR31" s="5">
        <v>2.7</v>
      </c>
      <c r="AS31" s="5">
        <v>9.8000000000000007</v>
      </c>
      <c r="AT31" s="5">
        <v>25</v>
      </c>
      <c r="AU31" s="5">
        <v>2.7</v>
      </c>
      <c r="AW31" s="5" t="s">
        <v>551</v>
      </c>
    </row>
    <row r="32" spans="1:53" s="5" customFormat="1" x14ac:dyDescent="0.2">
      <c r="A32" s="5" t="s">
        <v>491</v>
      </c>
      <c r="B32" s="5">
        <v>2019</v>
      </c>
      <c r="C32" s="5" t="s">
        <v>91</v>
      </c>
      <c r="D32" s="5" t="s">
        <v>75</v>
      </c>
      <c r="F32" s="5" t="e" vm="2">
        <v>#VALUE!</v>
      </c>
      <c r="G32" s="5" t="s">
        <v>492</v>
      </c>
      <c r="H32" s="5" t="s">
        <v>493</v>
      </c>
      <c r="I32" s="5" t="s">
        <v>494</v>
      </c>
      <c r="J32" s="5" t="s">
        <v>165</v>
      </c>
      <c r="K32" s="5" t="s">
        <v>37</v>
      </c>
      <c r="U32" s="5" t="s">
        <v>490</v>
      </c>
      <c r="V32" s="5" t="s">
        <v>40</v>
      </c>
      <c r="W32" s="5" t="s">
        <v>38</v>
      </c>
      <c r="X32" s="5" t="s">
        <v>39</v>
      </c>
      <c r="Y32" s="5" t="s">
        <v>39</v>
      </c>
      <c r="Z32" s="5" t="s">
        <v>40</v>
      </c>
      <c r="AA32" s="5" t="s">
        <v>530</v>
      </c>
      <c r="AC32" s="5" t="s">
        <v>532</v>
      </c>
      <c r="AD32" s="11">
        <v>0.88</v>
      </c>
      <c r="AJ32" s="5" t="s">
        <v>533</v>
      </c>
      <c r="AM32" s="5" t="s">
        <v>557</v>
      </c>
      <c r="AN32" s="5" t="s">
        <v>558</v>
      </c>
      <c r="AO32" s="5" t="s">
        <v>290</v>
      </c>
      <c r="AP32" s="5">
        <v>12.9</v>
      </c>
      <c r="AQ32" s="5">
        <v>27</v>
      </c>
      <c r="AR32" s="5">
        <v>4.3</v>
      </c>
      <c r="AS32" s="5">
        <v>8.6</v>
      </c>
      <c r="AT32" s="5">
        <v>25</v>
      </c>
      <c r="AU32" s="5">
        <v>2.2000000000000002</v>
      </c>
      <c r="AW32" s="5" t="s">
        <v>551</v>
      </c>
    </row>
    <row r="33" spans="1:49" s="5" customFormat="1" x14ac:dyDescent="0.2">
      <c r="A33" s="5" t="s">
        <v>491</v>
      </c>
      <c r="B33" s="5">
        <v>2019</v>
      </c>
      <c r="C33" s="5" t="s">
        <v>30</v>
      </c>
      <c r="D33" s="5" t="s">
        <v>31</v>
      </c>
      <c r="F33" s="5" t="e" vm="2">
        <v>#VALUE!</v>
      </c>
      <c r="G33" s="5" t="s">
        <v>492</v>
      </c>
      <c r="H33" s="5" t="s">
        <v>493</v>
      </c>
      <c r="I33" s="5" t="s">
        <v>494</v>
      </c>
      <c r="J33" s="5" t="s">
        <v>165</v>
      </c>
      <c r="K33" s="5" t="s">
        <v>37</v>
      </c>
      <c r="U33" s="5" t="s">
        <v>490</v>
      </c>
      <c r="V33" s="5" t="s">
        <v>40</v>
      </c>
      <c r="W33" s="5" t="s">
        <v>38</v>
      </c>
      <c r="X33" s="5" t="s">
        <v>39</v>
      </c>
      <c r="Y33" s="5" t="s">
        <v>39</v>
      </c>
      <c r="Z33" s="5" t="s">
        <v>40</v>
      </c>
      <c r="AA33" s="5" t="s">
        <v>529</v>
      </c>
      <c r="AC33" s="5" t="s">
        <v>531</v>
      </c>
      <c r="AD33" s="11">
        <v>0.72</v>
      </c>
      <c r="AJ33" s="5" t="s">
        <v>534</v>
      </c>
      <c r="AM33" s="5" t="s">
        <v>557</v>
      </c>
      <c r="AN33" s="5" t="s">
        <v>558</v>
      </c>
      <c r="AO33" s="5" t="s">
        <v>290</v>
      </c>
      <c r="AP33" s="5">
        <v>8.1999999999999993</v>
      </c>
      <c r="AQ33" s="5">
        <v>27</v>
      </c>
      <c r="AR33" s="5">
        <v>3.4</v>
      </c>
      <c r="AS33" s="5">
        <v>7.4</v>
      </c>
      <c r="AT33" s="5">
        <v>25</v>
      </c>
      <c r="AU33" s="5">
        <v>3.01</v>
      </c>
      <c r="AW33" s="5" t="s">
        <v>551</v>
      </c>
    </row>
  </sheetData>
  <autoFilter ref="A1:BH33" xr:uid="{00000000-0001-0000-0200-000000000000}"/>
  <phoneticPr fontId="2" type="noConversion"/>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caregiver_Burden</vt:lpstr>
      <vt:lpstr>caregiver_MentalHealth</vt:lpstr>
      <vt:lpstr>caregiver_Behaviour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mbp16</dc:creator>
  <cp:lastModifiedBy>Microsoft Office User</cp:lastModifiedBy>
  <dcterms:created xsi:type="dcterms:W3CDTF">2022-12-10T22:43:14Z</dcterms:created>
  <dcterms:modified xsi:type="dcterms:W3CDTF">2022-12-12T01:19:23Z</dcterms:modified>
</cp:coreProperties>
</file>