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meta_analysis/"/>
    </mc:Choice>
  </mc:AlternateContent>
  <xr:revisionPtr revIDLastSave="0" documentId="13_ncr:1_{95CD0ED7-980D-5944-9ED9-1E48090BFC50}" xr6:coauthVersionLast="47" xr6:coauthVersionMax="47" xr10:uidLastSave="{00000000-0000-0000-0000-000000000000}"/>
  <bookViews>
    <workbookView xWindow="600" yWindow="9180" windowWidth="33940" windowHeight="17880" xr2:uid="{00000000-000D-0000-FFFF-FFFF00000000}"/>
  </bookViews>
  <sheets>
    <sheet name="caregiver_Burden" sheetId="1" r:id="rId1"/>
    <sheet name="caregiver_MentalHealth" sheetId="2" r:id="rId2"/>
    <sheet name="caregiver_Behaviour" sheetId="3" r:id="rId3"/>
  </sheets>
  <definedNames>
    <definedName name="_xlnm._FilterDatabase" localSheetId="2" hidden="1">caregiver_Behaviour!$A$1:$BH$19</definedName>
    <definedName name="_xlnm._FilterDatabase" localSheetId="0" hidden="1">caregiver_Burden!$A$1:$AR$19</definedName>
    <definedName name="_xlnm._FilterDatabase" localSheetId="1" hidden="1">caregiver_MentalHealth!$A$1:$BI$27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1" i="1" l="1"/>
  <c r="AL30" i="1"/>
  <c r="AI31" i="1"/>
  <c r="AI30" i="1"/>
  <c r="AR21" i="3"/>
  <c r="AU21" i="3"/>
  <c r="AU20" i="3"/>
  <c r="AR20"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90"/>
        </ext>
      </extLst>
    </bk>
    <bk>
      <extLst>
        <ext uri="{3e2802c4-a4d2-4d8b-9148-e3be6c30e623}">
          <xlrd:rvb i="135"/>
        </ext>
      </extLst>
    </bk>
    <bk>
      <extLst>
        <ext uri="{3e2802c4-a4d2-4d8b-9148-e3be6c30e623}">
          <xlrd:rvb i="180"/>
        </ext>
      </extLst>
    </bk>
    <bk>
      <extLst>
        <ext uri="{3e2802c4-a4d2-4d8b-9148-e3be6c30e623}">
          <xlrd:rvb i="254"/>
        </ext>
      </extLst>
    </bk>
    <bk>
      <extLst>
        <ext uri="{3e2802c4-a4d2-4d8b-9148-e3be6c30e623}">
          <xlrd:rvb i="380"/>
        </ext>
      </extLst>
    </bk>
    <bk>
      <extLst>
        <ext uri="{3e2802c4-a4d2-4d8b-9148-e3be6c30e623}">
          <xlrd:rvb i="452"/>
        </ext>
      </extLst>
    </bk>
    <bk>
      <extLst>
        <ext uri="{3e2802c4-a4d2-4d8b-9148-e3be6c30e623}">
          <xlrd:rvb i="531"/>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<sst xmlns="http://schemas.openxmlformats.org/spreadsheetml/2006/main" count="2664" uniqueCount="563">
  <si>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</si>
  <si>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</si>
  <si>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</si>
  <si>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</si>
  <si>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</si>
  <si>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</si>
  <si>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</si>
  <si>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</si>
  <si>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</si>
  <si>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</si>
  <si>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</si>
  <si>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Domain 1</t>
  </si>
  <si>
    <t>Domain 2</t>
  </si>
  <si>
    <t>Domain 3</t>
  </si>
  <si>
    <t>Domain 4</t>
  </si>
  <si>
    <t>Domain 5</t>
  </si>
  <si>
    <t>Overall</t>
  </si>
  <si>
    <t>Baseline Educational level (indicate how this was measured)</t>
  </si>
  <si>
    <t>Baseline Female (percent)</t>
  </si>
  <si>
    <t>Baseline For studies in carers only: Caregiver age in years (mean)</t>
  </si>
  <si>
    <t>Baseline For studies in carers only: Caregiver female (percent)</t>
  </si>
  <si>
    <t>Baseline For studies in carers only: Full-time working (percent)</t>
  </si>
  <si>
    <t>Baseline MMSE score (mean)</t>
  </si>
  <si>
    <t>Baseline Rural setting (percent)</t>
  </si>
  <si>
    <t>Baseline Urban setting (percent)</t>
  </si>
  <si>
    <t>Intervention Brief description of intervention</t>
  </si>
  <si>
    <t>Intervention Intervention details...97</t>
  </si>
  <si>
    <t>Intervention Intervention details (duration and intensity of the intervention, dosage of drugs, existence of a protocol or manual for psychosocial, training or education interventions)</t>
  </si>
  <si>
    <t>Intervention Interv. type [SELECT: Pharmaceutical; Traditional Chinese Medicine; Other trad. medicines; Non-pharmacol.; Multicomponent (record each component); Interv. for carers; End of life care; Treatment/prevention of co-morbidities; Technology; Diagn</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</si>
  <si>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</si>
  <si>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</si>
  <si>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</si>
  <si>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</si>
  <si>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</si>
  <si>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</si>
  <si>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</si>
  <si>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</si>
  <si>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</si>
  <si>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</si>
  <si>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</si>
  <si>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</si>
  <si>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</si>
  <si>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</si>
  <si>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</si>
  <si>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</si>
  <si>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</si>
  <si>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</si>
  <si>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</si>
  <si>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</si>
  <si>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</si>
  <si>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</si>
  <si>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</si>
  <si>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</si>
  <si>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</si>
  <si>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</si>
  <si>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</si>
  <si>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</si>
  <si>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</si>
  <si>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Pahlavanzadeh 2010</t>
  </si>
  <si>
    <t>Iran</t>
  </si>
  <si>
    <t>Modares Psychiatric Hospital and Shariati Psychiatric clinic in the city of Isfahan, which are the centers for elderly with dementia</t>
  </si>
  <si>
    <t>Not specified</t>
  </si>
  <si>
    <t>Illiterate: 16%; Primary school: 68%; Guidance school: 8%; High school diploma: 8%; Higher education: 0%</t>
  </si>
  <si>
    <t>56</t>
  </si>
  <si>
    <t>46.56</t>
  </si>
  <si>
    <t>68</t>
  </si>
  <si>
    <t>No details</t>
  </si>
  <si>
    <t>64.50</t>
  </si>
  <si>
    <t>25</t>
  </si>
  <si>
    <t>25.13</t>
  </si>
  <si>
    <t>43.28</t>
  </si>
  <si>
    <t>13.08</t>
  </si>
  <si>
    <t>46.8</t>
  </si>
  <si>
    <t>3.13</t>
  </si>
  <si>
    <t>Family education program</t>
  </si>
  <si>
    <t>Support for carers</t>
  </si>
  <si>
    <t>Information, education, and training to support carers</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</si>
  <si>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</si>
  <si>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</si>
  <si>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</si>
  <si>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</si>
  <si>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</si>
  <si>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</si>
  <si>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</si>
  <si>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</si>
  <si>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54.14</t>
  </si>
  <si>
    <t>42</t>
  </si>
  <si>
    <t>65.17</t>
  </si>
  <si>
    <t>44.35</t>
  </si>
  <si>
    <t>65.15</t>
  </si>
  <si>
    <t>Guerra 2011</t>
  </si>
  <si>
    <t>Intervention group</t>
  </si>
  <si>
    <t>Peru</t>
  </si>
  <si>
    <t>Intervention was carried out at the participant's home.</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</si>
  <si>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</si>
  <si>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</si>
  <si>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</si>
  <si>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</si>
  <si>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</si>
  <si>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</si>
  <si>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</si>
  <si>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</si>
  <si>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37.0% completed secondary or more; 2 missing values</t>
  </si>
  <si>
    <t>69.0</t>
  </si>
  <si>
    <t>47.6</t>
  </si>
  <si>
    <t>89.7</t>
  </si>
  <si>
    <t>Waiting list</t>
  </si>
  <si>
    <t>" caregivers of people with dementia that received the intervention six months later"</t>
  </si>
  <si>
    <t>Aboulafia-Brakha 2014</t>
  </si>
  <si>
    <t>Cognitive–behavioural group therapy</t>
  </si>
  <si>
    <t>Group support and therapy</t>
  </si>
  <si>
    <t>Brazil</t>
  </si>
  <si>
    <t>"The recruitment was carried out at the Cognitive Disorders Reference Center – CEREDIC of the Medical School of Universidade de S~ao Paulo – Clinical Hospital (HCFMUSP)."</t>
  </si>
  <si>
    <t>Alzheimer's Disease</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</si>
  <si>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</si>
  <si>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</si>
  <si>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</si>
  <si>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</si>
  <si>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</si>
  <si>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</si>
  <si>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</si>
  <si>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</si>
  <si>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</si>
  <si>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</si>
  <si>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</si>
  <si>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</si>
  <si>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</si>
  <si>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</si>
  <si>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</si>
  <si>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</si>
  <si>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</si>
  <si>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</si>
  <si>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15</t>
  </si>
  <si>
    <t>16.3</t>
  </si>
  <si>
    <t>31.3</t>
  </si>
  <si>
    <t>11.9</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</si>
  <si>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</si>
  <si>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</si>
  <si>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</si>
  <si>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</si>
  <si>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</si>
  <si>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</si>
  <si>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</si>
  <si>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</si>
  <si>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</si>
  <si>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37.1</t>
  </si>
  <si>
    <t>17</t>
  </si>
  <si>
    <t>9.8</t>
  </si>
  <si>
    <t>48.9</t>
  </si>
  <si>
    <t>15.1</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</si>
  <si>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</si>
  <si>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</si>
  <si>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</si>
  <si>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</si>
  <si>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</si>
  <si>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</si>
  <si>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</si>
  <si>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20</t>
  </si>
  <si>
    <t>7.7</t>
  </si>
  <si>
    <t>35.3</t>
  </si>
  <si>
    <t>12.8</t>
  </si>
  <si>
    <t>Söylemez 2016</t>
  </si>
  <si>
    <t>Progressively Lowered Stress Threshold-based intervention</t>
  </si>
  <si>
    <t>Turkey</t>
  </si>
  <si>
    <t>Western Turkey, home based. Patient lists were obtained from dementia outpatient clinics at one university hospital and the office of the Alzheimer’s Association in Izmir.</t>
  </si>
  <si>
    <t>Mild</t>
  </si>
  <si>
    <t>Primary school: 69%; High school: 14%; University: 17%</t>
  </si>
  <si>
    <t>63</t>
  </si>
  <si>
    <t>61.2</t>
  </si>
  <si>
    <t>74</t>
  </si>
  <si>
    <t>0</t>
  </si>
  <si>
    <t>Progressively Lowered Stress Threshold-based intervention for 3 months</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</si>
  <si>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</si>
  <si>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34.71</t>
  </si>
  <si>
    <t>35</t>
  </si>
  <si>
    <t>18.82</t>
  </si>
  <si>
    <t>38.02</t>
  </si>
  <si>
    <t>21.49</t>
  </si>
  <si>
    <t>88.51</t>
  </si>
  <si>
    <t>8.28</t>
  </si>
  <si>
    <t>86</t>
  </si>
  <si>
    <t>9.15</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</si>
  <si>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</si>
  <si>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</si>
  <si>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</si>
  <si>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</si>
  <si>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</si>
  <si>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</si>
  <si>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</si>
  <si>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35.66</t>
  </si>
  <si>
    <t>17.07</t>
  </si>
  <si>
    <t>31.19</t>
  </si>
  <si>
    <t>16.54</t>
  </si>
  <si>
    <t>85.23</t>
  </si>
  <si>
    <t>5.68</t>
  </si>
  <si>
    <t>87.2</t>
  </si>
  <si>
    <t>5.69</t>
  </si>
  <si>
    <t>Shata 2017</t>
  </si>
  <si>
    <t>Control (No intervention)</t>
  </si>
  <si>
    <t>Psychogeriatric out‑patient clinic of Al‑Maamoura Psychiatric Hospital. Alexandria (urban setting)</t>
  </si>
  <si>
    <t>47.97</t>
  </si>
  <si>
    <t>69.5</t>
  </si>
  <si>
    <t>50.0</t>
  </si>
  <si>
    <t>59</t>
  </si>
  <si>
    <t>12.6</t>
  </si>
  <si>
    <t>0.74</t>
  </si>
  <si>
    <t>0.84</t>
  </si>
  <si>
    <t>0.15</t>
  </si>
  <si>
    <t>0.40</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</si>
  <si>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</si>
  <si>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</si>
  <si>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</si>
  <si>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</si>
  <si>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</si>
  <si>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</si>
  <si>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</si>
  <si>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-17.40</t>
  </si>
  <si>
    <t>8.38</t>
  </si>
  <si>
    <t>-17.36</t>
  </si>
  <si>
    <t>8.34</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</si>
  <si>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</si>
  <si>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</si>
  <si>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</si>
  <si>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</si>
  <si>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</si>
  <si>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</si>
  <si>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</si>
  <si>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</si>
  <si>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</si>
  <si>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</si>
  <si>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</si>
  <si>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</si>
  <si>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51.76</t>
  </si>
  <si>
    <t>65.0</t>
  </si>
  <si>
    <t>Appears to be no intervention</t>
  </si>
  <si>
    <t>79.30</t>
  </si>
  <si>
    <t>3.79</t>
  </si>
  <si>
    <t>78.45</t>
  </si>
  <si>
    <t>3.26</t>
  </si>
  <si>
    <t>Novelli 2018</t>
  </si>
  <si>
    <t>The study was conducted in the homes of the participating dyads of persons with dementia and caregivers, in a large city in Brazil (Santos)</t>
  </si>
  <si>
    <t>8.56 years</t>
  </si>
  <si>
    <t>53.33</t>
  </si>
  <si>
    <t>68.16</t>
  </si>
  <si>
    <t>73.33</t>
  </si>
  <si>
    <t>Waiting list for 4 months</t>
  </si>
  <si>
    <t>32.47</t>
  </si>
  <si>
    <t>11.55</t>
  </si>
  <si>
    <t>35.33</t>
  </si>
  <si>
    <t>13.55</t>
  </si>
  <si>
    <t>36.53</t>
  </si>
  <si>
    <t>3.64</t>
  </si>
  <si>
    <t>35.73</t>
  </si>
  <si>
    <t>4.08</t>
  </si>
  <si>
    <t>Tailored Activity Program - Brazilian Version (TAP-BR)</t>
  </si>
  <si>
    <t>Structured therapeutic psychosocial interventions</t>
  </si>
  <si>
    <t>Occupational therapy</t>
  </si>
  <si>
    <t>11.40 years</t>
  </si>
  <si>
    <t>46.66</t>
  </si>
  <si>
    <t>64.33</t>
  </si>
  <si>
    <t>93.33</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</si>
  <si>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</si>
  <si>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</si>
  <si>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</si>
  <si>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30.33</t>
  </si>
  <si>
    <t>11.44</t>
  </si>
  <si>
    <t>30.40</t>
  </si>
  <si>
    <t>15.39</t>
  </si>
  <si>
    <t>38.67</t>
  </si>
  <si>
    <t>5.64</t>
  </si>
  <si>
    <t>41.47</t>
  </si>
  <si>
    <t>4.07</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</si>
  <si>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</si>
  <si>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</si>
  <si>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</si>
  <si>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</si>
  <si>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</si>
  <si>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</si>
  <si>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</si>
  <si>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</si>
  <si>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(Weeks from Start)</t>
  </si>
  <si>
    <t>Post Treatment Time (Months from Start)</t>
  </si>
  <si>
    <t>Intervention Brief introduction to the intervention</t>
  </si>
  <si>
    <t>Intervention Intervention details...98</t>
  </si>
  <si>
    <t>Wang 2010b</t>
  </si>
  <si>
    <t>Control group</t>
  </si>
  <si>
    <t>China</t>
  </si>
  <si>
    <t>Community</t>
  </si>
  <si>
    <t>No</t>
  </si>
  <si>
    <t>Chinese Mini Mental State Examination (CMMSE)</t>
  </si>
  <si>
    <t>Raw</t>
  </si>
  <si>
    <t>19.48</t>
  </si>
  <si>
    <t>40</t>
  </si>
  <si>
    <t>2.84</t>
  </si>
  <si>
    <t>18.5</t>
  </si>
  <si>
    <t>3.1</t>
  </si>
  <si>
    <t>12</t>
  </si>
  <si>
    <t>Home care as usual for a year</t>
  </si>
  <si>
    <t>Home care guidance</t>
  </si>
  <si>
    <t>Non-pharmacol</t>
  </si>
  <si>
    <t>Comprehensive care interventions</t>
  </si>
  <si>
    <t>Individual-based interventions</t>
  </si>
  <si>
    <t>19.21</t>
  </si>
  <si>
    <t>3.93</t>
  </si>
  <si>
    <t>21.02</t>
  </si>
  <si>
    <t>3.88</t>
  </si>
  <si>
    <t>Community comprehensive intervention for a year</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</si>
  <si>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</si>
  <si>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</si>
  <si>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control group</t>
  </si>
  <si>
    <t>MMSE</t>
  </si>
  <si>
    <t>4.20</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</si>
  <si>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</si>
  <si>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</si>
  <si>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</si>
  <si>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</si>
  <si>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</si>
  <si>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</si>
  <si>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</si>
  <si>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</si>
  <si>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</si>
  <si>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</si>
  <si>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44.53</t>
  </si>
  <si>
    <t>7.56</t>
  </si>
  <si>
    <t>38.95</t>
  </si>
  <si>
    <t>6.57</t>
  </si>
  <si>
    <t>treatment group</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</si>
  <si>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</si>
  <si>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</si>
  <si>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</si>
  <si>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</si>
  <si>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</si>
  <si>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</si>
  <si>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</si>
  <si>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32.99</t>
  </si>
  <si>
    <t>6.35</t>
  </si>
  <si>
    <t>33.16</t>
  </si>
  <si>
    <t>5.29</t>
  </si>
  <si>
    <t>Mercedeh 2014</t>
  </si>
  <si>
    <t>Controlled group</t>
  </si>
  <si>
    <t>Precise setting not stated but members of an Alzheimers Association and took place in urban Tehran.</t>
  </si>
  <si>
    <t>100%</t>
  </si>
  <si>
    <t>44.7</t>
  </si>
  <si>
    <t>10</t>
  </si>
  <si>
    <t>13.71</t>
  </si>
  <si>
    <t>25.30</t>
  </si>
  <si>
    <t>7.33</t>
  </si>
  <si>
    <t>19.4</t>
  </si>
  <si>
    <t>9.21</t>
  </si>
  <si>
    <t>12.7</t>
  </si>
  <si>
    <t>4.57</t>
  </si>
  <si>
    <t>37.57</t>
  </si>
  <si>
    <t>12.80</t>
  </si>
  <si>
    <t>47.61</t>
  </si>
  <si>
    <t>18.32</t>
  </si>
  <si>
    <t>Experimental group</t>
  </si>
  <si>
    <t>17.6</t>
  </si>
  <si>
    <t>17.46</t>
  </si>
  <si>
    <t>24</t>
  </si>
  <si>
    <t>14.25</t>
  </si>
  <si>
    <t>31.60</t>
  </si>
  <si>
    <t>16.36</t>
  </si>
  <si>
    <t>6.7</t>
  </si>
  <si>
    <t>2.54</t>
  </si>
  <si>
    <t>6.16</t>
  </si>
  <si>
    <t>68.93</t>
  </si>
  <si>
    <t>18.3</t>
  </si>
  <si>
    <t>70.98</t>
  </si>
  <si>
    <t>11.11</t>
  </si>
  <si>
    <t>58.01</t>
  </si>
  <si>
    <t>24.01</t>
  </si>
  <si>
    <t>Baseline For studies in carers only: Part-time working (percent)</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</si>
  <si>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</si>
  <si>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</si>
  <si>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</si>
  <si>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</si>
  <si>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</si>
  <si>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</si>
  <si>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</si>
  <si>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</si>
  <si>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</si>
  <si>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</si>
  <si>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114.02</t>
  </si>
  <si>
    <t>39</t>
  </si>
  <si>
    <t>13.98</t>
  </si>
  <si>
    <t>97.89</t>
  </si>
  <si>
    <t>14.11</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</si>
  <si>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</si>
  <si>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</si>
  <si>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</si>
  <si>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</si>
  <si>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</si>
  <si>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</si>
  <si>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88.19</t>
  </si>
  <si>
    <t>103.71</t>
  </si>
  <si>
    <t>9.28</t>
  </si>
  <si>
    <t>Lin 2017</t>
  </si>
  <si>
    <t>Nursing intervention</t>
  </si>
  <si>
    <t>urban, community</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</si>
  <si>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</si>
  <si>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</si>
  <si>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</si>
  <si>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</si>
  <si>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</si>
  <si>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15.49</t>
  </si>
  <si>
    <t>33.64</t>
  </si>
  <si>
    <t>16.10</t>
  </si>
  <si>
    <t>53.51</t>
  </si>
  <si>
    <t>5.88</t>
  </si>
  <si>
    <t>55.04</t>
  </si>
  <si>
    <t>48.82</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</si>
  <si>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</si>
  <si>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</si>
  <si>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</si>
  <si>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</si>
  <si>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</si>
  <si>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</si>
  <si>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</si>
  <si>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10.60</t>
  </si>
  <si>
    <t>58.26</t>
  </si>
  <si>
    <t>9.18</t>
  </si>
  <si>
    <t>56.46</t>
  </si>
  <si>
    <t>4.00</t>
  </si>
  <si>
    <t>46.77</t>
  </si>
  <si>
    <t>48.67</t>
  </si>
  <si>
    <t>Measurement method</t>
  </si>
  <si>
    <t>Baseline</t>
  </si>
  <si>
    <t>Baseline_N</t>
  </si>
  <si>
    <t>Baseline_SD</t>
  </si>
  <si>
    <t>Post-study</t>
  </si>
  <si>
    <t>Post-study_N</t>
  </si>
  <si>
    <t>Post-study_SD</t>
  </si>
  <si>
    <t>Duration</t>
  </si>
  <si>
    <t>6 months</t>
  </si>
  <si>
    <t>ZBI</t>
  </si>
  <si>
    <t>Mesurement type</t>
  </si>
  <si>
    <t>Change from baseline</t>
  </si>
  <si>
    <t>Change from baseline (Adjusted standardised mean difference between intervention and control groups)</t>
  </si>
  <si>
    <t>8 weeks</t>
  </si>
  <si>
    <t>14 weeks</t>
  </si>
  <si>
    <t>7 weeks</t>
  </si>
  <si>
    <t>4 months</t>
  </si>
  <si>
    <t>1 month</t>
  </si>
  <si>
    <t>Note</t>
  </si>
  <si>
    <t>Follow-up</t>
  </si>
  <si>
    <t>Follow-up_N</t>
  </si>
  <si>
    <t>Follow-up_SD</t>
  </si>
  <si>
    <t>3 months</t>
  </si>
  <si>
    <t>Change from baseline (Raw)</t>
  </si>
  <si>
    <t>Caregiver Burden Inventory (CBI)</t>
  </si>
  <si>
    <t>Alternative_measurement</t>
  </si>
  <si>
    <t>BPSD (NPI-Q)</t>
  </si>
  <si>
    <t>Caregiver distress</t>
  </si>
  <si>
    <t>Caregiver psychological morbidity</t>
  </si>
  <si>
    <t>SRQ-20</t>
  </si>
  <si>
    <t>Measured variable</t>
  </si>
  <si>
    <t>Caregiver burden</t>
  </si>
  <si>
    <t>Unspecified</t>
  </si>
  <si>
    <t>Depression</t>
  </si>
  <si>
    <t>Caregiver physical quality of life</t>
  </si>
  <si>
    <t>WHO-QoL-Bref</t>
  </si>
  <si>
    <t>Quality of life</t>
  </si>
  <si>
    <t>Caregiver quality of life</t>
  </si>
  <si>
    <t>QOL-AD caregivers</t>
  </si>
  <si>
    <t>WHOQOL-BREF</t>
  </si>
  <si>
    <t>Activities of Daily Living</t>
  </si>
  <si>
    <t>ADL</t>
  </si>
  <si>
    <t>24 weeks</t>
  </si>
  <si>
    <t>1 month after 24 week intervention</t>
  </si>
  <si>
    <t>12 months</t>
  </si>
  <si>
    <t>The study has two measurement points (6 months and 12 months)</t>
  </si>
  <si>
    <t>The study doesn't have measurements immediately after the intervention</t>
  </si>
  <si>
    <t>Hinton 2020</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</si>
  <si>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</si>
  <si>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Vietnam</t>
  </si>
  <si>
    <t>Mild to Severe Alzheimer’s Disease (CDR &gt; 1)</t>
  </si>
  <si>
    <t>Alzheimer’s Disease</t>
  </si>
  <si>
    <t>Mild to Severe</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</si>
  <si>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</si>
  <si>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Moderate to Severe Alzheimer's Disease</t>
  </si>
  <si>
    <t>Moderate to Severe</t>
  </si>
  <si>
    <t>Chen 2020</t>
  </si>
  <si>
    <t>Uyar 2019</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</si>
  <si>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</si>
  <si>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</si>
  <si>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</si>
  <si>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</si>
  <si>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</si>
  <si>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</si>
  <si>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</si>
  <si>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</si>
  <si>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</si>
  <si>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</si>
  <si>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</si>
  <si>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</si>
  <si>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</si>
  <si>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Zarepour 2020</t>
  </si>
  <si>
    <t>Moderate to Severe dementia (MMSE ≤17)</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</si>
  <si>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</si>
  <si>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Enhanced control</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</si>
  <si>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</si>
  <si>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REACH VN</t>
  </si>
  <si>
    <t>58.7 ± 13.9 years</t>
  </si>
  <si>
    <t>59.0 ± 10.4 years</t>
  </si>
  <si>
    <t>Depression/anxiety</t>
  </si>
  <si>
    <t>PHQ-4</t>
  </si>
  <si>
    <t>Yes (Intervention was implemented among carer, but outcomes were measured among patients)</t>
  </si>
  <si>
    <t>Observation group</t>
  </si>
  <si>
    <t>Patients with moderate and severe AD admitted to the People’s Hospital of Nanjing Medical University from February 2016 to March 2018</t>
  </si>
  <si>
    <t>Urban, Manisa Celal Bayar University (MCBU) Hafsa Sultan Hospital Dementia Outpatient Clinic in Manisa</t>
  </si>
  <si>
    <t>The group received just routine hospital care. At the end of 16 weeks, the programme was provided to this group too.</t>
  </si>
  <si>
    <t>8/30 illiterate, 3/30 literate, 15/30 primary school, 1/30 middle school, 2/30 high school, 1/30 university</t>
  </si>
  <si>
    <t>4/31 illiterate, 9/31 literate, 9/31 primary school, 3/31 middle school, 3/31 high school, 3/30 university</t>
  </si>
  <si>
    <t>&gt; 53 years: 40% (12/30)</t>
  </si>
  <si>
    <t>&gt; 53 years: 58% (18/31)</t>
  </si>
  <si>
    <t>16 weeks</t>
  </si>
  <si>
    <t>NPI-D</t>
  </si>
  <si>
    <t>Multiple metrics available: SF36 mental health, BDI, BAI, NPI-D</t>
  </si>
  <si>
    <t>BDI</t>
  </si>
  <si>
    <t>BAI</t>
  </si>
  <si>
    <t>Anxiety</t>
  </si>
  <si>
    <t>Quality of Life Scale SF36 mental health</t>
  </si>
  <si>
    <t>Mental health</t>
  </si>
  <si>
    <t>Cognitive training was given to all eligible subjects individually two sessions weekly continuously for a period of 1 month i.e. a total of 8 sessions. Each session will take approximately 1 hour.</t>
  </si>
  <si>
    <t>None stated</t>
  </si>
  <si>
    <t>The authors used SE rather than SD</t>
  </si>
  <si>
    <t>Overall quality of life</t>
  </si>
  <si>
    <t>Quality of life - Physical health</t>
  </si>
  <si>
    <t>SF36 Physical health</t>
  </si>
  <si>
    <t>9/25 primary education, 11/25 high school diploma, 5/25 university education</t>
  </si>
  <si>
    <t>3/25 primary education, 8/25 high school diploma, 14/25 university education</t>
  </si>
  <si>
    <t>43.4 ± 6.3 years</t>
  </si>
  <si>
    <t>42.6 ± 6.2 years</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</si>
  <si>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</si>
  <si>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</si>
  <si>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The authors did not measure caregiver burden</t>
  </si>
  <si>
    <t>Intervention was implemented among carer, but outcomes were measured among patients</t>
  </si>
  <si>
    <t>Family caregivers were recruited via resident and staff referrals from community health centers and neurological units of a tertiary hospital of a city in southeast China.</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</si>
  <si>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</si>
  <si>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</si>
  <si>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63.27 ± 11.22</t>
  </si>
  <si>
    <t>62.09 ± 10.56</t>
  </si>
  <si>
    <t>Mutality</t>
  </si>
  <si>
    <t>Active coping</t>
  </si>
  <si>
    <t>Passive coping</t>
  </si>
  <si>
    <t>CES-D</t>
  </si>
  <si>
    <t>2 months</t>
  </si>
  <si>
    <t>Caregiver psychological quality of life</t>
  </si>
  <si>
    <t>Multiple metrics available: SRQ-20, WHO-QoL-Bref, BPSD (NPI-Q)</t>
  </si>
  <si>
    <t>15-item Mutuality Scale</t>
  </si>
  <si>
    <t>Simplified Coping Scale</t>
  </si>
  <si>
    <t>Multiple metrics available</t>
  </si>
  <si>
    <t>Geriatric clinic in Imam Reza and other neurology clinics affiliated to Shiraz University of Medical Sciences, Shiraz, Iran. The target population included family caregivers of the elderly people with dementia living in Shiraz.</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</si>
  <si>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</si>
  <si>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</si>
  <si>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Spielberger questionnaires</t>
  </si>
  <si>
    <t>Somatic symptoms</t>
  </si>
  <si>
    <t>Social dysfunction</t>
  </si>
  <si>
    <t>GHQ-28</t>
  </si>
  <si>
    <t>Anxiety/insomnia</t>
  </si>
  <si>
    <t>The authors used SE rather than SD. I converted SE to SD, assuming N = 157</t>
  </si>
  <si>
    <t xml:space="preserve">"1．2．1．1方案制定及社区护士培训研究者在文献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</si>
  <si>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The original dataset only provides change from baseline data. The raw data is  updated from the original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</si>
</sst>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FF0000"/>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DCE6F1"/>
        <bgColor rgb="FF000000"/>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10" fontId="0" fillId="3" borderId="0" xfId="0" applyNumberFormat="1" applyFill="1"/>
    <xf numFmtId="9" fontId="0" fillId="3" borderId="0" xfId="0" applyNumberFormat="1" applyFill="1"/>
    <xf numFmtId="0" fontId="1" fillId="3" borderId="0" xfId="0" applyFont="1" applyFill="1"/>
    <xf numFmtId="10" fontId="1" fillId="3" borderId="0" xfId="0" applyNumberFormat="1" applyFont="1" applyFill="1"/>
    <xf numFmtId="0" fontId="1" fillId="2" borderId="0" xfId="0" applyFont="1" applyFill="1"/>
    <xf numFmtId="0" fontId="0" fillId="4" borderId="0" xfId="0" applyFill="1"/>
    <xf numFmtId="0" fontId="1" fillId="0" borderId="0" xfId="0" applyFont="1"/>
    <xf numFmtId="0" fontId="1" fillId="4" borderId="0" xfId="0" applyFont="1" applyFill="1"/>
    <xf numFmtId="9" fontId="1" fillId="3" borderId="0" xfId="0" applyNumberFormat="1"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vietnam" TargetMode="External"/><Relationship Id="rId3" Type="http://schemas.openxmlformats.org/officeDocument/2006/relationships/hyperlink" Target="https://www.bing.com/th?id=AMMS_937daafe5b9e6fc2f4fedb027ace1105&amp;qlt=95" TargetMode="External"/><Relationship Id="rId7" Type="http://schemas.openxmlformats.org/officeDocument/2006/relationships/hyperlink" Target="https://www.bing.com/th?id=AMMS_f63a1a3d7e447e702a8dee0300def445&amp;qlt=95" TargetMode="External"/><Relationship Id="rId2" Type="http://schemas.openxmlformats.org/officeDocument/2006/relationships/hyperlink" Target="https://www.bing.com/images/search?form=xlimg&amp;q=india" TargetMode="External"/><Relationship Id="rId1" Type="http://schemas.openxmlformats.org/officeDocument/2006/relationships/hyperlink" Target="https://www.bing.com/th?id=AMMS_8f636e3a9026f54a814b5a86b90d2876&amp;qlt=95" TargetMode="External"/><Relationship Id="rId6" Type="http://schemas.openxmlformats.org/officeDocument/2006/relationships/hyperlink" Target="https://www.bing.com/images/search?form=xlimg&amp;q=china" TargetMode="External"/><Relationship Id="rId5" Type="http://schemas.openxmlformats.org/officeDocument/2006/relationships/hyperlink" Target="https://www.bing.com/th?id=AMMS_e4398ddce352c97429d2472a6a6471ea&amp;qlt=95" TargetMode="External"/><Relationship Id="rId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30">
  <a r="10">
    <v t="r">21</v>
    <v t="r">22</v>
    <v t="r">23</v>
    <v t="r">24</v>
    <v t="r">25</v>
    <v t="r">26</v>
    <v t="r">27</v>
    <v t="r">28</v>
    <v t="r">29</v>
    <v t="r">30</v>
  </a>
  <a r="2">
    <v t="s">Hindi</v>
    <v t="s">Indian English</v>
  </a>
  <a r="35">
    <v t="r">49</v>
    <v t="r">50</v>
    <v t="r">51</v>
    <v t="r">52</v>
    <v t="r">53</v>
    <v t="r">54</v>
    <v t="r">55</v>
    <v t="r">56</v>
    <v t="r">57</v>
    <v t="r">58</v>
    <v t="r">59</v>
    <v t="r">60</v>
    <v t="r">61</v>
    <v t="r">62</v>
    <v t="r">63</v>
    <v t="r">64</v>
    <v t="r">65</v>
    <v t="r">66</v>
    <v t="r">67</v>
    <v t="r">68</v>
    <v t="r">69</v>
    <v t="r">70</v>
    <v t="r">71</v>
    <v t="r">72</v>
    <v t="r">73</v>
    <v t="r">74</v>
    <v t="r">75</v>
    <v t="r">76</v>
    <v t="r">77</v>
    <v t="r">78</v>
    <v t="r">79</v>
    <v t="r">80</v>
    <v t="r">81</v>
    <v t="r">82</v>
    <v t="s">Geography of Jammu and Kashmir</v>
  </a>
  <a r="1">
    <v t="s">Indian Standard Time</v>
  </a>
  <a r="3">
    <v t="r">109</v>
    <v t="s">Mohammad Mokhber (Vice President)</v>
    <v t="r">110</v>
  </a>
  <a r="1">
    <v t="s">Persian</v>
  </a>
  <a r="1">
    <v t="s">Iran Standard Time</v>
  </a>
  <a r="5">
    <v t="s">Alejandro Neyra (Minister)</v>
    <v t="s">Ariela Luna (Minister)</v>
    <v t="s">Pedro Castillo (President)</v>
    <v t="s">Dina Boluarte (Vice President)</v>
    <v t="s">Aníbal Torres (Prime Minister)</v>
  </a>
  <a r="3">
    <v t="s">Spanish</v>
    <v t="s">Aymara language</v>
    <v t="s">Quechuan languages</v>
  </a>
  <a r="2">
    <v t="r">171</v>
    <v t="r">172</v>
  </a>
  <a r="2">
    <v t="s">Peru Time Zone</v>
    <v t="s">UTC−05:00</v>
  </a>
  <a r="4">
    <v t="r">200</v>
    <v t="s">Milton Ribeiro (Minister)</v>
    <v t="s">Eduardo Pazuello (Minister)</v>
    <v t="r">201</v>
  </a>
  <a r="1">
    <v t="s">Portuguese</v>
  </a>
  <a r="27">
    <v t="r">220</v>
    <v t="r">221</v>
    <v t="r">222</v>
    <v t="r">223</v>
    <v t="r">224</v>
    <v t="r">225</v>
    <v t="r">226</v>
    <v t="r">227</v>
    <v t="r">228</v>
    <v t="r">229</v>
    <v t="r">230</v>
    <v t="r">231</v>
    <v t="r">232</v>
    <v t="r">233</v>
    <v t="r">234</v>
    <v t="r">235</v>
    <v t="r">236</v>
    <v t="r">237</v>
    <v t="r">238</v>
    <v t="r">239</v>
    <v t="r">240</v>
    <v t="r">241</v>
    <v t="r">242</v>
    <v t="r">243</v>
    <v t="r">244</v>
    <v t="r">245</v>
    <v t="r">246</v>
  </a>
  <a r="3">
    <v t="s">Fernando de Noronha Time Zone</v>
    <v t="s">Brasília Time Zone</v>
    <v t="s">Amazon Time Zone</v>
  </a>
  <a r="2">
    <v t="r">274</v>
    <v t="r">275</v>
  </a>
  <a r="1">
    <v t="s">Turkish</v>
  </a>
  <a r="80">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v t="r">367</v>
    <v t="r">368</v>
    <v t="r">369</v>
    <v t="r">370</v>
    <v t="r">371</v>
    <v t="r">372</v>
    <v t="r">373</v>
  </a>
  <a r="2">
    <v t="r">400</v>
    <v t="r">401</v>
  </a>
  <a r="1">
    <v t="s">Modern Standard Arabic</v>
  </a>
  <a r="26">
    <v t="r">419</v>
    <v t="r">420</v>
    <v t="r">421</v>
    <v t="r">422</v>
    <v t="r">423</v>
    <v t="r">424</v>
    <v t="r">425</v>
    <v t="r">426</v>
    <v t="r">427</v>
    <v t="r">428</v>
    <v t="r">429</v>
    <v t="r">430</v>
    <v t="r">431</v>
    <v t="r">432</v>
    <v t="r">433</v>
    <v t="r">434</v>
    <v t="r">435</v>
    <v t="r">436</v>
    <v t="r">437</v>
    <v t="r">438</v>
    <v t="r">439</v>
    <v t="r">440</v>
    <v t="r">441</v>
    <v t="r">442</v>
    <v t="r">443</v>
    <v t="r">444</v>
  </a>
  <a r="2">
    <v t="s">Eastern European Time Zone</v>
    <v t="s">Egypt Standard Time</v>
  </a>
  <a r="2">
    <v t="r">473</v>
    <v t="r">474</v>
  </a>
  <a r="1">
    <v t="s">Standard Chinese</v>
  </a>
  <a r="34">
    <v t="r">493</v>
    <v t="r">494</v>
    <v t="r">495</v>
    <v t="r">458</v>
    <v t="r">496</v>
    <v t="r">472</v>
    <v t="r">497</v>
    <v t="r">498</v>
    <v t="r">499</v>
    <v t="r">500</v>
    <v t="r">501</v>
    <v t="r">502</v>
    <v t="r">503</v>
    <v t="r">504</v>
    <v t="r">505</v>
    <v t="r">506</v>
    <v t="r">507</v>
    <v t="r">508</v>
    <v t="r">509</v>
    <v t="r">510</v>
    <v t="r">511</v>
    <v t="r">512</v>
    <v t="r">513</v>
    <v t="r">514</v>
    <v t="r">515</v>
    <v t="r">516</v>
    <v t="r">517</v>
    <v t="r">518</v>
    <v t="r">519</v>
    <v t="s">Taiwan Province, People's Republic of China</v>
    <v t="r">520</v>
    <v t="r">521</v>
    <v t="r">522</v>
    <v t="r">523</v>
  </a>
  <a r="1">
    <v t="s">China Standard Time</v>
  </a>
  <a r="2">
    <v t="r">552</v>
    <v t="s">Phạm Minh Chính (Prime Minister)</v>
  </a>
  <a r="1">
    <v t="s">Vietnamese</v>
  </a>
  <a r="5">
    <v t="r">537</v>
    <v t="r">571</v>
    <v t="r">551</v>
    <v t="r">572</v>
    <v t="r">573</v>
  </a>
  <a r="1">
    <v t="s">Indochina Time Zone</v>
  </a>
</arrayData>
</file>

<file path=xl/richData/rdrichvalue.xml><?xml version="1.0" encoding="utf-8"?>
<rvData xmlns="http://schemas.microsoft.com/office/spreadsheetml/2017/richdata" count="581">
  <rv s="0">
    <v>536870912</v>
    <v>India</v>
    <v>85fa63d3-9596-adb9-b4eb-502273d84f56</v>
    <v>en-GB</v>
    <v>Map</v>
  </rv>
  <rv s="1">
    <fb>0.60447196445568596</fb>
    <v>29</v>
  </rv>
  <rv s="1">
    <fb>3287263</fb>
    <v>30</v>
  </rv>
  <rv s="1">
    <fb>3031000</fb>
    <v>30</v>
  </rv>
  <rv s="1">
    <fb>17.856999999999999</fb>
    <v>31</v>
  </rv>
  <rv s="1">
    <fb>91</fb>
    <v>32</v>
  </rv>
  <rv s="0">
    <v>536870912</v>
    <v>New Delhi</v>
    <v>b474d3c7-a39a-d5ba-7426-18e00042f03e</v>
    <v>en-GB</v>
    <v>Map</v>
  </rv>
  <rv s="1">
    <fb>2407671.5260000001</fb>
    <v>30</v>
  </rv>
  <rv s="1">
    <fb>180.43581241118</fb>
    <v>33</v>
  </rv>
  <rv s="1">
    <fb>7.6596947427925291E-2</fb>
    <v>29</v>
  </rv>
  <rv s="1">
    <fb>804.51422808927896</fb>
    <v>30</v>
  </rv>
  <rv s="1">
    <fb>2.222</fb>
    <v>31</v>
  </rv>
  <rv s="1">
    <fb>0.23833121474746</fb>
    <v>29</v>
  </rv>
  <rv s="1">
    <fb>73.576979087800794</fb>
    <v>34</v>
  </rv>
  <rv s="1">
    <fb>0.97</fb>
    <v>35</v>
  </rv>
  <rv s="1">
    <fb>2611000000000.0098</fb>
    <v>36</v>
  </rv>
  <rv s="1">
    <fb>1.1295785999999999</fb>
    <v>29</v>
  </rv>
  <rv s="1">
    <fb>0.28060550000000001</fb>
    <v>29</v>
  </rv>
  <rv s="2">
    <v>0</v>
    <v>27</v>
    <v>37</v>
    <v>6</v>
    <v>0</v>
    <v>Image of India</v>
  </rv>
  <rv s="1">
    <fb>29.9</fb>
    <v>34</v>
  </rv>
  <rv s="0">
    <v>536870912</v>
    <v>Kurebhar</v>
    <v>569c78c5-65db-1b70-c201-09e40a0ec28e</v>
    <v>en-GB</v>
    <v>Map</v>
  </rv>
  <rv s="0">
    <v>805306368</v>
    <v>Ram Nath Kovind (President)</v>
    <v>a42f5c17-4611-c316-bfe4-c2c9b57841b4</v>
    <v>en-GB</v>
    <v>Generic</v>
  </rv>
  <rv s="0">
    <v>805306368</v>
    <v>Amit Shah (Minister)</v>
    <v>2d9a8abc-8fa4-620b-cf5f-c5c212f38516</v>
    <v>en-GB</v>
    <v>Generic</v>
  </rv>
  <rv s="0">
    <v>805306368</v>
    <v>Smriti Irani (Minister)</v>
    <v>07b03f43-2af0-f150-1933-2c74e7a63b0a</v>
    <v>en-GB</v>
    <v>Generic</v>
  </rv>
  <rv s="0">
    <v>805306368</v>
    <v>Mahendra Nath Pandey (Minister)</v>
    <v>fcb8bc0a-59ba-26c3-5fac-7f3bcec1d3ab</v>
    <v>en-GB</v>
    <v>Generic</v>
  </rv>
  <rv s="0">
    <v>805306368</v>
    <v>Rajnath Singh (Minister)</v>
    <v>7dd7d84c-a149-b920-f49d-043dc1e0de75</v>
    <v>en-GB</v>
    <v>Generic</v>
  </rv>
  <rv s="0">
    <v>805306368</v>
    <v>Nirmala Sitharaman (Minister)</v>
    <v>2f88c75b-5285-dbaf-1376-14da212339a3</v>
    <v>en-GB</v>
    <v>Generic</v>
  </rv>
  <rv s="0">
    <v>805306368</v>
    <v>Subrahmanyam Jaishankar (Minister)</v>
    <v>11b3306b-7a3f-4e42-9df9-6c5ceee18ef9</v>
    <v>en-GB</v>
    <v>Generic</v>
  </rv>
  <rv s="0">
    <v>805306368</v>
    <v>Piyush Goyal (Minister)</v>
    <v>9cf6adbd-c797-d4e0-b6bb-7a409e789cb3</v>
    <v>en-GB</v>
    <v>Generic</v>
  </rv>
  <rv s="0">
    <v>805306368</v>
    <v>Arjun Munda (Minister)</v>
    <v>40445594-35c2-fe65-cbad-296daad999dc</v>
    <v>en-GB</v>
    <v>Generic</v>
  </rv>
  <rv s="0">
    <v>805306368</v>
    <v>Ravi Shankar Prasad (Minister)</v>
    <v>45141aa8-42a8-9ec1-ad7f-fb3f6f83b047</v>
    <v>en-GB</v>
    <v>Generic</v>
  </rv>
  <rv s="3">
    <v>0</v>
  </rv>
  <rv s="4">
    <v>https://www.bing.com/search?q=india&amp;form=skydnc</v>
    <v>Learn more on Bing</v>
  </rv>
  <rv s="1">
    <fb>69.415999999999997</fb>
    <v>34</v>
  </rv>
  <rv s="1">
    <fb>2179781240000</fb>
    <v>36</v>
  </rv>
  <rv s="1">
    <fb>145</fb>
    <v>34</v>
  </rv>
  <rv s="1">
    <fb>0.3</fb>
    <v>35</v>
  </rv>
  <rv s="3">
    <v>1</v>
  </rv>
  <rv s="1">
    <fb>0.65060906480000003</fb>
    <v>29</v>
  </rv>
  <rv s="1">
    <fb>0.85709999999999997</fb>
    <v>31</v>
  </rv>
  <rv s="1">
    <fb>1366417754</fb>
    <v>30</v>
  </rv>
  <rv s="1">
    <fb>0.20300000000000001</fb>
    <v>29</v>
  </rv>
  <rv s="1">
    <fb>0.317</fb>
    <v>29</v>
  </rv>
  <rv s="1">
    <fb>0.46200000000000002</fb>
    <v>29</v>
  </rv>
  <rv s="1">
    <fb>3.3000000000000002E-2</fb>
    <v>29</v>
  </rv>
  <rv s="1">
    <fb>7.6999999999999999E-2</fb>
    <v>29</v>
  </rv>
  <rv s="1">
    <fb>0.111</fb>
    <v>29</v>
  </rv>
  <rv s="1">
    <fb>0.14699999999999999</fb>
    <v>29</v>
  </rv>
  <rv s="1">
    <fb>0.49292999267578097</fb>
    <v>29</v>
  </rv>
  <rv s="0">
    <v>536870912</v>
    <v>Tamil Nadu</v>
    <v>6e3e5a82-8737-a613-1d99-0b4d68370109</v>
    <v>en-GB</v>
    <v>Map</v>
  </rv>
  <rv s="0">
    <v>536870912</v>
    <v>Uttar Pradesh</v>
    <v>f624b656-1585-9836-7a98-128016c67d52</v>
    <v>en-GB</v>
    <v>Map</v>
  </rv>
  <rv s="0">
    <v>536870912</v>
    <v>Andaman and Nicobar Islands</v>
    <v>0543bce3-574a-8949-ac01-944cd0418886</v>
    <v>en-GB</v>
    <v>Map</v>
  </rv>
  <rv s="0">
    <v>536870912</v>
    <v>Arunachal Pradesh</v>
    <v>c2da5cc2-b1a0-f17a-707d-e5067136b9e9</v>
    <v>en-GB</v>
    <v>Map</v>
  </rv>
  <rv s="0">
    <v>536870912</v>
    <v>Goa</v>
    <v>d9bda1c6-a2c4-994c-5335-195386cef40a</v>
    <v>en-GB</v>
    <v>Map</v>
  </rv>
  <rv s="0">
    <v>536870912</v>
    <v>Delhi</v>
    <v>275e8ab8-7bd0-4633-9c89-0133be92e587</v>
    <v>en-GB</v>
    <v>Map</v>
  </rv>
  <rv s="0">
    <v>536870912</v>
    <v>Gujarat</v>
    <v>c70b768e-21ab-4f53-a356-564e8da2291e</v>
    <v>en-GB</v>
    <v>Map</v>
  </rv>
  <rv s="0">
    <v>536870912</v>
    <v>Andhra Pradesh</v>
    <v>9e3a52bb-38ae-c817-5cd2-7a8dd2a4c0e5</v>
    <v>en-GB</v>
    <v>Map</v>
  </rv>
  <rv s="0">
    <v>536870912</v>
    <v>Rajasthan</v>
    <v>58d414c6-9557-d15b-60ff-52f256e32345</v>
    <v>en-GB</v>
    <v>Map</v>
  </rv>
  <rv s="0">
    <v>536870912</v>
    <v>Uttarakhand</v>
    <v>41a39bbc-6b82-df10-b345-3afffff3985d</v>
    <v>en-GB</v>
    <v>Map</v>
  </rv>
  <rv s="0">
    <v>536870912</v>
    <v>Kerala</v>
    <v>9d932c0c-d3e6-abbd-5274-6b53036ca764</v>
    <v>en-GB</v>
    <v>Map</v>
  </rv>
  <rv s="0">
    <v>536870912</v>
    <v>Maharashtra</v>
    <v>8e20e4dc-1423-75a9-a049-5e500370aafa</v>
    <v>en-GB</v>
    <v>Map</v>
  </rv>
  <rv s="0">
    <v>536870912</v>
    <v>West Bengal</v>
    <v>067d886f-4d7d-8889-c8c7-d54e2dbc1cb8</v>
    <v>en-GB</v>
    <v>Map</v>
  </rv>
  <rv s="0">
    <v>536870912</v>
    <v>Bihar</v>
    <v>e402c108-ade8-40dd-b6d7-f36882e8e3e3</v>
    <v>en-GB</v>
    <v>Map</v>
  </rv>
  <rv s="0">
    <v>536870912</v>
    <v>Madhya Pradesh</v>
    <v>bcbcd891-852b-6dac-1671-8d00b9eae5ea</v>
    <v>en-GB</v>
    <v>Map</v>
  </rv>
  <rv s="0">
    <v>536870912</v>
    <v>Punjab</v>
    <v>d98d08e1-818e-a7ba-30a5-4637a11eec3e</v>
    <v>en-GB</v>
    <v>Map</v>
  </rv>
  <rv s="0">
    <v>536870912</v>
    <v>Manipur</v>
    <v>774dc6a3-56a4-d8f3-26d2-6e2536af50a5</v>
    <v>en-GB</v>
    <v>Map</v>
  </rv>
  <rv s="0">
    <v>536870912</v>
    <v>Karnataka</v>
    <v>216903eb-bbc1-497e-b914-8eb69db6f747</v>
    <v>en-GB</v>
    <v>Map</v>
  </rv>
  <rv s="0">
    <v>536870912</v>
    <v>Chandigarh</v>
    <v>10beaf9e-bdab-00b9-8037-79ffe16cf357</v>
    <v>en-GB</v>
    <v>Map</v>
  </rv>
  <rv s="0">
    <v>536870912</v>
    <v>Assam</v>
    <v>a9d4e5df-f559-c28f-dc41-7c72a82dfaf7</v>
    <v>en-GB</v>
    <v>Map</v>
  </rv>
  <rv s="0">
    <v>536870912</v>
    <v>Sikkim</v>
    <v>aa8e9a23-8c5b-d667-7f28-62e9ce93f9bd</v>
    <v>en-GB</v>
    <v>Map</v>
  </rv>
  <rv s="0">
    <v>536870912</v>
    <v>Odisha</v>
    <v>becca699-9820-c027-8e14-b5840348a600</v>
    <v>en-GB</v>
    <v>Map</v>
  </rv>
  <rv s="0">
    <v>536870912</v>
    <v>Nagaland</v>
    <v>9097c945-eb0e-f294-cb7f-43ad572c6903</v>
    <v>en-GB</v>
    <v>Map</v>
  </rv>
  <rv s="0">
    <v>536870912</v>
    <v>Haryana</v>
    <v>f50b36c9-0e06-9b0a-b657-100ebb295bb1</v>
    <v>en-GB</v>
    <v>Map</v>
  </rv>
  <rv s="0">
    <v>536870912</v>
    <v>Chhattisgarh</v>
    <v>91e8d1d3-b929-8697-13f5-91241ae0d1b6</v>
    <v>en-GB</v>
    <v>Map</v>
  </rv>
  <rv s="0">
    <v>536870912</v>
    <v>Mizoram</v>
    <v>a1dcfd92-e2ab-1111-48a2-8c885ebd1155</v>
    <v>en-GB</v>
    <v>Map</v>
  </rv>
  <rv s="0">
    <v>536870912</v>
    <v>Tripura</v>
    <v>a7fa8608-5e0d-f0d4-37a2-b87e3fe2b039</v>
    <v>en-GB</v>
    <v>Map</v>
  </rv>
  <rv s="0">
    <v>536870912</v>
    <v>Telangana</v>
    <v>19abdc7d-29ea-4ed5-99d8-3a1d7bc90b05</v>
    <v>en-GB</v>
    <v>Map</v>
  </rv>
  <rv s="0">
    <v>536870912</v>
    <v>Himachal Pradesh</v>
    <v>0e213229-adc2-378d-f093-949050fffa34</v>
    <v>en-GB</v>
    <v>Map</v>
  </rv>
  <rv s="0">
    <v>536870912</v>
    <v>Meghalaya</v>
    <v>b317786c-1e28-16cc-03ca-835f315a094d</v>
    <v>en-GB</v>
    <v>Map</v>
  </rv>
  <rv s="0">
    <v>536870912</v>
    <v>Jharkhand</v>
    <v>9cf33868-3d76-c243-1cd3-91dda44b77e3</v>
    <v>en-GB</v>
    <v>Map</v>
  </rv>
  <rv s="0">
    <v>536870912</v>
    <v>Lakshadweep</v>
    <v>90dcf823-b8a7-5ca7-11dd-dcf29ea357f2</v>
    <v>en-GB</v>
    <v>Map</v>
  </rv>
  <rv s="0">
    <v>536870912</v>
    <v>Dadra and Nagar Haveli</v>
    <v>15bc8541-5d7a-066b-4d9b-31821cb3f94e</v>
    <v>en-GB</v>
    <v>Map</v>
  </rv>
  <rv s="0">
    <v>536870912</v>
    <v>Daman and Diu</v>
    <v>6cc5ae73-aac4-1afd-9be5-2199d168555a</v>
    <v>en-GB</v>
    <v>Map</v>
  </rv>
  <rv s="3">
    <v>2</v>
  </rv>
  <rv s="1">
    <fb>0.111799218352875</fb>
    <v>29</v>
  </rv>
  <rv s="3">
    <v>3</v>
  </rv>
  <rv s="1">
    <fb>0.49700000000000005</fb>
    <v>29</v>
  </rv>
  <rv s="1">
    <fb>5.35500001907349E-2</fb>
    <v>38</v>
  </rv>
  <rv s="1">
    <fb>471031528</fb>
    <v>30</v>
  </rv>
  <rv s="5">
    <v>#VALUE!</v>
    <v>21</v>
    <v>22</v>
    <v>India</v>
    <v>25</v>
    <v>26</v>
    <v>Map</v>
    <v>27</v>
    <v>28</v>
    <v>en-GB</v>
    <v>85fa63d3-9596-adb9-b4eb-502273d84f56</v>
    <v>536870912</v>
    <v>1</v>
    <v>IN</v>
    <v>1</v>
    <v>2</v>
    <v>3</v>
    <v>4</v>
    <v>5</v>
    <v>6</v>
    <v>7</v>
    <v>8</v>
    <v>9</v>
    <v>INR</v>
    <v>India, officially the Republic of India, is a country in South Asia. It is the seventh-largest country by area, the second-most populous country, and the most populous democracy in the world. Bounded by the Indian Ocean on the south, the Arabian Sea on the southwest, and the Bay of Bengal on the southeast, it shares land borders with Pakistan to the west; China, Nepal, and Bhutan to the north; and Bangladesh and Myanmar to the east. In the Indian Ocean, India is in the vicinity of Sri Lanka and the Maldives; its Andaman and Nicobar Islands share a maritime border with Thailand, Myanmar and Indonesia.</v>
    <v>10</v>
    <v>11</v>
    <v>12</v>
    <v>13</v>
    <v>14</v>
    <v>15</v>
    <v>16</v>
    <v>17</v>
    <v>18</v>
    <v>19</v>
    <v>20</v>
    <v>31</v>
    <v>32</v>
    <v>33</v>
    <v>34</v>
    <v>35</v>
    <v>36</v>
    <v>India</v>
    <v>Jana Gana Mana</v>
    <v>37</v>
    <v>Republic of India</v>
    <v>38</v>
    <v>39</v>
    <v>40</v>
    <v>41</v>
    <v>42</v>
    <v>43</v>
    <v>44</v>
    <v>45</v>
    <v>46</v>
    <v>47</v>
    <v>48</v>
    <v>83</v>
    <v>84</v>
    <v>85</v>
    <v>86</v>
    <v>87</v>
    <v>India</v>
    <v>88</v>
    <v>mdp/vdpid/113</v>
  </rv>
  <rv s="0">
    <v>536870912</v>
    <v>Iran</v>
    <v>502b5268-992d-26c9-a0d8-6f206338406e</v>
    <v>en-GB</v>
    <v>Map</v>
  </rv>
  <rv s="1">
    <fb>0.28214101525086599</fb>
    <v>29</v>
  </rv>
  <rv s="1">
    <fb>1648195</fb>
    <v>30</v>
  </rv>
  <rv s="1">
    <fb>563000</fb>
    <v>30</v>
  </rv>
  <rv s="1">
    <fb>18.783000000000001</fb>
    <v>31</v>
  </rv>
  <rv s="1">
    <fb>98</fb>
    <v>32</v>
  </rv>
  <rv s="0">
    <v>536870912</v>
    <v>Tehran</v>
    <v>08033170-d738-6401-e42a-fb99d1cdb464</v>
    <v>en-GB</v>
    <v>Map</v>
  </rv>
  <rv s="1">
    <fb>661710.15</fb>
    <v>30</v>
  </rv>
  <rv s="1">
    <fb>550.92942529120603</fb>
    <v>33</v>
  </rv>
  <rv s="1">
    <fb>0.39907345569778302</fb>
    <v>29</v>
  </rv>
  <rv s="1">
    <fb>3022.12256298599</fb>
    <v>30</v>
  </rv>
  <rv s="1">
    <fb>2.137</fb>
    <v>31</v>
  </rv>
  <rv s="1">
    <fb>6.5644910660563896E-2</fb>
    <v>29</v>
  </rv>
  <rv s="1">
    <fb>99.022580545301807</fb>
    <v>34</v>
  </rv>
  <rv s="1">
    <fb>0.39900000000000002</fb>
    <v>35</v>
  </rv>
  <rv s="1">
    <fb>445345282122.68201</fb>
    <v>36</v>
  </rv>
  <rv s="1">
    <fb>1.1070754</fb>
    <v>29</v>
  </rv>
  <rv s="1">
    <fb>0.68116089999999996</fb>
    <v>29</v>
  </rv>
  <rv s="1">
    <fb>12.4</fb>
    <v>34</v>
  </rv>
  <rv s="0">
    <v>805306368</v>
    <v>Ali Khamenei (Supreme leader)</v>
    <v>1f928f25-2e0f-80cc-5768-c25fdbbddd37</v>
    <v>en-GB</v>
    <v>Generic</v>
  </rv>
  <rv s="0">
    <v>805306368</v>
    <v>Ebrahim Raisi (President)</v>
    <v>f6890262-5877-5b01-f045-08a22405151a</v>
    <v>en-GB</v>
    <v>Generic</v>
  </rv>
  <rv s="3">
    <v>4</v>
  </rv>
  <rv s="4">
    <v>https://www.bing.com/search?q=iran&amp;form=skydnc</v>
    <v>Learn more on Bing</v>
  </rv>
  <rv s="1">
    <fb>76.478999999999999</fb>
    <v>34</v>
  </rv>
  <rv s="1">
    <fb>320671170000</fb>
    <v>36</v>
  </rv>
  <rv s="1">
    <fb>16</fb>
    <v>34</v>
  </rv>
  <rv s="1">
    <fb>1.58</fb>
    <v>35</v>
  </rv>
  <rv s="3">
    <v>5</v>
  </rv>
  <rv s="1">
    <fb>0.39660448610000004</fb>
    <v>29</v>
  </rv>
  <rv s="1">
    <fb>1.5844</fb>
    <v>31</v>
  </rv>
  <rv s="1">
    <fb>82913906</fb>
    <v>30</v>
  </rv>
  <rv s="1">
    <fb>0.217</fb>
    <v>29</v>
  </rv>
  <rv s="1">
    <fb>0.313</fb>
    <v>29</v>
  </rv>
  <rv s="1">
    <fb>0.47299999999999998</fb>
    <v>29</v>
  </rv>
  <rv s="1">
    <fb>2.3E-2</fb>
    <v>29</v>
  </rv>
  <rv s="1">
    <fb>5.9000000000000004E-2</fb>
    <v>29</v>
  </rv>
  <rv s="1">
    <fb>0.10300000000000001</fb>
    <v>29</v>
  </rv>
  <rv s="1">
    <fb>0.14800000000000002</fb>
    <v>29</v>
  </rv>
  <rv s="1">
    <fb>0.44665000915527303</fb>
    <v>29</v>
  </rv>
  <rv s="1">
    <fb>7.3584780414963205E-2</fb>
    <v>29</v>
  </rv>
  <rv s="3">
    <v>6</v>
  </rv>
  <rv s="1">
    <fb>0.44700000000000001</fb>
    <v>29</v>
  </rv>
  <rv s="1">
    <fb>0.11381999969482401</fb>
    <v>38</v>
  </rv>
  <rv s="1">
    <fb>62509623</fb>
    <v>30</v>
  </rv>
  <rv s="6">
    <v>#VALUE!</v>
    <v>46</v>
    <v>47</v>
    <v>Iran</v>
    <v>25</v>
    <v>48</v>
    <v>Map</v>
    <v>27</v>
    <v>49</v>
    <v>en-GB</v>
    <v>502b5268-992d-26c9-a0d8-6f206338406e</v>
    <v>536870912</v>
    <v>1</v>
    <v>IR</v>
    <v>91</v>
    <v>92</v>
    <v>93</v>
    <v>94</v>
    <v>95</v>
    <v>96</v>
    <v>97</v>
    <v>98</v>
    <v>99</v>
    <v>IRR</v>
    <v>Iran, also called Persia, and officially the Islamic Republic of Iran, is a country in Western Asia. It is bordered by Iraq and Turkey to the west, by Azerbaijan and Armenia to the northwest, by the Caspian Sea and Turkmenistan to the north, by Afghanistan and Pakistan to the east, and by the Gulf of Oman and the Persian Gulf to the south. It covers an area of 1,648,195 km², making it the fourth-largest country entirely in Asia and the second-largest country in Western Asia behind Saudi Arabia. Iran has a population of 85 million, making it the 17th-most populous country in the world. Its largest cities, in descending order, are the capital Tehran, Mashhad, Isfahan, Karaj, Shiraz, and Tabriz.</v>
    <v>100</v>
    <v>101</v>
    <v>102</v>
    <v>103</v>
    <v>104</v>
    <v>105</v>
    <v>106</v>
    <v>107</v>
    <v>108</v>
    <v>96</v>
    <v>111</v>
    <v>112</v>
    <v>113</v>
    <v>114</v>
    <v>115</v>
    <v>116</v>
    <v>Iran</v>
    <v>National Anthem of the Islamic Republic of Iran</v>
    <v>117</v>
    <v>Islamic Republic of Iran</v>
    <v>118</v>
    <v>119</v>
    <v>120</v>
    <v>121</v>
    <v>122</v>
    <v>123</v>
    <v>124</v>
    <v>125</v>
    <v>126</v>
    <v>127</v>
    <v>128</v>
    <v>129</v>
    <v>130</v>
    <v>131</v>
    <v>132</v>
    <v>Iran</v>
    <v>133</v>
    <v>mdp/vdpid/116</v>
  </rv>
  <rv s="0">
    <v>536870912</v>
    <v>Peru</v>
    <v>02dd0e01-24ad-0f52-3d28-54e36db1ce25</v>
    <v>en-GB</v>
    <v>Map</v>
  </rv>
  <rv s="1">
    <fb>0.18505468749999998</fb>
    <v>29</v>
  </rv>
  <rv s="1">
    <fb>1285216</fb>
    <v>30</v>
  </rv>
  <rv s="1">
    <fb>158000</fb>
    <v>30</v>
  </rv>
  <rv s="1">
    <fb>17.949000000000002</fb>
    <v>31</v>
  </rv>
  <rv s="1">
    <fb>51</fb>
    <v>32</v>
  </rv>
  <rv s="0">
    <v>536870912</v>
    <v>Lima</v>
    <v>56111e08-84b2-d298-3309-317c86bbca62</v>
    <v>en-GB</v>
    <v>Map</v>
  </rv>
  <rv s="1">
    <fb>57414.218999999997</fb>
    <v>30</v>
  </rv>
  <rv s="1">
    <fb>129.78454434275901</fb>
    <v>33</v>
  </rv>
  <rv s="1">
    <fb>2.1371534256997799E-2</fb>
    <v>29</v>
  </rv>
  <rv s="1">
    <fb>1345.8795888743</fb>
    <v>30</v>
  </rv>
  <rv s="1">
    <fb>2.254</fb>
    <v>31</v>
  </rv>
  <rv s="1">
    <fb>0.57660467529296899</fb>
    <v>29</v>
  </rv>
  <rv s="1">
    <fb>79.555683573486803</fb>
    <v>34</v>
  </rv>
  <rv s="1">
    <fb>0.99</fb>
    <v>35</v>
  </rv>
  <rv s="1">
    <fb>226848050819.52499</fb>
    <v>36</v>
  </rv>
  <rv s="1">
    <fb>1.0694512</fb>
    <v>29</v>
  </rv>
  <rv s="1">
    <fb>0.70737859999999997</fb>
    <v>29</v>
  </rv>
  <rv s="1">
    <fb>11.1</fb>
    <v>34</v>
  </rv>
  <rv s="3">
    <v>7</v>
  </rv>
  <rv s="4">
    <v>https://www.bing.com/search?q=peru&amp;form=skydnc</v>
    <v>Learn more on Bing</v>
  </rv>
  <rv s="1">
    <fb>76.516000000000005</fb>
    <v>34</v>
  </rv>
  <rv s="1">
    <fb>98964960000</fb>
    <v>36</v>
  </rv>
  <rv s="1">
    <fb>88</fb>
    <v>34</v>
  </rv>
  <rv s="1">
    <fb>1.28</fb>
    <v>35</v>
  </rv>
  <rv s="3">
    <v>8</v>
  </rv>
  <rv s="1">
    <fb>0.30916759560000001</fb>
    <v>29</v>
  </rv>
  <rv s="1">
    <fb>1.27</fb>
    <v>31</v>
  </rv>
  <rv s="1">
    <fb>32510453</fb>
    <v>30</v>
  </rv>
  <rv s="1">
    <fb>0.22</fb>
    <v>29</v>
  </rv>
  <rv s="1">
    <fb>0.32100000000000001</fb>
    <v>29</v>
  </rv>
  <rv s="1">
    <fb>0.48299999999999998</fb>
    <v>29</v>
  </rv>
  <rv s="1">
    <fb>1.8000000000000002E-2</fb>
    <v>29</v>
  </rv>
  <rv s="1">
    <fb>4.9000000000000002E-2</fb>
    <v>29</v>
  </rv>
  <rv s="1">
    <fb>9.9000000000000005E-2</fb>
    <v>29</v>
  </rv>
  <rv s="1">
    <fb>0.77633003234863296</fb>
    <v>29</v>
  </rv>
  <rv s="0">
    <v>536870912</v>
    <v>Callao</v>
    <v>08e03471-8aab-c10c-9015-7df825c18e7b</v>
    <v>en-GB</v>
    <v>Map</v>
  </rv>
  <rv s="0">
    <v>536870912</v>
    <v>Lima Province</v>
    <v>c1af6300-c27c-5029-87f7-5a46bbbe02ac</v>
    <v>en-GB</v>
    <v>Map</v>
  </rv>
  <rv s="3">
    <v>9</v>
  </rv>
  <rv s="1">
    <fb>0.14321901146650698</fb>
    <v>29</v>
  </rv>
  <rv s="3">
    <v>10</v>
  </rv>
  <rv s="1">
    <fb>0.36799999999999999</fb>
    <v>29</v>
  </rv>
  <rv s="1">
    <fb>3.3099999427795401E-2</fb>
    <v>38</v>
  </rv>
  <rv s="1">
    <fb>25390339</fb>
    <v>30</v>
  </rv>
  <rv s="7">
    <v>#VALUE!</v>
    <v>57</v>
    <v>58</v>
    <v>Peru</v>
    <v>25</v>
    <v>48</v>
    <v>Map</v>
    <v>27</v>
    <v>59</v>
    <v>en-GB</v>
    <v>02dd0e01-24ad-0f52-3d28-54e36db1ce25</v>
    <v>536870912</v>
    <v>1</v>
    <v>PE</v>
    <v>136</v>
    <v>137</v>
    <v>138</v>
    <v>139</v>
    <v>140</v>
    <v>141</v>
    <v>142</v>
    <v>143</v>
    <v>144</v>
    <v>PEN</v>
    <v>Peru, officially the Republic of Peru, is a country in western South America. It is bordered in the north by Ecuador and Colombia, in the east by Brazil, in the southeast by Bolivia, in the south by Chile, and in the south and west by the Pacific Ocean. Peru is a megadiverse country with habitats ranging from the arid plains of the Pacific coastal region in the west to the peaks of the Andes mountains extending from the north to the southeast of the country to the tropical Amazon basin rainforest in the east with the Amazon River. Peru has a population of 34 million, and its capital and largest city is Lima. At 1.28 million km², Peru is the 19th largest country in the world, and the third largest in South America.</v>
    <v>145</v>
    <v>146</v>
    <v>147</v>
    <v>148</v>
    <v>149</v>
    <v>150</v>
    <v>151</v>
    <v>152</v>
    <v>153</v>
    <v>141</v>
    <v>154</v>
    <v>155</v>
    <v>156</v>
    <v>157</v>
    <v>158</v>
    <v>159</v>
    <v>Peru</v>
    <v>National Anthem of Peru</v>
    <v>160</v>
    <v>Republic of Peru</v>
    <v>161</v>
    <v>162</v>
    <v>163</v>
    <v>164</v>
    <v>165</v>
    <v>166</v>
    <v>167</v>
    <v>168</v>
    <v>169</v>
    <v>127</v>
    <v>170</v>
    <v>173</v>
    <v>174</v>
    <v>175</v>
    <v>176</v>
    <v>177</v>
    <v>Peru</v>
    <v>178</v>
    <v>mdp/vdpid/187</v>
  </rv>
  <rv s="0">
    <v>536870912</v>
    <v>Brazil</v>
    <v>a828cf41-b938-49fe-7986-4b336618d413</v>
    <v>en-GB</v>
    <v>Map</v>
  </rv>
  <rv s="1">
    <fb>0.33924533448829503</fb>
    <v>29</v>
  </rv>
  <rv s="1">
    <fb>8515770</fb>
    <v>30</v>
  </rv>
  <rv s="1">
    <fb>730000</fb>
    <v>30</v>
  </rv>
  <rv s="1">
    <fb>13.923999999999999</fb>
    <v>31</v>
  </rv>
  <rv s="1">
    <fb>55</fb>
    <v>32</v>
  </rv>
  <rv s="0">
    <v>536870912</v>
    <v>Brasília</v>
    <v>0f4c1a26-f33c-b6de-a63f-578da6617369</v>
    <v>en-GB</v>
    <v>Map</v>
  </rv>
  <rv s="1">
    <fb>462298.69</fb>
    <v>30</v>
  </rv>
  <rv s="1">
    <fb>167.397860280061</fb>
    <v>33</v>
  </rv>
  <rv s="1">
    <fb>3.7329762121689397E-2</fb>
    <v>29</v>
  </rv>
  <rv s="1">
    <fb>2619.96061573831</fb>
    <v>30</v>
  </rv>
  <rv s="1">
    <fb>1.73</fb>
    <v>31</v>
  </rv>
  <rv s="1">
    <fb>0.58931054038338704</fb>
    <v>29</v>
  </rv>
  <rv s="1">
    <fb>59.1075326389753</fb>
    <v>34</v>
  </rv>
  <rv s="1">
    <fb>1.02</fb>
    <v>35</v>
  </rv>
  <rv s="1">
    <fb>1839758040765.6201</fb>
    <v>36</v>
  </rv>
  <rv s="1">
    <fb>1.1544783999999999</fb>
    <v>29</v>
  </rv>
  <rv s="1">
    <fb>0.513436</fb>
    <v>29</v>
  </rv>
  <rv s="1">
    <fb>12.8</fb>
    <v>34</v>
  </rv>
  <rv s="0">
    <v>536870912</v>
    <v>São Paulo</v>
    <v>c6cf2f6e-626c-4267-ae48-9e13ea74d2b9</v>
    <v>en-GB</v>
    <v>Map</v>
  </rv>
  <rv s="0">
    <v>805306368</v>
    <v>Jair Bolsonaro (President)</v>
    <v>e5c2a3dc-a01d-9ba4-59d7-7920ab72e453</v>
    <v>en-GB</v>
    <v>Generic</v>
  </rv>
  <rv s="0">
    <v>805306368</v>
    <v>Hamilton Mourão (Vice President)</v>
    <v>82d9ec69-ca73-987b-d035-f269280ea4a8</v>
    <v>en-GB</v>
    <v>Generic</v>
  </rv>
  <rv s="3">
    <v>11</v>
  </rv>
  <rv s="4">
    <v>https://www.bing.com/search?q=brazil&amp;form=skydnc</v>
    <v>Learn more on Bing</v>
  </rv>
  <rv s="1">
    <fb>75.671999999999997</fb>
    <v>34</v>
  </rv>
  <rv s="1">
    <fb>1187361690000</fb>
    <v>36</v>
  </rv>
  <rv s="1">
    <fb>60</fb>
    <v>34</v>
  </rv>
  <rv s="1">
    <fb>1.53</fb>
    <v>35</v>
  </rv>
  <rv s="3">
    <v>12</v>
  </rv>
  <rv s="1">
    <fb>0.28289823089999999</fb>
    <v>29</v>
  </rv>
  <rv s="1">
    <fb>2.1499000000000001</fb>
    <v>31</v>
  </rv>
  <rv s="1">
    <fb>212559417</fb>
    <v>30</v>
  </rv>
  <rv s="1">
    <fb>0.192</fb>
    <v>29</v>
  </rv>
  <rv s="1">
    <fb>0.42499999999999999</fb>
    <v>29</v>
  </rv>
  <rv s="1">
    <fb>0.58399999999999996</fb>
    <v>29</v>
  </rv>
  <rv s="1">
    <fb>0.01</fb>
    <v>29</v>
  </rv>
  <rv s="1">
    <fb>3.1E-2</fb>
    <v>29</v>
  </rv>
  <rv s="1">
    <fb>7.2999999999999995E-2</fb>
    <v>29</v>
  </rv>
  <rv s="1">
    <fb>0.12</fb>
    <v>29</v>
  </rv>
  <rv s="1">
    <fb>0.63883998870849601</fb>
    <v>29</v>
  </rv>
  <rv s="0">
    <v>536870912</v>
    <v>São Paulo</v>
    <v>4d56ae2d-1aad-8c4f-dca2-4456acc12f89</v>
    <v>en-GB</v>
    <v>Map</v>
  </rv>
  <rv s="0">
    <v>536870912</v>
    <v>Minas Gerais</v>
    <v>974e2066-dee0-aecd-c973-50babb750033</v>
    <v>en-GB</v>
    <v>Map</v>
  </rv>
  <rv s="0">
    <v>536870912</v>
    <v>Rio de Janeiro</v>
    <v>3f5a22fa-26bd-86f9-0345-3a6206e8aab5</v>
    <v>en-GB</v>
    <v>Map</v>
  </rv>
  <rv s="0">
    <v>536870912</v>
    <v>Bahia</v>
    <v>e904684f-6d5b-f7bb-c27d-bdb50a0ec8ab</v>
    <v>en-GB</v>
    <v>Map</v>
  </rv>
  <rv s="0">
    <v>536870912</v>
    <v>Pernambuco</v>
    <v>5538aab1-15ae-294f-2c10-f5083201cca1</v>
    <v>en-GB</v>
    <v>Map</v>
  </rv>
  <rv s="0">
    <v>536870912</v>
    <v>Rio Grande do Sul</v>
    <v>9644dbbf-be0c-de9c-a534-3d7ff4801a8b</v>
    <v>en-GB</v>
    <v>Map</v>
  </rv>
  <rv s="0">
    <v>536870912</v>
    <v>Mato Grosso</v>
    <v>af05c757-4d77-813e-b8eb-97635c07f37a</v>
    <v>en-GB</v>
    <v>Map</v>
  </rv>
  <rv s="0">
    <v>536870912</v>
    <v>Ceará</v>
    <v>b598e20e-29fb-ccf6-be0e-2650e6ba40c5</v>
    <v>en-GB</v>
    <v>Map</v>
  </rv>
  <rv s="0">
    <v>536870912</v>
    <v>Paraná</v>
    <v>a33450c4-459a-0682-41ee-635b343dd785</v>
    <v>en-GB</v>
    <v>Map</v>
  </rv>
  <rv s="0">
    <v>536870912</v>
    <v>Espírito Santo</v>
    <v>dbc4d679-53e7-49d7-c6b3-88a4ca7f522f</v>
    <v>en-GB</v>
    <v>Map</v>
  </rv>
  <rv s="0">
    <v>536870912</v>
    <v>Piauí</v>
    <v>ab11433a-8357-ae6d-67fe-8570cc271399</v>
    <v>en-GB</v>
    <v>Map</v>
  </rv>
  <rv s="0">
    <v>536870912</v>
    <v>Santa Catarina</v>
    <v>6262969d-76c7-e65f-1be5-668011a93ff0</v>
    <v>en-GB</v>
    <v>Map</v>
  </rv>
  <rv s="0">
    <v>536870912</v>
    <v>Goiás</v>
    <v>38750702-647a-b72a-2cec-e4a55e078f36</v>
    <v>en-GB</v>
    <v>Map</v>
  </rv>
  <rv s="0">
    <v>536870912</v>
    <v>Federal District</v>
    <v>88dfc3b6-8e7a-694d-61b2-96d14f226ec4</v>
    <v>en-GB</v>
    <v>Map</v>
  </rv>
  <rv s="0">
    <v>536870912</v>
    <v>Amazonas</v>
    <v>f79e57ca-6fc1-5a6a-015b-38d90f33902f</v>
    <v>en-GB</v>
    <v>Map</v>
  </rv>
  <rv s="0">
    <v>536870912</v>
    <v>Pará</v>
    <v>7a0db70a-73db-e83d-e548-6fab7a523b35</v>
    <v>en-GB</v>
    <v>Map</v>
  </rv>
  <rv s="0">
    <v>536870912</v>
    <v>Rondônia</v>
    <v>25fbe5d5-9bc1-0ec2-ac78-2d9fe5b147dd</v>
    <v>en-GB</v>
    <v>Map</v>
  </rv>
  <rv s="0">
    <v>536870912</v>
    <v>Mato Grosso do Sul</v>
    <v>7de24933-1d79-fc85-387b-3ce7947910b6</v>
    <v>en-GB</v>
    <v>Map</v>
  </rv>
  <rv s="0">
    <v>536870912</v>
    <v>Acre</v>
    <v>8960bf27-5261-01d1-4019-e7d898f67bb4</v>
    <v>en-GB</v>
    <v>Map</v>
  </rv>
  <rv s="0">
    <v>536870912</v>
    <v>Paraíba</v>
    <v>f5be810b-3322-2252-c10f-35206d84b548</v>
    <v>en-GB</v>
    <v>Map</v>
  </rv>
  <rv s="0">
    <v>536870912</v>
    <v>Roraima</v>
    <v>3b8383a2-7c79-31f6-2359-bd9ba2099213</v>
    <v>en-GB</v>
    <v>Map</v>
  </rv>
  <rv s="0">
    <v>536870912</v>
    <v>Rio Grande do Norte</v>
    <v>4cccb40d-d26b-4493-e031-bcf803f1c2b1</v>
    <v>en-GB</v>
    <v>Map</v>
  </rv>
  <rv s="0">
    <v>536870912</v>
    <v>Maranhão</v>
    <v>98274980-9da4-ff5e-78a1-e512bb4179ca</v>
    <v>en-GB</v>
    <v>Map</v>
  </rv>
  <rv s="0">
    <v>536870912</v>
    <v>Alagoas</v>
    <v>4e3f1ba4-1948-0514-728a-55b34ab027b4</v>
    <v>en-GB</v>
    <v>Map</v>
  </rv>
  <rv s="0">
    <v>536870912</v>
    <v>Amapá</v>
    <v>28d39e09-4b9f-31f6-cc72-48b1f9be59db</v>
    <v>en-GB</v>
    <v>Map</v>
  </rv>
  <rv s="0">
    <v>536870912</v>
    <v>Sergipe</v>
    <v>a7f70762-a1ab-d5de-8bf0-3eb8532c1eb9</v>
    <v>en-GB</v>
    <v>Map</v>
  </rv>
  <rv s="0">
    <v>536870912</v>
    <v>Tocantins</v>
    <v>f7a46dfe-e192-d6f7-e5f8-084e555ba7cb</v>
    <v>en-GB</v>
    <v>Map</v>
  </rv>
  <rv s="3">
    <v>13</v>
  </rv>
  <rv s="1">
    <fb>0.14178605589771201</fb>
    <v>29</v>
  </rv>
  <rv s="3">
    <v>14</v>
  </rv>
  <rv s="1">
    <fb>0.65099999999999991</fb>
    <v>29</v>
  </rv>
  <rv s="1">
    <fb>0.12083000183105501</fb>
    <v>38</v>
  </rv>
  <rv s="1">
    <fb>183241641</fb>
    <v>30</v>
  </rv>
  <rv s="7">
    <v>#VALUE!</v>
    <v>66</v>
    <v>58</v>
    <v>Brazil</v>
    <v>25</v>
    <v>48</v>
    <v>Map</v>
    <v>27</v>
    <v>67</v>
    <v>en-GB</v>
    <v>a828cf41-b938-49fe-7986-4b336618d413</v>
    <v>536870912</v>
    <v>1</v>
    <v>BR</v>
    <v>181</v>
    <v>182</v>
    <v>183</v>
    <v>184</v>
    <v>185</v>
    <v>186</v>
    <v>187</v>
    <v>188</v>
    <v>189</v>
    <v>BRL</v>
    <v>Brazil, officially the Federative Republic of Brazil, is the largest country in both South America and Latin America. At 8.5 million square kilometers and with over 214 million people, Brazil is the world's fifth-largest country by area and the seventh most populous. Its capital is Brasília, and its most populous city is São Paulo. The federation is composed of the union of the 26 states and the Federal District. It is the largest country to have Portuguese as an official language and the only one in the Americas; it is also one of the most multicultural and ethnically diverse nations, due to over a century of mass immigration from around the world; as well as the most populous Roman Catholic-majority country.</v>
    <v>190</v>
    <v>191</v>
    <v>192</v>
    <v>193</v>
    <v>194</v>
    <v>195</v>
    <v>196</v>
    <v>197</v>
    <v>198</v>
    <v>199</v>
    <v>202</v>
    <v>203</v>
    <v>204</v>
    <v>205</v>
    <v>206</v>
    <v>207</v>
    <v>Brazil</v>
    <v>Brazilian National Anthem</v>
    <v>208</v>
    <v>Brazil</v>
    <v>209</v>
    <v>210</v>
    <v>211</v>
    <v>212</v>
    <v>213</v>
    <v>214</v>
    <v>215</v>
    <v>216</v>
    <v>217</v>
    <v>218</v>
    <v>219</v>
    <v>247</v>
    <v>248</v>
    <v>249</v>
    <v>250</v>
    <v>251</v>
    <v>Brazil</v>
    <v>252</v>
    <v>mdp/vdpid/32</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1.42</fb>
    <v>35</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3">
    <v>15</v>
  </rv>
  <rv s="4">
    <v>https://www.bing.com/search?q=turkey&amp;form=skydnc</v>
    <v>Learn more on Bing</v>
  </rv>
  <rv s="1">
    <fb>77.436999999999998</fb>
    <v>34</v>
  </rv>
  <rv s="1">
    <fb>184966060000</fb>
    <v>36</v>
  </rv>
  <rv s="1">
    <fb>17</fb>
    <v>34</v>
  </rv>
  <rv s="1">
    <fb>3.45</fb>
    <v>35</v>
  </rv>
  <rv s="3">
    <v>16</v>
  </rv>
  <rv s="1">
    <fb>0.16948329139999999</fb>
    <v>29</v>
  </rv>
  <rv s="1">
    <fb>1.8492</fb>
    <v>31</v>
  </rv>
  <rv s="1">
    <fb>83429615</fb>
    <v>30</v>
  </rv>
  <rv s="1">
    <fb>0.21100000000000002</fb>
    <v>29</v>
  </rv>
  <rv s="1">
    <fb>0.32600000000000001</fb>
    <v>29</v>
  </rv>
  <rv s="1">
    <fb>0.48499999999999999</fb>
    <v>29</v>
  </rv>
  <rv s="1">
    <fb>2.2000000000000002E-2</fb>
    <v>29</v>
  </rv>
  <rv s="1">
    <fb>5.7999999999999996E-2</fb>
    <v>29</v>
  </rv>
  <rv s="1">
    <fb>0.10099999999999999</fb>
    <v>29</v>
  </rv>
  <rv s="1">
    <fb>0.14499999999999999</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3">
    <v>17</v>
  </rv>
  <rv s="1">
    <fb>0.178640331232954</fb>
    <v>29</v>
  </rv>
  <rv s="1">
    <fb>0.42299999999999999</fb>
    <v>29</v>
  </rv>
  <rv s="1">
    <fb>0.134899997711182</fb>
    <v>38</v>
  </rv>
  <rv s="1">
    <fb>63097818</fb>
    <v>30</v>
  </rv>
  <rv s="8">
    <v>#VALUE!</v>
    <v>77</v>
    <v>78</v>
    <v>Turkey</v>
    <v>25</v>
    <v>48</v>
    <v>Map</v>
    <v>27</v>
    <v>79</v>
    <v>en-GB</v>
    <v>fbfb6418-e8cf-0d18-8b81-28d0fcccda7c</v>
    <v>536870912</v>
    <v>1</v>
    <v>TR</v>
    <v>255</v>
    <v>256</v>
    <v>257</v>
    <v>258</v>
    <v>259</v>
    <v>260</v>
    <v>261</v>
    <v>262</v>
    <v>263</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264</v>
    <v>265</v>
    <v>266</v>
    <v>267</v>
    <v>268</v>
    <v>269</v>
    <v>270</v>
    <v>271</v>
    <v>272</v>
    <v>273</v>
    <v>276</v>
    <v>277</v>
    <v>278</v>
    <v>279</v>
    <v>280</v>
    <v>281</v>
    <v>Turkey</v>
    <v>İstiklâl Marşı</v>
    <v>282</v>
    <v>Republic of Turkey</v>
    <v>283</v>
    <v>284</v>
    <v>285</v>
    <v>286</v>
    <v>287</v>
    <v>288</v>
    <v>289</v>
    <v>290</v>
    <v>291</v>
    <v>292</v>
    <v>293</v>
    <v>374</v>
    <v>375</v>
    <v>376</v>
    <v>377</v>
    <v>Turkey</v>
    <v>378</v>
    <v>mdp/vdpid/235</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0.4</fb>
    <v>35</v>
  </rv>
  <rv s="1">
    <fb>303175127597.521</fb>
    <v>36</v>
  </rv>
  <rv s="1">
    <fb>1.0628493000000001</fb>
    <v>29</v>
  </rv>
  <rv s="1">
    <fb>0.35164520000000005</fb>
    <v>29</v>
  </rv>
  <rv s="2">
    <v>1</v>
    <v>27</v>
    <v>91</v>
    <v>6</v>
    <v>0</v>
    <v>Image of Egypt</v>
  </rv>
  <rv s="1">
    <fb>18.100000000000001</fb>
    <v>34</v>
  </rv>
  <rv s="0">
    <v>805306368</v>
    <v>Abdel Fattah el-Sisi (President)</v>
    <v>bd682cfc-4153-2740-55a8-5092e9ac12e6</v>
    <v>en-GB</v>
    <v>Generic</v>
  </rv>
  <rv s="0">
    <v>805306368</v>
    <v>Mostafa Madbouly (Prime Minister)</v>
    <v>20dec001-59cb-3582-f4b1-c36057f3c8dd</v>
    <v>en-GB</v>
    <v>Generic</v>
  </rv>
  <rv s="3">
    <v>18</v>
  </rv>
  <rv s="4">
    <v>https://www.bing.com/search?q=egypt&amp;form=skydnc</v>
    <v>Learn more on Bing</v>
  </rv>
  <rv s="1">
    <fb>71.825000000000003</fb>
    <v>34</v>
  </rv>
  <rv s="1">
    <fb>44199850000</fb>
    <v>36</v>
  </rv>
  <rv s="1">
    <fb>37</fb>
    <v>34</v>
  </rv>
  <rv s="3">
    <v>19</v>
  </rv>
  <rv s="1">
    <fb>0.61958965460000004</fb>
    <v>29</v>
  </rv>
  <rv s="1">
    <fb>0.4521</fb>
    <v>31</v>
  </rv>
  <rv s="1">
    <fb>100388073</fb>
    <v>30</v>
  </rv>
  <rv s="1">
    <fb>0.21</fb>
    <v>29</v>
  </rv>
  <rv s="1">
    <fb>0.26899999999999996</fb>
    <v>29</v>
  </rv>
  <rv s="1">
    <fb>0.41</fb>
    <v>29</v>
  </rv>
  <rv s="1">
    <fb>3.7999999999999999E-2</fb>
    <v>29</v>
  </rv>
  <rv s="1">
    <fb>0.09</fb>
    <v>29</v>
  </rv>
  <rv s="1">
    <fb>0.128</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3">
    <v>20</v>
  </rv>
  <rv s="1">
    <fb>0.12519211097017099</fb>
    <v>29</v>
  </rv>
  <rv s="3">
    <v>21</v>
  </rv>
  <rv s="1">
    <fb>0.44400000000000001</fb>
    <v>29</v>
  </rv>
  <rv s="1">
    <fb>0.107600002288818</fb>
    <v>38</v>
  </rv>
  <rv s="1">
    <fb>42895824</fb>
    <v>30</v>
  </rv>
  <rv s="9">
    <v>#VALUE!</v>
    <v>88</v>
    <v>89</v>
    <v>Egypt</v>
    <v>25</v>
    <v>26</v>
    <v>Map</v>
    <v>27</v>
    <v>90</v>
    <v>en-GB</v>
    <v>7af820a7-1c8d-f12a-0ca9-87e192e82cee</v>
    <v>536870912</v>
    <v>1</v>
    <v>EG</v>
    <v>381</v>
    <v>382</v>
    <v>383</v>
    <v>384</v>
    <v>385</v>
    <v>386</v>
    <v>387</v>
    <v>388</v>
    <v>389</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390</v>
    <v>391</v>
    <v>392</v>
    <v>393</v>
    <v>394</v>
    <v>395</v>
    <v>396</v>
    <v>397</v>
    <v>398</v>
    <v>399</v>
    <v>386</v>
    <v>402</v>
    <v>403</v>
    <v>404</v>
    <v>405</v>
    <v>406</v>
    <v>Egypt</v>
    <v>Walla Zaman Ya Selahy</v>
    <v>407</v>
    <v>Arab Republic of Egypt</v>
    <v>408</v>
    <v>409</v>
    <v>410</v>
    <v>411</v>
    <v>412</v>
    <v>413</v>
    <v>414</v>
    <v>415</v>
    <v>416</v>
    <v>417</v>
    <v>418</v>
    <v>445</v>
    <v>446</v>
    <v>447</v>
    <v>448</v>
    <v>449</v>
    <v>Egypt</v>
    <v>450</v>
    <v>mdp/vdpid/67</v>
  </rv>
  <rv s="0">
    <v>536870912</v>
    <v>China</v>
    <v>5fcc3d97-0cf2-94e5-6dad-cd70e387bd69</v>
    <v>en-GB</v>
    <v>Map</v>
  </rv>
  <rv s="1">
    <fb>0.56212313103349798</fb>
    <v>29</v>
  </rv>
  <rv s="1">
    <fb>9596960</fb>
    <v>30</v>
  </rv>
  <rv s="1">
    <fb>2695000</fb>
    <v>30</v>
  </rv>
  <rv s="1">
    <fb>10.9</fb>
    <v>31</v>
  </rv>
  <rv s="1">
    <fb>86</fb>
    <v>32</v>
  </rv>
  <rv s="0">
    <v>536870912</v>
    <v>Beijing</v>
    <v>e43bc499-902a-5deb-aced-aa4a247e6822</v>
    <v>en-GB</v>
    <v>Map</v>
  </rv>
  <rv s="1">
    <fb>9893037.9519999996</fb>
    <v>30</v>
  </rv>
  <rv s="1">
    <fb>125.083155733959</fb>
    <v>33</v>
  </rv>
  <rv s="1">
    <fb>2.8992357992594101E-2</fb>
    <v>29</v>
  </rv>
  <rv s="1">
    <fb>3927.0444999890101</fb>
    <v>30</v>
  </rv>
  <rv s="1">
    <fb>1.69</fb>
    <v>31</v>
  </rv>
  <rv s="1">
    <fb>0.22353941805732902</fb>
    <v>29</v>
  </rv>
  <rv s="1">
    <fb>87.670430768185398</fb>
    <v>34</v>
  </rv>
  <rv s="1">
    <fb>0.96</fb>
    <v>35</v>
  </rv>
  <rv s="1">
    <fb>19910000000000</fb>
    <v>36</v>
  </rv>
  <rv s="1">
    <fb>1.0022275</fb>
    <v>29</v>
  </rv>
  <rv s="1">
    <fb>0.50604439999999995</fb>
    <v>29</v>
  </rv>
  <rv s="2">
    <v>2</v>
    <v>27</v>
    <v>103</v>
    <v>6</v>
    <v>0</v>
    <v>Image of China</v>
  </rv>
  <rv s="1">
    <fb>7.4</fb>
    <v>34</v>
  </rv>
  <rv s="0">
    <v>536870912</v>
    <v>Shanghai</v>
    <v>29ece984-463e-6074-60e1-83f8c012ef70</v>
    <v>en-GB</v>
    <v>Map</v>
  </rv>
  <rv s="0">
    <v>805306368</v>
    <v>Xi Jinping (President)</v>
    <v>cd954b68-481c-b388-8b3d-6c0081dc9adf</v>
    <v>en-GB</v>
    <v>Generic</v>
  </rv>
  <rv s="0">
    <v>805306368</v>
    <v>Li Keqiang (Premier)</v>
    <v>f1d08653-9327-ff05-215a-b26f0a4ad81c</v>
    <v>en-GB</v>
    <v>Generic</v>
  </rv>
  <rv s="3">
    <v>22</v>
  </rv>
  <rv s="4">
    <v>https://www.bing.com/search?q=china&amp;form=skydnc</v>
    <v>Learn more on Bing</v>
  </rv>
  <rv s="1">
    <fb>76.959999999999994</fb>
    <v>34</v>
  </rv>
  <rv s="1">
    <fb>8515504380000</fb>
    <v>36</v>
  </rv>
  <rv s="1">
    <fb>29</fb>
    <v>34</v>
  </rv>
  <rv s="1">
    <fb>0.87</fb>
    <v>35</v>
  </rv>
  <rv s="3">
    <v>23</v>
  </rv>
  <rv s="1">
    <fb>0.32386296240000001</fb>
    <v>29</v>
  </rv>
  <rv s="1">
    <fb>1.9798</fb>
    <v>31</v>
  </rv>
  <rv s="1">
    <fb>1397715000</fb>
    <v>30</v>
  </rv>
  <rv s="1">
    <fb>0.222</fb>
    <v>29</v>
  </rv>
  <rv s="1">
    <fb>0.29299999999999998</fb>
    <v>29</v>
  </rv>
  <rv s="1">
    <fb>0.45299999999999996</fb>
    <v>29</v>
  </rv>
  <rv s="1">
    <fb>2.7000000000000003E-2</fb>
    <v>29</v>
  </rv>
  <rv s="1">
    <fb>6.5000000000000002E-2</fb>
    <v>29</v>
  </rv>
  <rv s="1">
    <fb>0.107</fb>
    <v>29</v>
  </rv>
  <rv s="1">
    <fb>0.153</fb>
    <v>29</v>
  </rv>
  <rv s="1">
    <fb>0.67986999511718804</fb>
    <v>29</v>
  </rv>
  <rv s="0">
    <v>536870912</v>
    <v>Macau</v>
    <v>d7203e23-120a-c7fd-485a-3fbcf88a3288</v>
    <v>en-GB</v>
    <v>Map</v>
  </rv>
  <rv s="0">
    <v>536870912</v>
    <v>Hong Kong</v>
    <v>304df1d5-38ee-e835-eb2a-554caba5c30e</v>
    <v>en-GB</v>
    <v>Map</v>
  </rv>
  <rv s="0">
    <v>536870912</v>
    <v>Sichuan</v>
    <v>49bf1471-e0d6-011f-bb5b-edd67fea0a6f</v>
    <v>en-GB</v>
    <v>Map</v>
  </rv>
  <rv s="0">
    <v>536870912</v>
    <v>Chongqing</v>
    <v>69bf0da4-4c0f-d795-e3d4-f2087fc9101e</v>
    <v>en-GB</v>
    <v>Map</v>
  </rv>
  <rv s="0">
    <v>536870912</v>
    <v>Hunan</v>
    <v>84852e67-826c-7232-5aec-3bd5a776c21b</v>
    <v>en-GB</v>
    <v>Map</v>
  </rv>
  <rv s="0">
    <v>536870912</v>
    <v>Fujian</v>
    <v>f7e228b4-20f3-6c06-f9d2-0e381cb472db</v>
    <v>en-GB</v>
    <v>Map</v>
  </rv>
  <rv s="0">
    <v>536870912</v>
    <v>Guangdong</v>
    <v>533d187e-5296-4200-eed8-55f3257c948f</v>
    <v>en-GB</v>
    <v>Map</v>
  </rv>
  <rv s="0">
    <v>536870912</v>
    <v>Yunnan</v>
    <v>62345ab8-b0e6-d4c5-87b4-0e7a5b39c7dc</v>
    <v>en-GB</v>
    <v>Map</v>
  </rv>
  <rv s="0">
    <v>536870912</v>
    <v>Jiangsu</v>
    <v>c979b1db-2e4e-7b88-511f-1cd5a525053c</v>
    <v>en-GB</v>
    <v>Map</v>
  </rv>
  <rv s="0">
    <v>536870912</v>
    <v>Tianjin</v>
    <v>45fdbb85-8f7d-7f8b-dc59-7cb26189ef7d</v>
    <v>en-GB</v>
    <v>Map</v>
  </rv>
  <rv s="0">
    <v>536870912</v>
    <v>Shandong</v>
    <v>311c787d-5f0d-3960-4647-a0b3ee6bb863</v>
    <v>en-GB</v>
    <v>Map</v>
  </rv>
  <rv s="0">
    <v>536870912</v>
    <v>Shaanxi</v>
    <v>2c52cd90-c486-5a30-6fdf-b777d9331efd</v>
    <v>en-GB</v>
    <v>Map</v>
  </rv>
  <rv s="0">
    <v>536870912</v>
    <v>Heilongjiang</v>
    <v>a7c2e681-f80e-cae6-2ae7-fccb47f12008</v>
    <v>en-GB</v>
    <v>Map</v>
  </rv>
  <rv s="0">
    <v>536870912</v>
    <v>Guangxi</v>
    <v>b2e2f034-494c-f814-7555-fa5d56071d6f</v>
    <v>en-GB</v>
    <v>Map</v>
  </rv>
  <rv s="0">
    <v>536870912</v>
    <v>Xinjiang</v>
    <v>8e7874f1-5a52-a168-5737-ced81488dfca</v>
    <v>en-GB</v>
    <v>Map</v>
  </rv>
  <rv s="0">
    <v>536870912</v>
    <v>Hubei</v>
    <v>03c5c53c-6c11-7737-b58a-31b9b73bce20</v>
    <v>en-GB</v>
    <v>Map</v>
  </rv>
  <rv s="0">
    <v>536870912</v>
    <v>Zhejiang</v>
    <v>5464490d-3361-4945-967e-d8879b9c8415</v>
    <v>en-GB</v>
    <v>Map</v>
  </rv>
  <rv s="0">
    <v>536870912</v>
    <v>Hebei</v>
    <v>268021ac-4731-f143-328a-f385a6b2f343</v>
    <v>en-GB</v>
    <v>Map</v>
  </rv>
  <rv s="0">
    <v>536870912</v>
    <v>Inner Mongolia</v>
    <v>2c74fdb2-19bf-0f2d-f20d-13b21d6103e6</v>
    <v>en-GB</v>
    <v>Map</v>
  </rv>
  <rv s="0">
    <v>536870912</v>
    <v>Guizhou</v>
    <v>3025ec8b-299d-6131-4293-401f8dd1701e</v>
    <v>en-GB</v>
    <v>Map</v>
  </rv>
  <rv s="0">
    <v>536870912</v>
    <v>Jilin</v>
    <v>20bba38c-89a4-7448-c64a-9ec85a4ba341</v>
    <v>en-GB</v>
    <v>Map</v>
  </rv>
  <rv s="0">
    <v>536870912</v>
    <v>Ningxia</v>
    <v>b9d307c1-70f4-a27f-6800-d624b3030236</v>
    <v>en-GB</v>
    <v>Map</v>
  </rv>
  <rv s="0">
    <v>536870912</v>
    <v>Shanxi</v>
    <v>075dd860-13e3-fb9e-dab0-6f2a22a59c5d</v>
    <v>en-GB</v>
    <v>Map</v>
  </rv>
  <rv s="0">
    <v>536870912</v>
    <v>Anhui</v>
    <v>7a26b7d2-0ec9-86cd-351a-a9f347c4b9cd</v>
    <v>en-GB</v>
    <v>Map</v>
  </rv>
  <rv s="0">
    <v>536870912</v>
    <v>Liaoning</v>
    <v>50b9b45b-7555-8f4e-500a-81f90d66f392</v>
    <v>en-GB</v>
    <v>Map</v>
  </rv>
  <rv s="0">
    <v>536870912</v>
    <v>Jiangxi</v>
    <v>60bbd587-912f-cf97-4a3b-4e9236f59153</v>
    <v>en-GB</v>
    <v>Map</v>
  </rv>
  <rv s="0">
    <v>536870912</v>
    <v>Tibet</v>
    <v>47172d29-ddc9-3139-5851-4a08c8219822</v>
    <v>en-GB</v>
    <v>Map</v>
  </rv>
  <rv s="0">
    <v>536870912</v>
    <v>Hainan</v>
    <v>85cb11dd-f8f0-f5e0-35d3-42ce64c34e9e</v>
    <v>en-GB</v>
    <v>Map</v>
  </rv>
  <rv s="0">
    <v>536870912</v>
    <v>Qinghai</v>
    <v>c8ddeac2-af7f-8ee9-dbac-33f9f697d88c</v>
    <v>en-GB</v>
    <v>Map</v>
  </rv>
  <rv s="0">
    <v>536870912</v>
    <v>Gansu</v>
    <v>2bf7e5b1-3ba4-5943-77aa-7ac1cb9a0535</v>
    <v>en-GB</v>
    <v>Map</v>
  </rv>
  <rv s="0">
    <v>536870912</v>
    <v>Henan</v>
    <v>e1b3708c-e5d8-671a-5b9c-e74cf7d11971</v>
    <v>en-GB</v>
    <v>Map</v>
  </rv>
  <rv s="3">
    <v>24</v>
  </rv>
  <rv s="1">
    <fb>9.4193182022714303E-2</fb>
    <v>29</v>
  </rv>
  <rv s="3">
    <v>25</v>
  </rv>
  <rv s="1">
    <fb>0.59200000000000008</fb>
    <v>29</v>
  </rv>
  <rv s="1">
    <fb>4.3200001716613798E-2</fb>
    <v>38</v>
  </rv>
  <rv s="1">
    <fb>842933962</fb>
    <v>30</v>
  </rv>
  <rv s="5">
    <v>#VALUE!</v>
    <v>101</v>
    <v>22</v>
    <v>China</v>
    <v>25</v>
    <v>26</v>
    <v>Map</v>
    <v>27</v>
    <v>102</v>
    <v>en-GB</v>
    <v>5fcc3d97-0cf2-94e5-6dad-cd70e387bd69</v>
    <v>536870912</v>
    <v>1</v>
    <v>CN</v>
    <v>453</v>
    <v>454</v>
    <v>455</v>
    <v>456</v>
    <v>457</v>
    <v>458</v>
    <v>459</v>
    <v>460</v>
    <v>461</v>
    <v>CNY</v>
    <v>China, officially the People's Republic of China, is a country in East Asia. It is the world's most populous country, with a population of more than 1.4 billion people. China spans five geographical time zones and borders 14 countries, the second most of any country in the world after Russia. Covering an area of approximately 9.6 million square kilometers, it is the world's third or fourth largest country. The country consists of 23 provinces, five autonomous regions, four municipalities, and two Special Administrative Regions. The national capital is Beijing, and the most populous city and financial center is Shanghai.</v>
    <v>462</v>
    <v>463</v>
    <v>464</v>
    <v>465</v>
    <v>466</v>
    <v>467</v>
    <v>468</v>
    <v>469</v>
    <v>470</v>
    <v>471</v>
    <v>472</v>
    <v>475</v>
    <v>476</v>
    <v>477</v>
    <v>478</v>
    <v>479</v>
    <v>480</v>
    <v>China</v>
    <v>March of the Volunteers</v>
    <v>481</v>
    <v>People's Republic of China</v>
    <v>482</v>
    <v>483</v>
    <v>484</v>
    <v>485</v>
    <v>486</v>
    <v>487</v>
    <v>488</v>
    <v>489</v>
    <v>490</v>
    <v>491</v>
    <v>492</v>
    <v>524</v>
    <v>525</v>
    <v>526</v>
    <v>527</v>
    <v>528</v>
    <v>China</v>
    <v>529</v>
    <v>mdp/vdpid/45</v>
  </rv>
  <rv s="0">
    <v>536870912</v>
    <v>Vietnam</v>
    <v>9eb3adfc-79da-211b-6de2-580a522f56a5</v>
    <v>en-GB</v>
    <v>Map</v>
  </rv>
  <rv s="1">
    <fb>0.39275002418808697</fb>
    <v>29</v>
  </rv>
  <rv s="1">
    <fb>331210</fb>
    <v>30</v>
  </rv>
  <rv s="1">
    <fb>522000</fb>
    <v>30</v>
  </rv>
  <rv s="1">
    <fb>16.745000000000001</fb>
    <v>31</v>
  </rv>
  <rv s="1">
    <fb>84</fb>
    <v>32</v>
  </rv>
  <rv s="0">
    <v>536870912</v>
    <v>Hanoi</v>
    <v>0ac97487-debb-537a-b806-132c4e5513e6</v>
    <v>en-GB</v>
    <v>Map</v>
  </rv>
  <rv s="1">
    <fb>192667.84700000001</fb>
    <v>30</v>
  </rv>
  <rv s="1">
    <fb>163.516947912918</fb>
    <v>33</v>
  </rv>
  <rv s="1">
    <fb>2.7958236745224602E-2</fb>
    <v>29</v>
  </rv>
  <rv s="1">
    <fb>1423.68834535005</fb>
    <v>30</v>
  </rv>
  <rv s="1">
    <fb>2.0489999999999999</fb>
    <v>31</v>
  </rv>
  <rv s="1">
    <fb>0.48060115457799901</fb>
    <v>29</v>
  </rv>
  <rv s="1">
    <fb>69.821836554711396</fb>
    <v>34</v>
  </rv>
  <rv s="1">
    <fb>0.8</fb>
    <v>35</v>
  </rv>
  <rv s="1">
    <fb>261921244843.172</fb>
    <v>36</v>
  </rv>
  <rv s="1">
    <fb>1.1059481</fb>
    <v>29</v>
  </rv>
  <rv s="1">
    <fb>0.28544969999999997</fb>
    <v>29</v>
  </rv>
  <rv s="2">
    <v>3</v>
    <v>27</v>
    <v>116</v>
    <v>6</v>
    <v>0</v>
    <v>Image of Vietnam</v>
  </rv>
  <rv s="1">
    <fb>16.5</fb>
    <v>34</v>
  </rv>
  <rv s="0">
    <v>536870912</v>
    <v>Ho Chi Minh City</v>
    <v>56b344bd-92d9-cb0b-00c2-5408a7bf99cf</v>
    <v>en-GB</v>
    <v>Map</v>
  </rv>
  <rv s="0">
    <v>805306368</v>
    <v>Nguyễn Xuân Phúc (President)</v>
    <v>3bd7c909-4200-1424-eb21-b5a96a3dca3d</v>
    <v>en-GB</v>
    <v>Generic</v>
  </rv>
  <rv s="3">
    <v>26</v>
  </rv>
  <rv s="4">
    <v>https://www.bing.com/search?q=vietnam&amp;form=skydnc</v>
    <v>Learn more on Bing</v>
  </rv>
  <rv s="1">
    <fb>75.316999999999993</fb>
    <v>34</v>
  </rv>
  <rv s="1">
    <fb>149817280000</fb>
    <v>36</v>
  </rv>
  <rv s="1">
    <fb>43</fb>
    <v>34</v>
  </rv>
  <rv s="1">
    <fb>0.73</fb>
    <v>35</v>
  </rv>
  <rv s="3">
    <v>27</v>
  </rv>
  <rv s="1">
    <fb>0.43479386130000003</fb>
    <v>29</v>
  </rv>
  <rv s="1">
    <fb>0.81989999999999996</fb>
    <v>31</v>
  </rv>
  <rv s="1">
    <fb>96462106</fb>
    <v>30</v>
  </rv>
  <rv s="1">
    <fb>0.223</fb>
    <v>29</v>
  </rv>
  <rv s="1">
    <fb>0.27500000000000002</fb>
    <v>29</v>
  </rv>
  <rv s="1">
    <fb>0.42899999999999999</fb>
    <v>29</v>
  </rv>
  <rv s="1">
    <fb>2.5000000000000001E-2</fb>
    <v>29</v>
  </rv>
  <rv s="1">
    <fb>6.7000000000000004E-2</fb>
    <v>29</v>
  </rv>
  <rv s="1">
    <fb>0.11900000000000001</fb>
    <v>29</v>
  </rv>
  <rv s="1">
    <fb>0.16300000000000001</fb>
    <v>29</v>
  </rv>
  <rv s="1">
    <fb>0.77446998596191408</fb>
    <v>29</v>
  </rv>
  <rv s="0">
    <v>536870912</v>
    <v>Haiphong</v>
    <v>6edab830-6882-62ad-88e9-7904a37fc990</v>
    <v>en-GB</v>
    <v>Map</v>
  </rv>
  <rv s="0">
    <v>536870912</v>
    <v>Da Nang</v>
    <v>f8246024-fd05-5f2e-4a14-6b19c96b8962</v>
    <v>en-GB</v>
    <v>Map</v>
  </rv>
  <rv s="0">
    <v>536870912</v>
    <v>Can Tho</v>
    <v>c6aad310-0349-6338-8c66-5a69d2c4914f</v>
    <v>en-GB</v>
    <v>Map</v>
  </rv>
  <rv s="3">
    <v>28</v>
  </rv>
  <rv s="1">
    <fb>0.190698671023491</fb>
    <v>29</v>
  </rv>
  <rv s="3">
    <v>29</v>
  </rv>
  <rv s="1">
    <fb>0.376</fb>
    <v>29</v>
  </rv>
  <rv s="1">
    <fb>2.01300001144409E-2</fb>
    <v>38</v>
  </rv>
  <rv s="1">
    <fb>35332140</fb>
    <v>30</v>
  </rv>
  <rv s="5">
    <v>#VALUE!</v>
    <v>114</v>
    <v>22</v>
    <v>Vietnam</v>
    <v>25</v>
    <v>26</v>
    <v>Map</v>
    <v>27</v>
    <v>115</v>
    <v>en-GB</v>
    <v>9eb3adfc-79da-211b-6de2-580a522f56a5</v>
    <v>536870912</v>
    <v>1</v>
    <v>VN</v>
    <v>532</v>
    <v>533</v>
    <v>534</v>
    <v>535</v>
    <v>536</v>
    <v>537</v>
    <v>538</v>
    <v>539</v>
    <v>540</v>
    <v>VND</v>
    <v>Vietnam, officially the Socialist Republic of Vietnam, is a country in Southeast Asia, at the eastern edge of mainland Southeast Asia, with an area of 311,699 square kilometres and population of 96 million, making it the world's fifteenth-most populous country. Vietnam borders China to the north, Laos and Cambodia to the west, and shares maritime borders with Thailand through the Gulf of Thailand, and the Philippines, Indonesia, and Malaysia through the South China Sea. Its capital is Hanoi and largest city Ho Chi Minh City.</v>
    <v>541</v>
    <v>542</v>
    <v>543</v>
    <v>544</v>
    <v>545</v>
    <v>546</v>
    <v>547</v>
    <v>548</v>
    <v>549</v>
    <v>550</v>
    <v>551</v>
    <v>553</v>
    <v>554</v>
    <v>555</v>
    <v>556</v>
    <v>557</v>
    <v>558</v>
    <v>Vietnam</v>
    <v>Tiến Quân Ca</v>
    <v>559</v>
    <v>Socialist Republic of Vietnam</v>
    <v>560</v>
    <v>561</v>
    <v>562</v>
    <v>563</v>
    <v>564</v>
    <v>565</v>
    <v>566</v>
    <v>567</v>
    <v>568</v>
    <v>569</v>
    <v>570</v>
    <v>574</v>
    <v>575</v>
    <v>576</v>
    <v>577</v>
    <v>578</v>
    <v>Vietnam</v>
    <v>579</v>
    <v>mdp/vdpid/251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17">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Wikipedia	Wikipedia	Cia	</v>
      <v xml:space="preserve">CC-BY-SA	CC-BY-SA	CC-BY-SA		</v>
      <v xml:space="preserve">http://en.wikipedia.org/wiki/India	http://es.wikipedia.org/wiki/India	http://fr.wikipedia.org/wiki/Inde	https://www.cia.gov/library/publications/the-world-factbook/geos/in.html?Transportation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http://en.wikipedia.org/wiki/India	https://www.cia.gov/library/publications/the-world-factbook/geos/in.html?Transportation	https://en.wikipedia.org/wiki/India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http://en.wikipedia.org/wiki/India	</v>
      <v xml:space="preserve">http://creativecommons.org/licenses/by-sa/3.0/	</v>
    </spb>
    <spb s="0">
      <v xml:space="preserve">Wikipedia	Cia	</v>
      <v xml:space="preserve">CC-BY-SA		</v>
      <v xml:space="preserve">http://en.wikipedia.org/wiki/India	https://www.cia.gov/library/publications/the-world-factbook/geos/in.html?Transportation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Wikipedia	Wikipedia	Cia	travel.state.gov	Sec	</v>
      <v xml:space="preserve">CC-BY-SA	CC-BY-SA				</v>
      <v xml:space="preserve">http://en.wikipedia.org/wiki/India	http://fr.wikipedia.org/wiki/Inde	https://www.cia.gov/library/publications/the-world-factbook/geos/in.html?Transportation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6</v>
      <v>6</v>
      <v>8</v>
      <v>9</v>
      <v>10</v>
      <v>8</v>
      <v>11</v>
      <v>6</v>
      <v>8</v>
      <v>12</v>
      <v>13</v>
      <v>14</v>
      <v>8</v>
      <v>8</v>
      <v>15</v>
      <v>8</v>
      <v>16</v>
      <v>17</v>
      <v>18</v>
      <v>19</v>
      <v>8</v>
      <v>10</v>
      <v>8</v>
      <v>8</v>
      <v>8</v>
      <v>8</v>
      <v>8</v>
      <v>8</v>
      <v>8</v>
      <v>8</v>
      <v>8</v>
      <v>8</v>
      <v>20</v>
    </spb>
    <spb s="2">
      <v>0</v>
      <v>Name</v>
      <v>LearnMoreOnLink</v>
    </spb>
    <spb s="3">
      <v>0</v>
      <v>0</v>
      <v>0</v>
    </spb>
    <spb s="4">
      <v>0</v>
      <v>0</v>
    </spb>
    <spb s="5">
      <v>23</v>
      <v>23</v>
      <v>24</v>
      <v>23</v>
    </spb>
    <spb s="6">
      <v>1</v>
      <v>2</v>
      <v>3</v>
    </spb>
    <spb s="7">
      <v>https://www.bing.com</v>
      <v>https://www.bing.com/th?id=Ga%5Cbing_yt.png&amp;w=100&amp;h=40&amp;c=0&amp;pid=0.1</v>
      <v>Powered by Bing</v>
    </spb>
    <spb s="8">
      <v>2019</v>
      <v>2017</v>
      <v>square km</v>
      <v>per thousand (2018)</v>
      <v>2019</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9">
      <v>4</v>
    </spb>
    <spb s="9">
      <v>5</v>
    </spb>
    <spb s="9">
      <v>6</v>
    </spb>
    <spb s="9">
      <v>7</v>
    </spb>
    <spb s="9">
      <v>8</v>
    </spb>
    <spb s="9">
      <v>9</v>
    </spb>
    <spb s="9">
      <v>10</v>
    </spb>
    <spb s="9">
      <v>11</v>
    </spb>
    <spb s="0">
      <v xml:space="preserve">Wikipedia	</v>
      <v xml:space="preserve">Public domain	</v>
      <v xml:space="preserve">http://en.wikipedia.org/wiki/India	</v>
      <v xml:space="preserve">http://en.wikipedia.org/wiki/Public_domain	</v>
    </spb>
    <spb s="9">
      <v>12</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Wikipedia	Cia	</v>
      <v xml:space="preserve">CC-BY-SA	CC-BY-SA		</v>
      <v xml:space="preserve">http://en.wikipedia.org/wiki/Iran	http://fr.wikipedia.org/wiki/Iran	https://www.cia.gov/library/publications/the-world-factbook/geos/ir.html?Transportation	</v>
      <v xml:space="preserve">http://creativecommons.org/licenses/by-sa/3.0/	http://creativecommons.org/licenses/by-sa/3.0/		</v>
    </spb>
    <spb s="0">
      <v xml:space="preserve">Wikipedia	Cia	Wikipedia	travel.state.gov	</v>
      <v xml:space="preserve">CC-BY-SA		CC-BY-SA		</v>
      <v xml:space="preserve">http://en.wikipedia.org/wiki/Iran	https://www.cia.gov/library/publications/the-world-factbook/geos/ir.html?Transportation	https://en.wikipedia.org/wiki/Iran	https://travel.state.gov/content/travel/en/international-travel/International-Travel-Country-Information-Pages/Iran.html	</v>
      <v xml:space="preserve">http://creativecommons.org/licenses/by-sa/3.0/		http://creativecommons.org/licenses/by-sa/3.0/		</v>
    </spb>
    <spb s="0">
      <v xml:space="preserve">Wikipedia	</v>
      <v xml:space="preserve">CC-BY-SA	</v>
      <v xml:space="preserve">http://en.wikipedia.org/wiki/Iran	</v>
      <v xml:space="preserve">http://creativecommons.org/licenses/by-sa/3.0/	</v>
    </spb>
    <spb s="0">
      <v xml:space="preserve">Wikipedia	Cia	</v>
      <v xml:space="preserve">CC-BY-SA		</v>
      <v xml:space="preserve">http://en.wikipedia.org/wiki/Iran	https://www.cia.gov/library/publications/the-world-factbook/geos/ir.html?Transportation	</v>
      <v xml:space="preserve">http://creativecommons.org/licenses/by-sa/3.0/		</v>
    </spb>
    <spb s="0">
      <v xml:space="preserve">Wikipedia	Wikipedia	Cia	travel.state.gov	</v>
      <v xml:space="preserve">CC-BY-SA	CC-BY-SA			</v>
      <v xml:space="preserve">http://en.wikipedia.org/wiki/Iran	http://fr.wikipedia.org/wiki/Iran	https://www.cia.gov/library/publications/the-world-factbook/geos/ir.html?Transportation	https://travel.state.gov/content/travel/en/international-travel/International-Travel-Country-Information-Pages/Iran.html	</v>
      <v xml:space="preserve">http://creativecommons.org/licenses/by-sa/3.0/	http://creativecommons.org/licenses/by-sa/3.0/			</v>
    </spb>
    <spb s="0">
      <v xml:space="preserve">Cia	</v>
      <v xml:space="preserve">	</v>
      <v xml:space="preserve">https://www.cia.gov/library/publications/the-world-factbook/geos/ir.html?Transportation	</v>
      <v xml:space="preserve">	</v>
    </spb>
    <spb s="10">
      <v>0</v>
      <v>39</v>
      <v>40</v>
      <v>41</v>
      <v>4</v>
      <v>5</v>
      <v>41</v>
      <v>42</v>
      <v>42</v>
      <v>43</v>
      <v>44</v>
      <v>42</v>
      <v>42</v>
      <v>45</v>
      <v>9</v>
      <v>39</v>
      <v>45</v>
      <v>11</v>
      <v>42</v>
      <v>45</v>
      <v>12</v>
      <v>13</v>
      <v>14</v>
      <v>45</v>
      <v>45</v>
      <v>44</v>
      <v>45</v>
      <v>16</v>
      <v>17</v>
      <v>18</v>
      <v>19</v>
      <v>45</v>
      <v>39</v>
      <v>45</v>
      <v>45</v>
      <v>45</v>
      <v>45</v>
      <v>45</v>
      <v>45</v>
      <v>45</v>
      <v>45</v>
      <v>45</v>
      <v>45</v>
      <v>20</v>
    </spb>
    <spb s="2">
      <v>1</v>
      <v>Name</v>
      <v>LearnMoreOnLink</v>
    </spb>
    <spb s="11">
      <v>1</v>
      <v>3</v>
    </spb>
    <spb s="8">
      <v>2019</v>
      <v>2017</v>
      <v>square km</v>
      <v>per thousand (2018)</v>
      <v>2019</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Cia	</v>
      <v xml:space="preserve">CC-BY-SA		</v>
      <v xml:space="preserve">http://en.wikipedia.org/wiki/Peru	https://www.cia.gov/library/publications/the-world-factbook/geos/pe.html?Transportation	</v>
      <v xml:space="preserve">http://creativecommons.org/licenses/by-sa/3.0/		</v>
    </spb>
    <spb s="0">
      <v xml:space="preserve">Wikipedia	Wikidata	Cia	Wikipedia	travel.state.gov	Sec	</v>
      <v xml:space="preserve">CC-BY-SA			CC-BY-SA			</v>
      <v xml:space="preserve">http://en.wikipedia.org/wiki/Peru	https://www.wikidata.org/wiki/Q419	https://www.cia.gov/library/publications/the-world-factbook/geos/pe.html?Transportation	https://en.wikipedia.org/wiki/Peru	https://travel.state.gov/content/travel/en/international-travel/International-Travel-Country-Information-Pages/Peru.html	https://www.sec.gov/cgi-bin/browse-edgar?action=getcompany&amp;CIK=0001785330	</v>
      <v xml:space="preserve">http://creativecommons.org/licenses/by-sa/3.0/			http://creativecommons.org/licenses/by-sa/3.0/			</v>
    </spb>
    <spb s="0">
      <v xml:space="preserve">Wikipedia	</v>
      <v xml:space="preserve">CC-BY-SA	</v>
      <v xml:space="preserve">http://en.wikipedia.org/wiki/Peru	</v>
      <v xml:space="preserve">http://creativecommons.org/licenses/by-sa/3.0/	</v>
    </spb>
    <spb s="0">
      <v xml:space="preserve">Wikipedia	Cia	travel.state.gov	Sec	</v>
      <v xml:space="preserve">CC-BY-SA				</v>
      <v xml:space="preserve">http://en.wikipedia.org/wiki/Peru	https://www.cia.gov/library/publications/the-world-factbook/geos/pe.html?Transportation	https://travel.state.gov/content/travel/en/international-travel/International-Travel-Country-Information-Pages/Peru.html	https://www.sec.gov/cgi-bin/browse-edgar?action=getcompany&amp;CIK=0001785330	</v>
      <v xml:space="preserve">http://creativecommons.org/licenses/by-sa/3.0/				</v>
    </spb>
    <spb s="0">
      <v xml:space="preserve">travel.state.gov	</v>
      <v xml:space="preserve">	</v>
      <v xml:space="preserve">https://travel.state.gov/content/travel/en/international-travel/International-Travel-Country-Information-Pages/Peru.html	</v>
      <v xml:space="preserve">	</v>
    </spb>
    <spb s="0">
      <v xml:space="preserve">Cia	</v>
      <v xml:space="preserve">	</v>
      <v xml:space="preserve">https://www.cia.gov/library/publications/the-world-factbook/geos/pe.html?Transportation	</v>
      <v xml:space="preserve">	</v>
    </spb>
    <spb s="12">
      <v>0</v>
      <v>50</v>
      <v>51</v>
      <v>52</v>
      <v>4</v>
      <v>5</v>
      <v>52</v>
      <v>53</v>
      <v>53</v>
      <v>51</v>
      <v>54</v>
      <v>53</v>
      <v>53</v>
      <v>55</v>
      <v>56</v>
      <v>9</v>
      <v>50</v>
      <v>56</v>
      <v>11</v>
      <v>53</v>
      <v>56</v>
      <v>12</v>
      <v>13</v>
      <v>14</v>
      <v>56</v>
      <v>56</v>
      <v>54</v>
      <v>56</v>
      <v>16</v>
      <v>17</v>
      <v>18</v>
      <v>19</v>
      <v>56</v>
      <v>50</v>
      <v>56</v>
      <v>56</v>
      <v>56</v>
      <v>56</v>
      <v>56</v>
      <v>56</v>
      <v>56</v>
      <v>56</v>
      <v>56</v>
      <v>56</v>
      <v>20</v>
    </spb>
    <spb s="2">
      <v>2</v>
      <v>Name</v>
      <v>LearnMoreOnLink</v>
    </spb>
    <spb s="8">
      <v>2019</v>
      <v>2019</v>
      <v>square km</v>
      <v>per thousand (2018)</v>
      <v>2019</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Cia	</v>
      <v xml:space="preserve">CC-BY-SA		</v>
      <v xml:space="preserve">http://es.wikipedia.org/wiki/Brasil	https://www.cia.gov/library/publications/the-world-factbook/geos/br.html?Transportation	</v>
      <v xml:space="preserve">http://creativecommons.org/licenses/by-sa/3.0/		</v>
    </spb>
    <spb s="0">
      <v xml:space="preserve">Wikipedia	Cia	Wikipedia	travel.state.gov	Sec	Tasteatlas	</v>
      <v xml:space="preserve">CC-BY-SA		CC-BY-SA				</v>
      <v xml:space="preserve">http://en.wikipedia.org/wiki/Brazil	https://www.cia.gov/library/publications/the-world-factbook/geos/br.html?Transportation	https://en.wikipedia.org/wiki/Brazil	https://travel.state.gov/content/travel/en/international-travel/International-Travel-Country-Information-Pages/Brazil.html	https://www.sec.gov/cgi-bin/browse-edgar?action=getcompany&amp;CIK=0001914083	https://www.tasteatlas.com/brazil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Cia	</v>
      <v xml:space="preserve">	</v>
      <v xml:space="preserve">https://www.cia.gov/library/publications/the-world-factbook/geos/br.html?Transportation	</v>
      <v xml:space="preserve">	</v>
    </spb>
    <spb s="13">
      <v>0</v>
      <v>60</v>
      <v>61</v>
      <v>62</v>
      <v>4</v>
      <v>62</v>
      <v>63</v>
      <v>63</v>
      <v>64</v>
      <v>63</v>
      <v>63</v>
      <v>65</v>
      <v>9</v>
      <v>60</v>
      <v>65</v>
      <v>11</v>
      <v>63</v>
      <v>65</v>
      <v>12</v>
      <v>13</v>
      <v>14</v>
      <v>65</v>
      <v>65</v>
      <v>60</v>
      <v>65</v>
      <v>16</v>
      <v>17</v>
      <v>18</v>
      <v>19</v>
      <v>65</v>
      <v>60</v>
      <v>65</v>
      <v>65</v>
      <v>65</v>
      <v>65</v>
      <v>65</v>
      <v>65</v>
      <v>65</v>
      <v>65</v>
      <v>65</v>
      <v>65</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14">
      <v>0</v>
      <v>68</v>
      <v>69</v>
      <v>70</v>
      <v>4</v>
      <v>5</v>
      <v>70</v>
      <v>71</v>
      <v>71</v>
      <v>72</v>
      <v>71</v>
      <v>71</v>
      <v>73</v>
      <v>74</v>
      <v>9</v>
      <v>68</v>
      <v>74</v>
      <v>11</v>
      <v>75</v>
      <v>74</v>
      <v>12</v>
      <v>13</v>
      <v>14</v>
      <v>74</v>
      <v>74</v>
      <v>76</v>
      <v>74</v>
      <v>16</v>
      <v>17</v>
      <v>18</v>
      <v>19</v>
      <v>74</v>
      <v>68</v>
      <v>74</v>
      <v>74</v>
      <v>74</v>
      <v>74</v>
      <v>74</v>
      <v>74</v>
      <v>74</v>
      <v>74</v>
      <v>74</v>
      <v>74</v>
      <v>20</v>
    </spb>
    <spb s="2">
      <v>3</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15">
      <v>0</v>
      <v>80</v>
      <v>81</v>
      <v>82</v>
      <v>4</v>
      <v>5</v>
      <v>82</v>
      <v>83</v>
      <v>83</v>
      <v>84</v>
      <v>80</v>
      <v>83</v>
      <v>85</v>
      <v>86</v>
      <v>9</v>
      <v>80</v>
      <v>86</v>
      <v>11</v>
      <v>87</v>
      <v>86</v>
      <v>12</v>
      <v>13</v>
      <v>14</v>
      <v>86</v>
      <v>86</v>
      <v>80</v>
      <v>86</v>
      <v>16</v>
      <v>17</v>
      <v>18</v>
      <v>19</v>
      <v>86</v>
      <v>80</v>
      <v>86</v>
      <v>86</v>
      <v>86</v>
      <v>86</v>
      <v>86</v>
      <v>86</v>
      <v>86</v>
      <v>86</v>
      <v>86</v>
      <v>86</v>
      <v>20</v>
    </spb>
    <spb s="2">
      <v>4</v>
      <v>Name</v>
      <v>LearnMoreOnLink</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Cia	</v>
      <v xml:space="preserve">	</v>
      <v xml:space="preserve">https://www.cia.gov/library/publications/the-world-factbook/geos/ch.html?Transportation	</v>
      <v xml:space="preserve">	</v>
    </spb>
    <spb s="0">
      <v xml:space="preserve">Wikipedia	Wikipedia	Wikidata	Cia	travel.state.gov	Sec	</v>
      <v xml:space="preserve">CC-BY-SA	CC-BY-SA					</v>
      <v xml:space="preserve">http://en.wikipedia.org/wiki/China	https://en.wikipedia.org/wiki/China	https://www.wikidata.org/wiki/Q29520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Wikipedia	</v>
      <v xml:space="preserve">CC-BY-SA	</v>
      <v xml:space="preserve">http://en.wikipedia.org/wiki/China	</v>
      <v xml:space="preserve">http://creativecommons.org/licenses/by-sa/3.0/	</v>
    </spb>
    <spb s="0">
      <v xml:space="preserve">Wikipedia	Cia	</v>
      <v xml:space="preserve">CC-BY-SA		</v>
      <v xml:space="preserve">http://en.wikipedia.org/wiki/China	https://www.cia.gov/library/publications/the-world-factbook/geos/ch.html?Transportation	</v>
      <v xml:space="preserve">http://creativecommons.org/licenses/by-sa/3.0/		</v>
    </spb>
    <spb s="0">
      <v xml:space="preserve">Wikipedia	Wikipedia	travel.state.gov	Sec	</v>
      <v xml:space="preserve">CC-BY-SA	CC-BY-SA			</v>
      <v xml:space="preserve">http://en.wikipedia.org/wiki/China	https://en.wikipedia.org/wiki/China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travel.state.gov	</v>
      <v xml:space="preserve">	</v>
      <v xml:space="preserve">https://travel.state.gov/content/travel/en/international-travel/International-Travel-Country-Information-Pages/China.html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0">
      <v xml:space="preserve">Wikipedia	Cia	travel.state.gov	Sec	</v>
      <v xml:space="preserve">CC-BY-SA				</v>
      <v xml:space="preserve">http://en.wikipedia.org/wiki/China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v>
    </spb>
    <spb s="16">
      <v>0</v>
      <v>92</v>
      <v>93</v>
      <v>94</v>
      <v>4</v>
      <v>5</v>
      <v>94</v>
      <v>95</v>
      <v>95</v>
      <v>96</v>
      <v>97</v>
      <v>95</v>
      <v>95</v>
      <v>98</v>
      <v>93</v>
      <v>9</v>
      <v>99</v>
      <v>93</v>
      <v>95</v>
      <v>93</v>
      <v>12</v>
      <v>13</v>
      <v>14</v>
      <v>93</v>
      <v>93</v>
      <v>100</v>
      <v>93</v>
      <v>16</v>
      <v>17</v>
      <v>18</v>
      <v>19</v>
      <v>93</v>
      <v>99</v>
      <v>93</v>
      <v>93</v>
      <v>93</v>
      <v>93</v>
      <v>93</v>
      <v>93</v>
      <v>93</v>
      <v>93</v>
      <v>93</v>
      <v>93</v>
      <v>20</v>
    </spb>
    <spb s="8">
      <v>2019</v>
      <v>2022</v>
      <v>square km</v>
      <v>per thousand (2018)</v>
      <v>2019</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4.0	</v>
      <v xml:space="preserve">http://ko.wikipedia.org/wiki/중화인민공화국	</v>
      <v xml:space="preserve">https://creativecommons.org/licenses/by-sa/4.0	</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Cia	</v>
      <v xml:space="preserve">CC-BY-SA		</v>
      <v xml:space="preserve">http://es.wikipedia.org/wiki/Vietnam	https://www.cia.gov/library/publications/the-world-factbook/geos/vm.html?Transportation	</v>
      <v xml:space="preserve">http://creativecommons.org/licenses/by-sa/3.0/		</v>
    </spb>
    <spb s="0">
      <v xml:space="preserve">Wikipedia	Cia	Wikipedia	travel.state.gov	</v>
      <v xml:space="preserve">CC-BY-SA		CC-BY-SA		</v>
      <v xml:space="preserve">http://en.wikipedia.org/wiki/Vietnam	https://www.cia.gov/library/publications/the-world-factbook/geos/vm.html?Transportation	https://en.wikipedia.org/wiki/Vietnam	https://travel.state.gov/content/travel/en/international-travel/International-Travel-Country-Information-Pages/Vietnam.html	</v>
      <v xml:space="preserve">http://creativecommons.org/licenses/by-sa/3.0/		http://creativecommons.org/licenses/by-sa/3.0/		</v>
    </spb>
    <spb s="0">
      <v xml:space="preserve">Wikipedia	</v>
      <v xml:space="preserve">CC-BY-SA	</v>
      <v xml:space="preserve">http://en.wikipedia.org/wiki/Vietnam	</v>
      <v xml:space="preserve">http://creativecommons.org/licenses/by-sa/3.0/	</v>
    </spb>
    <spb s="0">
      <v xml:space="preserve">Wikipedia	Cia	</v>
      <v xml:space="preserve">CC-BY-SA		</v>
      <v xml:space="preserve">http://en.wikipedia.org/wiki/Vietnam	https://www.cia.gov/library/publications/the-world-factbook/geos/vm.html?Transportation	</v>
      <v xml:space="preserve">http://creativecommons.org/licenses/by-sa/3.0/		</v>
    </spb>
    <spb s="0">
      <v xml:space="preserve">Wikipedia	Wikipedia	</v>
      <v xml:space="preserve">CC-BY-SA	CC-BY-SA	</v>
      <v xml:space="preserve">http://en.wikipedia.org/wiki/Vietnam	https://en.wikipedia.org/wiki/Vietnam	</v>
      <v xml:space="preserve">http://creativecommons.org/licenses/by-sa/3.0/	http://creativecommons.org/licenses/by-sa/3.0/	</v>
    </spb>
    <spb s="0">
      <v xml:space="preserve">Wikipedia	travel.state.gov	</v>
      <v xml:space="preserve">CC-BY-SA		</v>
      <v xml:space="preserve">http://en.wikipedia.org/wiki/Vietnam	https://travel.state.gov/content/travel/en/international-travel/International-Travel-Country-Information-Pages/Vietnam.html	</v>
      <v xml:space="preserve">http://creativecommons.org/licenses/by-sa/3.0/		</v>
    </spb>
    <spb s="0">
      <v xml:space="preserve">Cia	</v>
      <v xml:space="preserve">	</v>
      <v xml:space="preserve">https://www.cia.gov/library/publications/the-world-factbook/geos/vm.html?Transportation	</v>
      <v xml:space="preserve">	</v>
    </spb>
    <spb s="0">
      <v xml:space="preserve">Wikipedia	Wikipedia	</v>
      <v xml:space="preserve">CC-BY-SA	CC-BY-SA	</v>
      <v xml:space="preserve">http://en.wikipedia.org/wiki/Vietnam	http://ky.wikipedia.org/wiki/Bьeтнам	</v>
      <v xml:space="preserve">http://creativecommons.org/licenses/by-sa/3.0/	http://creativecommons.org/licenses/by-sa/3.0/	</v>
    </spb>
    <spb s="0">
      <v xml:space="preserve">Wikipedia	Cia	Wikipedia	</v>
      <v xml:space="preserve">CC-BY-SA		CC-BY-SA	</v>
      <v xml:space="preserve">http://en.wikipedia.org/wiki/Vietnam	https://www.cia.gov/library/publications/the-world-factbook/geos/vm.html?Transportation	https://en.wikipedia.org/wiki/Vietnam	</v>
      <v xml:space="preserve">http://creativecommons.org/licenses/by-sa/3.0/		http://creativecommons.org/licenses/by-sa/3.0/	</v>
    </spb>
    <spb s="12">
      <v>0</v>
      <v>104</v>
      <v>105</v>
      <v>106</v>
      <v>4</v>
      <v>5</v>
      <v>106</v>
      <v>107</v>
      <v>107</v>
      <v>108</v>
      <v>109</v>
      <v>107</v>
      <v>107</v>
      <v>110</v>
      <v>111</v>
      <v>9</v>
      <v>104</v>
      <v>111</v>
      <v>11</v>
      <v>112</v>
      <v>111</v>
      <v>12</v>
      <v>13</v>
      <v>14</v>
      <v>111</v>
      <v>111</v>
      <v>113</v>
      <v>111</v>
      <v>16</v>
      <v>17</v>
      <v>18</v>
      <v>19</v>
      <v>111</v>
      <v>104</v>
      <v>111</v>
      <v>111</v>
      <v>111</v>
      <v>111</v>
      <v>111</v>
      <v>111</v>
      <v>111</v>
      <v>111</v>
      <v>111</v>
      <v>111</v>
      <v>20</v>
    </spb>
    <spb s="8">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Public domain	</v>
      <v xml:space="preserve">http://en.wikipedia.org/wiki/Vietnam	</v>
      <v xml:space="preserve">http://en.wikipedia.org/wiki/Public_domain	</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RequiresInlineAttribution" t="b"/>
    <rPr n="NumberFormat" t="s"/>
  </richProperties>
  <richStyles>
    <rSty>
      <rpv i="0">1</rpv>
    </rSty>
    <rSty>
      <rpv i="1">1</rpv>
    </rSty>
    <rSty>
      <rpv i="2">1</rpv>
    </rSty>
    <rSty dxfid="3">
      <rpv i="3">0.0%</rpv>
    </rSty>
    <rSty dxfid="0">
      <rpv i="3">#,##0</rpv>
    </rSty>
    <rSty dxfid="2">
      <rpv i="3">0.00</rpv>
    </rSty>
    <rSty dxfid="5">
      <rpv i="3">0</rpv>
    </rSty>
    <rSty dxfid="4">
      <rpv i="3">#,##0.00</rpv>
    </rSty>
    <rSty dxfid="1">
      <rpv i="3">0.0</rpv>
    </rSty>
    <rSty dxfid="1">
      <rpv i="3">_([$$-en-US]* #,##0.00_);_([$$-en-US]* (#,##0.00);_([$$-en-US]* "-"??_);_(@_)</rpv>
    </rSty>
    <rSty dxfid="1">
      <rpv i="3">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7"/>
  <sheetViews>
    <sheetView tabSelected="1" workbookViewId="0">
      <selection activeCell="A4" sqref="A4"/>
    </sheetView>
  </sheetViews>
  <sheetFormatPr baseColWidth="10" defaultRowHeight="15" x14ac:dyDescent="0.2"/>
  <cols>
    <col min="2" max="29" width="10.8320312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455</v>
      </c>
      <c r="AE1" t="s">
        <v>425</v>
      </c>
      <c r="AF1" t="s">
        <v>435</v>
      </c>
      <c r="AG1" t="s">
        <v>426</v>
      </c>
      <c r="AH1" t="s">
        <v>427</v>
      </c>
      <c r="AI1" t="s">
        <v>428</v>
      </c>
      <c r="AJ1" t="s">
        <v>429</v>
      </c>
      <c r="AK1" t="s">
        <v>430</v>
      </c>
      <c r="AL1" t="s">
        <v>431</v>
      </c>
      <c r="AM1" t="s">
        <v>432</v>
      </c>
      <c r="AN1" t="s">
        <v>443</v>
      </c>
      <c r="AO1" t="s">
        <v>444</v>
      </c>
      <c r="AP1" t="s">
        <v>445</v>
      </c>
      <c r="AQ1" t="s">
        <v>446</v>
      </c>
      <c r="AR1" t="s">
        <v>432</v>
      </c>
    </row>
    <row r="2" spans="1:44" x14ac:dyDescent="0.2">
      <c r="A2" t="s">
        <v>29</v>
      </c>
      <c r="B2">
        <v>2008</v>
      </c>
      <c r="C2" t="s">
        <v>30</v>
      </c>
      <c r="D2" t="s">
        <v>31</v>
      </c>
      <c r="E2" t="s">
        <v>31</v>
      </c>
      <c r="F2" t="e" vm="1">
        <v>#VALUE!</v>
      </c>
      <c r="G2" t="s">
        <v>33</v>
      </c>
      <c r="H2" t="s">
        <v>34</v>
      </c>
      <c r="I2" t="s">
        <v>35</v>
      </c>
      <c r="J2" t="s">
        <v>36</v>
      </c>
      <c r="K2" t="s">
        <v>37</v>
      </c>
      <c r="L2" t="s">
        <v>38</v>
      </c>
      <c r="M2" t="s">
        <v>39</v>
      </c>
      <c r="N2" t="s">
        <v>38</v>
      </c>
      <c r="O2" t="s">
        <v>40</v>
      </c>
      <c r="P2" t="s">
        <v>39</v>
      </c>
      <c r="Q2" t="s">
        <v>40</v>
      </c>
      <c r="R2" t="s">
        <v>41</v>
      </c>
      <c r="S2" t="s">
        <v>42</v>
      </c>
      <c r="T2" t="s">
        <v>43</v>
      </c>
      <c r="U2" t="s">
        <v>44</v>
      </c>
      <c r="Z2" t="s">
        <v>45</v>
      </c>
      <c r="AA2" t="s">
        <v>46</v>
      </c>
      <c r="AC2" t="s">
        <v>47</v>
      </c>
      <c r="AD2" t="s">
        <v>456</v>
      </c>
      <c r="AE2" t="s">
        <v>434</v>
      </c>
      <c r="AF2" t="s">
        <v>290</v>
      </c>
      <c r="AG2">
        <v>21.7</v>
      </c>
      <c r="AH2">
        <v>40</v>
      </c>
      <c r="AI2">
        <v>13.1</v>
      </c>
      <c r="AJ2">
        <v>21.5</v>
      </c>
      <c r="AK2">
        <v>32</v>
      </c>
      <c r="AL2">
        <v>17.100000000000001</v>
      </c>
      <c r="AM2" t="s">
        <v>447</v>
      </c>
      <c r="AN2" t="s">
        <v>562</v>
      </c>
      <c r="AO2">
        <v>21.4</v>
      </c>
      <c r="AP2">
        <v>26</v>
      </c>
      <c r="AQ2">
        <v>16.2</v>
      </c>
      <c r="AR2" t="s">
        <v>447</v>
      </c>
    </row>
    <row r="3" spans="1:44" x14ac:dyDescent="0.2">
      <c r="A3" t="s">
        <v>29</v>
      </c>
      <c r="B3">
        <v>2008</v>
      </c>
      <c r="C3" t="s">
        <v>48</v>
      </c>
      <c r="D3" t="s">
        <v>49</v>
      </c>
      <c r="E3" t="s">
        <v>50</v>
      </c>
      <c r="F3" t="e" vm="1">
        <v>#VALUE!</v>
      </c>
      <c r="G3" t="s">
        <v>33</v>
      </c>
      <c r="H3" t="s">
        <v>34</v>
      </c>
      <c r="I3" t="s">
        <v>35</v>
      </c>
      <c r="J3" t="s">
        <v>36</v>
      </c>
      <c r="K3" t="s">
        <v>37</v>
      </c>
      <c r="L3" t="s">
        <v>38</v>
      </c>
      <c r="M3" t="s">
        <v>39</v>
      </c>
      <c r="N3" t="s">
        <v>38</v>
      </c>
      <c r="O3" t="s">
        <v>40</v>
      </c>
      <c r="P3" t="s">
        <v>39</v>
      </c>
      <c r="Q3" t="s">
        <v>40</v>
      </c>
      <c r="R3" t="s">
        <v>51</v>
      </c>
      <c r="S3" t="s">
        <v>52</v>
      </c>
      <c r="T3" t="s">
        <v>53</v>
      </c>
      <c r="U3" t="s">
        <v>54</v>
      </c>
      <c r="Z3" t="s">
        <v>55</v>
      </c>
      <c r="AA3" t="s">
        <v>56</v>
      </c>
      <c r="AC3" t="s">
        <v>57</v>
      </c>
      <c r="AD3" t="s">
        <v>456</v>
      </c>
      <c r="AE3" t="s">
        <v>434</v>
      </c>
      <c r="AF3" t="s">
        <v>290</v>
      </c>
      <c r="AG3">
        <v>24.8</v>
      </c>
      <c r="AH3">
        <v>41</v>
      </c>
      <c r="AI3">
        <v>14.9</v>
      </c>
      <c r="AJ3">
        <v>19.5</v>
      </c>
      <c r="AK3">
        <v>34</v>
      </c>
      <c r="AL3">
        <v>13</v>
      </c>
      <c r="AM3" t="s">
        <v>447</v>
      </c>
      <c r="AN3" t="s">
        <v>562</v>
      </c>
      <c r="AO3">
        <v>19</v>
      </c>
      <c r="AP3">
        <v>33</v>
      </c>
      <c r="AQ3">
        <v>13</v>
      </c>
      <c r="AR3" t="s">
        <v>447</v>
      </c>
    </row>
    <row r="4" spans="1:44" s="1" customFormat="1" x14ac:dyDescent="0.2">
      <c r="A4" s="1" t="s">
        <v>58</v>
      </c>
      <c r="B4" s="1">
        <v>2010</v>
      </c>
      <c r="C4" s="1" t="s">
        <v>30</v>
      </c>
      <c r="D4" s="1" t="s">
        <v>31</v>
      </c>
      <c r="E4" s="1" t="s">
        <v>31</v>
      </c>
      <c r="F4" s="1" t="e" vm="2">
        <v>#VALUE!</v>
      </c>
      <c r="G4" s="1" t="s">
        <v>60</v>
      </c>
      <c r="H4" s="1" t="s">
        <v>34</v>
      </c>
      <c r="I4" s="1" t="s">
        <v>35</v>
      </c>
      <c r="J4" s="1" t="s">
        <v>61</v>
      </c>
      <c r="K4" s="1" t="s">
        <v>37</v>
      </c>
      <c r="L4" s="1" t="s">
        <v>39</v>
      </c>
      <c r="M4" s="1" t="s">
        <v>40</v>
      </c>
      <c r="N4" s="1" t="s">
        <v>40</v>
      </c>
      <c r="O4" s="1" t="s">
        <v>40</v>
      </c>
      <c r="P4" s="1" t="s">
        <v>39</v>
      </c>
      <c r="Q4" s="1" t="s">
        <v>40</v>
      </c>
      <c r="R4" s="1" t="s">
        <v>62</v>
      </c>
      <c r="S4" s="1" t="s">
        <v>63</v>
      </c>
      <c r="T4" s="1" t="s">
        <v>64</v>
      </c>
      <c r="U4" s="1" t="s">
        <v>65</v>
      </c>
      <c r="W4" s="1">
        <v>13.44</v>
      </c>
      <c r="Z4" s="1" t="s">
        <v>30</v>
      </c>
      <c r="AA4" s="1" t="s">
        <v>66</v>
      </c>
      <c r="AC4" s="1" t="s">
        <v>47</v>
      </c>
      <c r="AD4" t="s">
        <v>456</v>
      </c>
      <c r="AE4" s="1" t="s">
        <v>434</v>
      </c>
      <c r="AF4" s="1" t="s">
        <v>290</v>
      </c>
      <c r="AG4" s="1" t="s">
        <v>70</v>
      </c>
      <c r="AH4" s="1" t="s">
        <v>68</v>
      </c>
      <c r="AI4" s="1" t="s">
        <v>71</v>
      </c>
      <c r="AJ4" s="1" t="s">
        <v>72</v>
      </c>
      <c r="AK4" s="1" t="s">
        <v>68</v>
      </c>
      <c r="AL4" s="1" t="s">
        <v>73</v>
      </c>
      <c r="AN4" s="1" t="s">
        <v>471</v>
      </c>
      <c r="AO4" s="1" t="s">
        <v>67</v>
      </c>
      <c r="AP4" s="1" t="s">
        <v>68</v>
      </c>
      <c r="AQ4" s="1" t="s">
        <v>69</v>
      </c>
      <c r="AR4" s="1" t="s">
        <v>442</v>
      </c>
    </row>
    <row r="5" spans="1:44" s="1" customFormat="1" x14ac:dyDescent="0.2">
      <c r="A5" s="1" t="s">
        <v>58</v>
      </c>
      <c r="B5" s="1">
        <v>2010</v>
      </c>
      <c r="C5" s="1" t="s">
        <v>74</v>
      </c>
      <c r="D5" s="1" t="s">
        <v>75</v>
      </c>
      <c r="E5" s="1" t="s">
        <v>76</v>
      </c>
      <c r="F5" s="1" t="e" vm="2">
        <v>#VALUE!</v>
      </c>
      <c r="G5" s="1" t="s">
        <v>60</v>
      </c>
      <c r="H5" s="1" t="s">
        <v>34</v>
      </c>
      <c r="I5" s="1" t="s">
        <v>35</v>
      </c>
      <c r="J5" s="1" t="s">
        <v>61</v>
      </c>
      <c r="K5" s="1" t="s">
        <v>37</v>
      </c>
      <c r="L5" s="1" t="s">
        <v>39</v>
      </c>
      <c r="M5" s="1" t="s">
        <v>40</v>
      </c>
      <c r="N5" s="1" t="s">
        <v>40</v>
      </c>
      <c r="O5" s="1" t="s">
        <v>40</v>
      </c>
      <c r="P5" s="1" t="s">
        <v>39</v>
      </c>
      <c r="Q5" s="1" t="s">
        <v>40</v>
      </c>
      <c r="R5" s="1" t="s">
        <v>77</v>
      </c>
      <c r="S5" s="1" t="s">
        <v>78</v>
      </c>
      <c r="T5" s="1" t="s">
        <v>79</v>
      </c>
      <c r="U5" s="1" t="s">
        <v>80</v>
      </c>
      <c r="W5" s="1">
        <v>14</v>
      </c>
      <c r="Z5" s="1" t="s">
        <v>81</v>
      </c>
      <c r="AA5" s="1" t="s">
        <v>82</v>
      </c>
      <c r="AC5" s="1" t="s">
        <v>83</v>
      </c>
      <c r="AD5" t="s">
        <v>456</v>
      </c>
      <c r="AE5" s="1" t="s">
        <v>434</v>
      </c>
      <c r="AF5" s="1" t="s">
        <v>290</v>
      </c>
      <c r="AG5" s="1" t="s">
        <v>86</v>
      </c>
      <c r="AH5" s="1" t="s">
        <v>68</v>
      </c>
      <c r="AI5" s="1" t="s">
        <v>87</v>
      </c>
      <c r="AJ5" s="1" t="s">
        <v>88</v>
      </c>
      <c r="AK5" s="1" t="s">
        <v>68</v>
      </c>
      <c r="AL5" s="1" t="s">
        <v>89</v>
      </c>
      <c r="AN5" s="1" t="s">
        <v>471</v>
      </c>
      <c r="AO5" s="1" t="s">
        <v>84</v>
      </c>
      <c r="AP5" s="1" t="s">
        <v>68</v>
      </c>
      <c r="AQ5" s="1" t="s">
        <v>85</v>
      </c>
      <c r="AR5" s="1" t="s">
        <v>442</v>
      </c>
    </row>
    <row r="6" spans="1:44" x14ac:dyDescent="0.2">
      <c r="A6" t="s">
        <v>90</v>
      </c>
      <c r="B6">
        <v>2011</v>
      </c>
      <c r="C6" t="s">
        <v>91</v>
      </c>
      <c r="D6" t="s">
        <v>49</v>
      </c>
      <c r="E6" t="s">
        <v>50</v>
      </c>
      <c r="F6" t="e" vm="3">
        <v>#VALUE!</v>
      </c>
      <c r="G6" t="s">
        <v>93</v>
      </c>
      <c r="H6" t="s">
        <v>34</v>
      </c>
      <c r="I6" t="s">
        <v>35</v>
      </c>
      <c r="J6" t="s">
        <v>94</v>
      </c>
      <c r="K6" t="s">
        <v>37</v>
      </c>
      <c r="L6" t="s">
        <v>38</v>
      </c>
      <c r="M6" t="s">
        <v>39</v>
      </c>
      <c r="N6" t="s">
        <v>38</v>
      </c>
      <c r="O6" t="s">
        <v>40</v>
      </c>
      <c r="P6" t="s">
        <v>39</v>
      </c>
      <c r="Q6" t="s">
        <v>40</v>
      </c>
      <c r="R6" t="s">
        <v>95</v>
      </c>
      <c r="S6" t="s">
        <v>96</v>
      </c>
      <c r="T6" t="s">
        <v>97</v>
      </c>
      <c r="U6" t="s">
        <v>98</v>
      </c>
      <c r="Z6" t="s">
        <v>99</v>
      </c>
      <c r="AA6" t="s">
        <v>100</v>
      </c>
      <c r="AC6" t="s">
        <v>57</v>
      </c>
      <c r="AD6" t="s">
        <v>456</v>
      </c>
      <c r="AE6" t="s">
        <v>434</v>
      </c>
      <c r="AF6" t="s">
        <v>437</v>
      </c>
      <c r="AJ6">
        <v>-1.02</v>
      </c>
      <c r="AK6">
        <v>27</v>
      </c>
      <c r="AL6">
        <v>0.255</v>
      </c>
      <c r="AM6" t="s">
        <v>433</v>
      </c>
    </row>
    <row r="7" spans="1:44" x14ac:dyDescent="0.2">
      <c r="A7" t="s">
        <v>90</v>
      </c>
      <c r="B7">
        <v>2011</v>
      </c>
      <c r="C7" t="s">
        <v>101</v>
      </c>
      <c r="D7" t="s">
        <v>31</v>
      </c>
      <c r="E7" t="s">
        <v>31</v>
      </c>
      <c r="F7" t="e" vm="3">
        <v>#VALUE!</v>
      </c>
      <c r="G7" t="s">
        <v>93</v>
      </c>
      <c r="H7" t="s">
        <v>34</v>
      </c>
      <c r="I7" t="s">
        <v>35</v>
      </c>
      <c r="J7" t="s">
        <v>94</v>
      </c>
      <c r="K7" t="s">
        <v>37</v>
      </c>
      <c r="L7" t="s">
        <v>38</v>
      </c>
      <c r="M7" t="s">
        <v>39</v>
      </c>
      <c r="N7" t="s">
        <v>38</v>
      </c>
      <c r="O7" t="s">
        <v>40</v>
      </c>
      <c r="P7" t="s">
        <v>39</v>
      </c>
      <c r="Q7" t="s">
        <v>40</v>
      </c>
      <c r="R7" t="s">
        <v>102</v>
      </c>
      <c r="S7" t="s">
        <v>103</v>
      </c>
      <c r="T7" t="s">
        <v>104</v>
      </c>
      <c r="U7" t="s">
        <v>105</v>
      </c>
      <c r="Z7" t="s">
        <v>106</v>
      </c>
      <c r="AA7" t="s">
        <v>107</v>
      </c>
      <c r="AC7" t="s">
        <v>47</v>
      </c>
      <c r="AD7" t="s">
        <v>456</v>
      </c>
      <c r="AE7" t="s">
        <v>434</v>
      </c>
      <c r="AF7" t="s">
        <v>437</v>
      </c>
      <c r="AK7">
        <v>29</v>
      </c>
      <c r="AM7" t="s">
        <v>433</v>
      </c>
    </row>
    <row r="8" spans="1:44" x14ac:dyDescent="0.2">
      <c r="A8" t="s">
        <v>108</v>
      </c>
      <c r="B8">
        <v>2014</v>
      </c>
      <c r="C8" t="s">
        <v>109</v>
      </c>
      <c r="D8" t="s">
        <v>75</v>
      </c>
      <c r="E8" t="s">
        <v>110</v>
      </c>
      <c r="F8" t="e" vm="4">
        <v>#VALUE!</v>
      </c>
      <c r="G8" t="s">
        <v>112</v>
      </c>
      <c r="H8" t="s">
        <v>113</v>
      </c>
      <c r="I8" t="s">
        <v>35</v>
      </c>
      <c r="J8" t="s">
        <v>114</v>
      </c>
      <c r="K8" t="s">
        <v>37</v>
      </c>
      <c r="L8" t="s">
        <v>40</v>
      </c>
      <c r="M8" t="s">
        <v>39</v>
      </c>
      <c r="N8" t="s">
        <v>40</v>
      </c>
      <c r="O8" t="s">
        <v>40</v>
      </c>
      <c r="P8" t="s">
        <v>39</v>
      </c>
      <c r="Q8" t="s">
        <v>40</v>
      </c>
      <c r="T8" t="s">
        <v>115</v>
      </c>
      <c r="U8" t="s">
        <v>116</v>
      </c>
      <c r="V8" t="s">
        <v>117</v>
      </c>
      <c r="Z8" t="s">
        <v>118</v>
      </c>
      <c r="AB8" t="s">
        <v>119</v>
      </c>
      <c r="AC8" t="s">
        <v>57</v>
      </c>
      <c r="AD8" t="s">
        <v>456</v>
      </c>
      <c r="AE8" t="s">
        <v>434</v>
      </c>
      <c r="AF8" t="s">
        <v>290</v>
      </c>
      <c r="AG8" t="s">
        <v>123</v>
      </c>
      <c r="AH8" t="s">
        <v>121</v>
      </c>
      <c r="AI8" t="s">
        <v>124</v>
      </c>
      <c r="AJ8" t="s">
        <v>120</v>
      </c>
      <c r="AK8" t="s">
        <v>121</v>
      </c>
      <c r="AL8" t="s">
        <v>122</v>
      </c>
      <c r="AM8" t="s">
        <v>438</v>
      </c>
    </row>
    <row r="9" spans="1:44" x14ac:dyDescent="0.2">
      <c r="A9" t="s">
        <v>108</v>
      </c>
      <c r="B9">
        <v>2014</v>
      </c>
      <c r="C9" t="s">
        <v>125</v>
      </c>
      <c r="D9" t="s">
        <v>75</v>
      </c>
      <c r="E9" t="s">
        <v>76</v>
      </c>
      <c r="F9" t="e" vm="4">
        <v>#VALUE!</v>
      </c>
      <c r="G9" t="s">
        <v>112</v>
      </c>
      <c r="H9" t="s">
        <v>113</v>
      </c>
      <c r="I9" t="s">
        <v>35</v>
      </c>
      <c r="J9" t="s">
        <v>114</v>
      </c>
      <c r="K9" t="s">
        <v>37</v>
      </c>
      <c r="L9" t="s">
        <v>40</v>
      </c>
      <c r="M9" t="s">
        <v>39</v>
      </c>
      <c r="N9" t="s">
        <v>40</v>
      </c>
      <c r="O9" t="s">
        <v>40</v>
      </c>
      <c r="P9" t="s">
        <v>39</v>
      </c>
      <c r="Q9" t="s">
        <v>40</v>
      </c>
      <c r="T9" t="s">
        <v>126</v>
      </c>
      <c r="U9" t="s">
        <v>127</v>
      </c>
      <c r="V9" t="s">
        <v>128</v>
      </c>
      <c r="Z9" t="s">
        <v>129</v>
      </c>
      <c r="AB9" t="s">
        <v>130</v>
      </c>
      <c r="AC9" t="s">
        <v>57</v>
      </c>
      <c r="AD9" t="s">
        <v>456</v>
      </c>
      <c r="AE9" t="s">
        <v>434</v>
      </c>
      <c r="AF9" t="s">
        <v>290</v>
      </c>
      <c r="AG9" t="s">
        <v>134</v>
      </c>
      <c r="AH9" t="s">
        <v>132</v>
      </c>
      <c r="AI9" t="s">
        <v>135</v>
      </c>
      <c r="AJ9" t="s">
        <v>131</v>
      </c>
      <c r="AK9" t="s">
        <v>132</v>
      </c>
      <c r="AL9" t="s">
        <v>133</v>
      </c>
      <c r="AM9" t="s">
        <v>438</v>
      </c>
    </row>
    <row r="10" spans="1:44" x14ac:dyDescent="0.2">
      <c r="A10" t="s">
        <v>136</v>
      </c>
      <c r="B10">
        <v>2015</v>
      </c>
      <c r="C10" t="s">
        <v>137</v>
      </c>
      <c r="D10" t="s">
        <v>75</v>
      </c>
      <c r="E10" t="s">
        <v>76</v>
      </c>
      <c r="F10" t="e" vm="4">
        <v>#VALUE!</v>
      </c>
      <c r="G10" t="s">
        <v>138</v>
      </c>
      <c r="H10" t="s">
        <v>113</v>
      </c>
      <c r="I10" t="s">
        <v>35</v>
      </c>
      <c r="J10" t="s">
        <v>36</v>
      </c>
      <c r="K10" t="s">
        <v>37</v>
      </c>
      <c r="L10" t="s">
        <v>39</v>
      </c>
      <c r="M10" t="s">
        <v>40</v>
      </c>
      <c r="N10" t="s">
        <v>40</v>
      </c>
      <c r="O10" t="s">
        <v>40</v>
      </c>
      <c r="P10" t="s">
        <v>39</v>
      </c>
      <c r="Q10" t="s">
        <v>40</v>
      </c>
      <c r="R10" t="s">
        <v>139</v>
      </c>
      <c r="T10" t="s">
        <v>140</v>
      </c>
      <c r="U10" t="s">
        <v>141</v>
      </c>
      <c r="Z10" t="s">
        <v>142</v>
      </c>
      <c r="AA10" t="s">
        <v>143</v>
      </c>
      <c r="AC10" t="s">
        <v>144</v>
      </c>
      <c r="AD10" t="s">
        <v>456</v>
      </c>
      <c r="AE10" t="s">
        <v>434</v>
      </c>
      <c r="AF10" t="s">
        <v>290</v>
      </c>
      <c r="AG10" t="s">
        <v>148</v>
      </c>
      <c r="AH10" t="s">
        <v>146</v>
      </c>
      <c r="AI10" t="s">
        <v>149</v>
      </c>
      <c r="AJ10" t="s">
        <v>145</v>
      </c>
      <c r="AK10" t="s">
        <v>146</v>
      </c>
      <c r="AL10" t="s">
        <v>147</v>
      </c>
      <c r="AM10" t="s">
        <v>439</v>
      </c>
    </row>
    <row r="11" spans="1:44" x14ac:dyDescent="0.2">
      <c r="A11" t="s">
        <v>136</v>
      </c>
      <c r="B11">
        <v>2015</v>
      </c>
      <c r="C11" t="s">
        <v>150</v>
      </c>
      <c r="D11" t="s">
        <v>75</v>
      </c>
      <c r="E11" t="s">
        <v>110</v>
      </c>
      <c r="F11" t="e" vm="4">
        <v>#VALUE!</v>
      </c>
      <c r="G11" t="s">
        <v>138</v>
      </c>
      <c r="H11" t="s">
        <v>113</v>
      </c>
      <c r="I11" t="s">
        <v>35</v>
      </c>
      <c r="J11" t="s">
        <v>36</v>
      </c>
      <c r="K11" t="s">
        <v>37</v>
      </c>
      <c r="L11" t="s">
        <v>39</v>
      </c>
      <c r="M11" t="s">
        <v>40</v>
      </c>
      <c r="N11" t="s">
        <v>40</v>
      </c>
      <c r="O11" t="s">
        <v>40</v>
      </c>
      <c r="P11" t="s">
        <v>39</v>
      </c>
      <c r="Q11" t="s">
        <v>40</v>
      </c>
      <c r="R11" t="s">
        <v>151</v>
      </c>
      <c r="T11" t="s">
        <v>152</v>
      </c>
      <c r="U11" t="s">
        <v>153</v>
      </c>
      <c r="Z11" t="s">
        <v>154</v>
      </c>
      <c r="AA11" t="s">
        <v>155</v>
      </c>
      <c r="AC11" t="s">
        <v>144</v>
      </c>
      <c r="AD11" t="s">
        <v>456</v>
      </c>
      <c r="AE11" t="s">
        <v>434</v>
      </c>
      <c r="AF11" t="s">
        <v>290</v>
      </c>
      <c r="AG11" t="s">
        <v>159</v>
      </c>
      <c r="AH11" t="s">
        <v>157</v>
      </c>
      <c r="AI11" t="s">
        <v>160</v>
      </c>
      <c r="AJ11" t="s">
        <v>156</v>
      </c>
      <c r="AK11" t="s">
        <v>157</v>
      </c>
      <c r="AL11" t="s">
        <v>158</v>
      </c>
      <c r="AM11" t="s">
        <v>439</v>
      </c>
    </row>
    <row r="12" spans="1:44" s="1" customFormat="1" x14ac:dyDescent="0.2">
      <c r="A12" s="1" t="s">
        <v>161</v>
      </c>
      <c r="B12" s="1">
        <v>2016</v>
      </c>
      <c r="C12" s="1" t="s">
        <v>162</v>
      </c>
      <c r="D12" s="1" t="s">
        <v>75</v>
      </c>
      <c r="E12" s="1" t="s">
        <v>76</v>
      </c>
      <c r="F12" s="1" t="e" vm="5">
        <v>#VALUE!</v>
      </c>
      <c r="G12" s="1" t="s">
        <v>164</v>
      </c>
      <c r="H12" s="1" t="s">
        <v>113</v>
      </c>
      <c r="I12" s="1" t="s">
        <v>35</v>
      </c>
      <c r="J12" s="1" t="s">
        <v>165</v>
      </c>
      <c r="K12" s="1" t="s">
        <v>37</v>
      </c>
      <c r="L12" s="1" t="s">
        <v>39</v>
      </c>
      <c r="M12" s="1" t="s">
        <v>39</v>
      </c>
      <c r="N12" s="1" t="s">
        <v>39</v>
      </c>
      <c r="O12" s="1" t="s">
        <v>40</v>
      </c>
      <c r="P12" s="1" t="s">
        <v>39</v>
      </c>
      <c r="Q12" s="1" t="s">
        <v>40</v>
      </c>
      <c r="R12" s="1" t="s">
        <v>166</v>
      </c>
      <c r="S12" s="1" t="s">
        <v>167</v>
      </c>
      <c r="T12" s="1" t="s">
        <v>168</v>
      </c>
      <c r="U12" s="1" t="s">
        <v>169</v>
      </c>
      <c r="X12" s="1" t="s">
        <v>170</v>
      </c>
      <c r="Y12" s="1" t="s">
        <v>116</v>
      </c>
      <c r="Z12" s="1" t="s">
        <v>171</v>
      </c>
      <c r="AA12" s="1" t="s">
        <v>172</v>
      </c>
      <c r="AC12" s="1" t="s">
        <v>144</v>
      </c>
      <c r="AD12" t="s">
        <v>456</v>
      </c>
      <c r="AE12" s="1" t="s">
        <v>449</v>
      </c>
      <c r="AG12" s="1" t="s">
        <v>176</v>
      </c>
      <c r="AH12" s="1" t="s">
        <v>174</v>
      </c>
      <c r="AI12" s="1" t="s">
        <v>177</v>
      </c>
      <c r="AJ12" s="1" t="s">
        <v>173</v>
      </c>
      <c r="AK12" s="1" t="s">
        <v>174</v>
      </c>
      <c r="AL12" s="1" t="s">
        <v>175</v>
      </c>
      <c r="AM12" s="1" t="s">
        <v>447</v>
      </c>
      <c r="AN12" s="1" t="s">
        <v>471</v>
      </c>
      <c r="AR12" s="1" t="s">
        <v>447</v>
      </c>
    </row>
    <row r="13" spans="1:44" s="1" customFormat="1" x14ac:dyDescent="0.2">
      <c r="A13" s="1" t="s">
        <v>161</v>
      </c>
      <c r="B13" s="1">
        <v>2016</v>
      </c>
      <c r="C13" s="1" t="s">
        <v>182</v>
      </c>
      <c r="D13" s="1" t="s">
        <v>31</v>
      </c>
      <c r="E13" s="1" t="s">
        <v>31</v>
      </c>
      <c r="F13" s="1" t="e" vm="5">
        <v>#VALUE!</v>
      </c>
      <c r="G13" s="1" t="s">
        <v>164</v>
      </c>
      <c r="H13" s="1" t="s">
        <v>113</v>
      </c>
      <c r="I13" s="1" t="s">
        <v>35</v>
      </c>
      <c r="J13" s="1" t="s">
        <v>165</v>
      </c>
      <c r="K13" s="1" t="s">
        <v>37</v>
      </c>
      <c r="L13" s="1" t="s">
        <v>39</v>
      </c>
      <c r="M13" s="1" t="s">
        <v>39</v>
      </c>
      <c r="N13" s="1" t="s">
        <v>39</v>
      </c>
      <c r="O13" s="1" t="s">
        <v>40</v>
      </c>
      <c r="P13" s="1" t="s">
        <v>39</v>
      </c>
      <c r="Q13" s="1" t="s">
        <v>40</v>
      </c>
      <c r="R13" s="1" t="s">
        <v>183</v>
      </c>
      <c r="S13" s="1" t="s">
        <v>184</v>
      </c>
      <c r="T13" s="1" t="s">
        <v>185</v>
      </c>
      <c r="U13" s="1" t="s">
        <v>186</v>
      </c>
      <c r="X13" s="1" t="s">
        <v>170</v>
      </c>
      <c r="Y13" s="1" t="s">
        <v>116</v>
      </c>
      <c r="Z13" s="1" t="s">
        <v>187</v>
      </c>
      <c r="AA13" s="1" t="s">
        <v>188</v>
      </c>
      <c r="AC13" s="1" t="s">
        <v>47</v>
      </c>
      <c r="AD13" t="s">
        <v>456</v>
      </c>
      <c r="AE13" s="1" t="s">
        <v>449</v>
      </c>
      <c r="AG13" s="1" t="s">
        <v>191</v>
      </c>
      <c r="AH13" s="1" t="s">
        <v>174</v>
      </c>
      <c r="AI13" s="1" t="s">
        <v>192</v>
      </c>
      <c r="AJ13" s="1" t="s">
        <v>189</v>
      </c>
      <c r="AK13" s="1" t="s">
        <v>174</v>
      </c>
      <c r="AL13" s="1" t="s">
        <v>190</v>
      </c>
      <c r="AM13" s="1" t="s">
        <v>447</v>
      </c>
      <c r="AN13" s="1" t="s">
        <v>471</v>
      </c>
      <c r="AR13" s="1" t="s">
        <v>447</v>
      </c>
    </row>
    <row r="14" spans="1:44" s="1" customFormat="1" x14ac:dyDescent="0.2">
      <c r="A14" s="1" t="s">
        <v>197</v>
      </c>
      <c r="B14" s="1">
        <v>2017</v>
      </c>
      <c r="C14" s="1" t="s">
        <v>198</v>
      </c>
      <c r="D14" s="1" t="s">
        <v>31</v>
      </c>
      <c r="E14" s="1" t="s">
        <v>31</v>
      </c>
      <c r="F14" s="1" t="e" vm="6">
        <v>#VALUE!</v>
      </c>
      <c r="G14" s="1" t="s">
        <v>199</v>
      </c>
      <c r="H14" s="1" t="s">
        <v>34</v>
      </c>
      <c r="I14" s="1" t="s">
        <v>35</v>
      </c>
      <c r="J14" s="1" t="s">
        <v>61</v>
      </c>
      <c r="K14" s="1" t="s">
        <v>37</v>
      </c>
      <c r="L14" s="1" t="s">
        <v>38</v>
      </c>
      <c r="M14" s="1" t="s">
        <v>40</v>
      </c>
      <c r="N14" s="1" t="s">
        <v>40</v>
      </c>
      <c r="O14" s="1" t="s">
        <v>40</v>
      </c>
      <c r="P14" s="1" t="s">
        <v>39</v>
      </c>
      <c r="Q14" s="1" t="s">
        <v>40</v>
      </c>
      <c r="T14" s="1" t="s">
        <v>200</v>
      </c>
      <c r="U14" s="1" t="s">
        <v>201</v>
      </c>
      <c r="Y14" s="1" t="s">
        <v>116</v>
      </c>
      <c r="Z14" s="1" t="s">
        <v>31</v>
      </c>
      <c r="AA14" s="1" t="s">
        <v>31</v>
      </c>
      <c r="AC14" s="1" t="s">
        <v>47</v>
      </c>
      <c r="AD14" t="s">
        <v>456</v>
      </c>
      <c r="AE14" s="1" t="s">
        <v>434</v>
      </c>
      <c r="AF14" s="1" t="s">
        <v>448</v>
      </c>
      <c r="AG14" s="1" t="s">
        <v>202</v>
      </c>
      <c r="AH14" s="1" t="s">
        <v>203</v>
      </c>
      <c r="AI14" s="1" t="s">
        <v>204</v>
      </c>
      <c r="AJ14" s="1" t="s">
        <v>207</v>
      </c>
      <c r="AK14" s="1" t="s">
        <v>203</v>
      </c>
      <c r="AL14" s="1" t="s">
        <v>208</v>
      </c>
      <c r="AN14" s="1" t="s">
        <v>471</v>
      </c>
      <c r="AO14" s="1" t="s">
        <v>205</v>
      </c>
      <c r="AP14" s="1" t="s">
        <v>203</v>
      </c>
      <c r="AQ14" s="1" t="s">
        <v>206</v>
      </c>
      <c r="AR14" s="1" t="s">
        <v>447</v>
      </c>
    </row>
    <row r="15" spans="1:44" s="1" customFormat="1" x14ac:dyDescent="0.2">
      <c r="A15" s="1" t="s">
        <v>197</v>
      </c>
      <c r="B15" s="1">
        <v>2017</v>
      </c>
      <c r="C15" s="1" t="s">
        <v>209</v>
      </c>
      <c r="D15" s="1" t="s">
        <v>75</v>
      </c>
      <c r="E15" s="1" t="s">
        <v>110</v>
      </c>
      <c r="F15" s="1" t="e" vm="6">
        <v>#VALUE!</v>
      </c>
      <c r="G15" s="1" t="s">
        <v>199</v>
      </c>
      <c r="H15" s="1" t="s">
        <v>34</v>
      </c>
      <c r="I15" s="1" t="s">
        <v>35</v>
      </c>
      <c r="J15" s="1" t="s">
        <v>61</v>
      </c>
      <c r="K15" s="1" t="s">
        <v>37</v>
      </c>
      <c r="L15" s="1" t="s">
        <v>38</v>
      </c>
      <c r="M15" s="1" t="s">
        <v>40</v>
      </c>
      <c r="N15" s="1" t="s">
        <v>40</v>
      </c>
      <c r="O15" s="1" t="s">
        <v>40</v>
      </c>
      <c r="P15" s="1" t="s">
        <v>39</v>
      </c>
      <c r="Q15" s="1" t="s">
        <v>40</v>
      </c>
      <c r="T15" s="1" t="s">
        <v>210</v>
      </c>
      <c r="U15" s="1" t="s">
        <v>211</v>
      </c>
      <c r="Y15" s="1" t="s">
        <v>116</v>
      </c>
      <c r="Z15" s="1" t="s">
        <v>212</v>
      </c>
      <c r="AA15" s="1" t="s">
        <v>213</v>
      </c>
      <c r="AC15" s="1" t="s">
        <v>57</v>
      </c>
      <c r="AD15" t="s">
        <v>456</v>
      </c>
      <c r="AE15" s="1" t="s">
        <v>434</v>
      </c>
      <c r="AF15" s="1" t="s">
        <v>448</v>
      </c>
      <c r="AG15" s="1" t="s">
        <v>214</v>
      </c>
      <c r="AH15" s="1" t="s">
        <v>215</v>
      </c>
      <c r="AI15" s="1" t="s">
        <v>149</v>
      </c>
      <c r="AJ15" s="1" t="s">
        <v>218</v>
      </c>
      <c r="AK15" s="1" t="s">
        <v>215</v>
      </c>
      <c r="AL15" s="1" t="s">
        <v>219</v>
      </c>
      <c r="AN15" s="1" t="s">
        <v>471</v>
      </c>
      <c r="AO15" s="1" t="s">
        <v>216</v>
      </c>
      <c r="AP15" s="1" t="s">
        <v>215</v>
      </c>
      <c r="AQ15" s="1" t="s">
        <v>217</v>
      </c>
      <c r="AR15" s="1" t="s">
        <v>447</v>
      </c>
    </row>
    <row r="16" spans="1:44" x14ac:dyDescent="0.2">
      <c r="A16" t="s">
        <v>220</v>
      </c>
      <c r="B16">
        <v>2017</v>
      </c>
      <c r="C16" t="s">
        <v>221</v>
      </c>
      <c r="D16" t="s">
        <v>75</v>
      </c>
      <c r="E16" t="s">
        <v>76</v>
      </c>
      <c r="F16" t="e" vm="5">
        <v>#VALUE!</v>
      </c>
      <c r="G16" t="s">
        <v>222</v>
      </c>
      <c r="H16" t="s">
        <v>34</v>
      </c>
      <c r="I16" t="s">
        <v>35</v>
      </c>
      <c r="J16" t="s">
        <v>61</v>
      </c>
      <c r="K16" t="s">
        <v>37</v>
      </c>
      <c r="L16" t="s">
        <v>39</v>
      </c>
      <c r="M16" t="s">
        <v>40</v>
      </c>
      <c r="N16" t="s">
        <v>40</v>
      </c>
      <c r="O16" t="s">
        <v>40</v>
      </c>
      <c r="P16" t="s">
        <v>39</v>
      </c>
      <c r="Q16" t="s">
        <v>40</v>
      </c>
      <c r="S16" t="s">
        <v>223</v>
      </c>
      <c r="T16" t="s">
        <v>224</v>
      </c>
      <c r="U16" t="s">
        <v>225</v>
      </c>
      <c r="X16" t="s">
        <v>116</v>
      </c>
      <c r="Z16" t="s">
        <v>226</v>
      </c>
      <c r="AA16" t="s">
        <v>227</v>
      </c>
      <c r="AC16" t="s">
        <v>57</v>
      </c>
      <c r="AD16" t="s">
        <v>456</v>
      </c>
      <c r="AE16" t="s">
        <v>434</v>
      </c>
      <c r="AF16" t="s">
        <v>290</v>
      </c>
      <c r="AG16" t="s">
        <v>230</v>
      </c>
      <c r="AH16" t="s">
        <v>157</v>
      </c>
      <c r="AI16" t="s">
        <v>231</v>
      </c>
      <c r="AJ16" t="s">
        <v>228</v>
      </c>
      <c r="AK16" t="s">
        <v>157</v>
      </c>
      <c r="AL16" t="s">
        <v>229</v>
      </c>
      <c r="AM16" t="s">
        <v>440</v>
      </c>
    </row>
    <row r="17" spans="1:43" x14ac:dyDescent="0.2">
      <c r="A17" t="s">
        <v>220</v>
      </c>
      <c r="B17">
        <v>2017</v>
      </c>
      <c r="C17" t="s">
        <v>30</v>
      </c>
      <c r="D17" t="s">
        <v>31</v>
      </c>
      <c r="E17" t="s">
        <v>31</v>
      </c>
      <c r="F17" t="e" vm="5">
        <v>#VALUE!</v>
      </c>
      <c r="G17" t="s">
        <v>222</v>
      </c>
      <c r="H17" t="s">
        <v>34</v>
      </c>
      <c r="I17" t="s">
        <v>35</v>
      </c>
      <c r="J17" t="s">
        <v>61</v>
      </c>
      <c r="K17" t="s">
        <v>37</v>
      </c>
      <c r="L17" t="s">
        <v>39</v>
      </c>
      <c r="M17" t="s">
        <v>40</v>
      </c>
      <c r="N17" t="s">
        <v>40</v>
      </c>
      <c r="O17" t="s">
        <v>40</v>
      </c>
      <c r="P17" t="s">
        <v>39</v>
      </c>
      <c r="Q17" t="s">
        <v>40</v>
      </c>
      <c r="S17" t="s">
        <v>123</v>
      </c>
      <c r="T17" t="s">
        <v>232</v>
      </c>
      <c r="U17" t="s">
        <v>233</v>
      </c>
      <c r="X17" t="s">
        <v>116</v>
      </c>
      <c r="Z17" t="s">
        <v>30</v>
      </c>
      <c r="AA17" t="s">
        <v>234</v>
      </c>
      <c r="AC17" t="s">
        <v>234</v>
      </c>
      <c r="AD17" t="s">
        <v>456</v>
      </c>
      <c r="AE17" t="s">
        <v>434</v>
      </c>
      <c r="AF17" t="s">
        <v>290</v>
      </c>
      <c r="AG17" t="s">
        <v>237</v>
      </c>
      <c r="AH17" t="s">
        <v>157</v>
      </c>
      <c r="AI17" t="s">
        <v>238</v>
      </c>
      <c r="AJ17" t="s">
        <v>235</v>
      </c>
      <c r="AK17" t="s">
        <v>157</v>
      </c>
      <c r="AL17" t="s">
        <v>236</v>
      </c>
      <c r="AM17" t="s">
        <v>440</v>
      </c>
    </row>
    <row r="18" spans="1:43" x14ac:dyDescent="0.2">
      <c r="A18" t="s">
        <v>239</v>
      </c>
      <c r="B18">
        <v>2018</v>
      </c>
      <c r="C18" t="s">
        <v>30</v>
      </c>
      <c r="D18" t="s">
        <v>31</v>
      </c>
      <c r="E18" t="s">
        <v>31</v>
      </c>
      <c r="F18" t="e" vm="4">
        <v>#VALUE!</v>
      </c>
      <c r="G18" t="s">
        <v>240</v>
      </c>
      <c r="H18" t="s">
        <v>34</v>
      </c>
      <c r="I18" t="s">
        <v>35</v>
      </c>
      <c r="J18" t="s">
        <v>61</v>
      </c>
      <c r="K18" t="s">
        <v>37</v>
      </c>
      <c r="L18" t="s">
        <v>39</v>
      </c>
      <c r="M18" t="s">
        <v>39</v>
      </c>
      <c r="N18" t="s">
        <v>38</v>
      </c>
      <c r="O18" t="s">
        <v>40</v>
      </c>
      <c r="P18" t="s">
        <v>39</v>
      </c>
      <c r="Q18" t="s">
        <v>40</v>
      </c>
      <c r="R18" t="s">
        <v>241</v>
      </c>
      <c r="S18" t="s">
        <v>242</v>
      </c>
      <c r="T18" t="s">
        <v>243</v>
      </c>
      <c r="U18" t="s">
        <v>244</v>
      </c>
      <c r="W18">
        <v>23.82</v>
      </c>
      <c r="X18" t="s">
        <v>170</v>
      </c>
      <c r="Y18" t="s">
        <v>116</v>
      </c>
      <c r="Z18" t="s">
        <v>245</v>
      </c>
      <c r="AC18" t="s">
        <v>47</v>
      </c>
      <c r="AD18" t="s">
        <v>456</v>
      </c>
      <c r="AE18" t="s">
        <v>434</v>
      </c>
      <c r="AF18" t="s">
        <v>290</v>
      </c>
      <c r="AG18" t="s">
        <v>246</v>
      </c>
      <c r="AH18" t="s">
        <v>132</v>
      </c>
      <c r="AI18" t="s">
        <v>247</v>
      </c>
      <c r="AJ18" t="s">
        <v>248</v>
      </c>
      <c r="AK18" t="s">
        <v>132</v>
      </c>
      <c r="AL18" t="s">
        <v>249</v>
      </c>
      <c r="AM18" t="s">
        <v>441</v>
      </c>
    </row>
    <row r="19" spans="1:43" x14ac:dyDescent="0.2">
      <c r="A19" t="s">
        <v>239</v>
      </c>
      <c r="B19">
        <v>2018</v>
      </c>
      <c r="C19" t="s">
        <v>254</v>
      </c>
      <c r="D19" t="s">
        <v>255</v>
      </c>
      <c r="E19" t="s">
        <v>256</v>
      </c>
      <c r="F19" t="e" vm="4">
        <v>#VALUE!</v>
      </c>
      <c r="G19" t="s">
        <v>240</v>
      </c>
      <c r="H19" t="s">
        <v>34</v>
      </c>
      <c r="I19" t="s">
        <v>35</v>
      </c>
      <c r="J19" t="s">
        <v>61</v>
      </c>
      <c r="K19" t="s">
        <v>37</v>
      </c>
      <c r="L19" t="s">
        <v>39</v>
      </c>
      <c r="M19" t="s">
        <v>39</v>
      </c>
      <c r="N19" t="s">
        <v>38</v>
      </c>
      <c r="O19" t="s">
        <v>40</v>
      </c>
      <c r="P19" t="s">
        <v>39</v>
      </c>
      <c r="Q19" t="s">
        <v>40</v>
      </c>
      <c r="R19" t="s">
        <v>257</v>
      </c>
      <c r="S19" t="s">
        <v>258</v>
      </c>
      <c r="T19" t="s">
        <v>259</v>
      </c>
      <c r="U19" t="s">
        <v>260</v>
      </c>
      <c r="W19">
        <v>19</v>
      </c>
      <c r="X19" t="s">
        <v>170</v>
      </c>
      <c r="Y19" t="s">
        <v>116</v>
      </c>
      <c r="Z19" t="s">
        <v>261</v>
      </c>
      <c r="AA19" t="s">
        <v>262</v>
      </c>
      <c r="AC19" t="s">
        <v>263</v>
      </c>
      <c r="AD19" t="s">
        <v>456</v>
      </c>
      <c r="AE19" t="s">
        <v>434</v>
      </c>
      <c r="AF19" t="s">
        <v>290</v>
      </c>
      <c r="AG19" t="s">
        <v>264</v>
      </c>
      <c r="AH19" t="s">
        <v>132</v>
      </c>
      <c r="AI19" t="s">
        <v>265</v>
      </c>
      <c r="AJ19" t="s">
        <v>266</v>
      </c>
      <c r="AK19" t="s">
        <v>132</v>
      </c>
      <c r="AL19" t="s">
        <v>267</v>
      </c>
      <c r="AM19" t="s">
        <v>441</v>
      </c>
    </row>
    <row r="20" spans="1:43" x14ac:dyDescent="0.2">
      <c r="A20" t="s">
        <v>338</v>
      </c>
      <c r="B20">
        <v>2014</v>
      </c>
      <c r="C20" t="s">
        <v>339</v>
      </c>
      <c r="D20" t="s">
        <v>31</v>
      </c>
      <c r="E20" t="s">
        <v>31</v>
      </c>
      <c r="F20" t="e" vm="2">
        <v>#VALUE!</v>
      </c>
      <c r="G20" t="s">
        <v>340</v>
      </c>
      <c r="H20" t="s">
        <v>113</v>
      </c>
      <c r="I20" t="s">
        <v>35</v>
      </c>
      <c r="J20" t="s">
        <v>61</v>
      </c>
      <c r="K20" t="s">
        <v>37</v>
      </c>
      <c r="L20" t="s">
        <v>40</v>
      </c>
      <c r="M20" t="s">
        <v>40</v>
      </c>
      <c r="N20" t="s">
        <v>40</v>
      </c>
      <c r="O20" t="s">
        <v>40</v>
      </c>
      <c r="P20" t="s">
        <v>39</v>
      </c>
      <c r="Q20" t="s">
        <v>40</v>
      </c>
      <c r="S20" t="s">
        <v>341</v>
      </c>
      <c r="AD20" t="s">
        <v>456</v>
      </c>
      <c r="AE20" t="s">
        <v>457</v>
      </c>
      <c r="AF20" t="s">
        <v>290</v>
      </c>
      <c r="AG20" t="s">
        <v>345</v>
      </c>
      <c r="AH20" t="s">
        <v>343</v>
      </c>
      <c r="AI20" t="s">
        <v>346</v>
      </c>
      <c r="AJ20" t="s">
        <v>342</v>
      </c>
      <c r="AK20" t="s">
        <v>343</v>
      </c>
      <c r="AL20" t="s">
        <v>344</v>
      </c>
      <c r="AO20" t="s">
        <v>356</v>
      </c>
      <c r="AP20" t="s">
        <v>343</v>
      </c>
      <c r="AQ20" t="s">
        <v>357</v>
      </c>
    </row>
    <row r="21" spans="1:43" x14ac:dyDescent="0.2">
      <c r="A21" t="s">
        <v>338</v>
      </c>
      <c r="B21">
        <v>2014</v>
      </c>
      <c r="C21" t="s">
        <v>355</v>
      </c>
      <c r="D21" t="s">
        <v>75</v>
      </c>
      <c r="E21" t="s">
        <v>110</v>
      </c>
      <c r="F21" t="e" vm="2">
        <v>#VALUE!</v>
      </c>
      <c r="G21" t="s">
        <v>340</v>
      </c>
      <c r="H21" t="s">
        <v>113</v>
      </c>
      <c r="I21" t="s">
        <v>35</v>
      </c>
      <c r="J21" t="s">
        <v>61</v>
      </c>
      <c r="K21" t="s">
        <v>37</v>
      </c>
      <c r="L21" t="s">
        <v>40</v>
      </c>
      <c r="M21" t="s">
        <v>40</v>
      </c>
      <c r="N21" t="s">
        <v>40</v>
      </c>
      <c r="O21" t="s">
        <v>40</v>
      </c>
      <c r="P21" t="s">
        <v>39</v>
      </c>
      <c r="Q21" t="s">
        <v>40</v>
      </c>
      <c r="S21" t="s">
        <v>341</v>
      </c>
      <c r="AD21" t="s">
        <v>456</v>
      </c>
      <c r="AE21" t="s">
        <v>457</v>
      </c>
      <c r="AF21" t="s">
        <v>290</v>
      </c>
      <c r="AG21" t="s">
        <v>360</v>
      </c>
      <c r="AH21" t="s">
        <v>343</v>
      </c>
      <c r="AI21" t="s">
        <v>361</v>
      </c>
      <c r="AJ21" t="s">
        <v>358</v>
      </c>
      <c r="AK21" t="s">
        <v>343</v>
      </c>
      <c r="AL21" t="s">
        <v>359</v>
      </c>
    </row>
    <row r="22" spans="1:43" ht="14" customHeight="1" x14ac:dyDescent="0.2">
      <c r="A22" t="s">
        <v>396</v>
      </c>
      <c r="B22">
        <v>2017</v>
      </c>
      <c r="C22" t="s">
        <v>397</v>
      </c>
      <c r="D22" t="s">
        <v>49</v>
      </c>
      <c r="E22" t="s">
        <v>50</v>
      </c>
      <c r="F22" t="e" vm="7">
        <v>#VALUE!</v>
      </c>
      <c r="G22" t="s">
        <v>398</v>
      </c>
      <c r="H22" t="s">
        <v>34</v>
      </c>
      <c r="I22" t="s">
        <v>35</v>
      </c>
      <c r="J22" t="s">
        <v>94</v>
      </c>
      <c r="K22" t="s">
        <v>37</v>
      </c>
      <c r="L22" t="s">
        <v>39</v>
      </c>
      <c r="M22" t="s">
        <v>39</v>
      </c>
      <c r="N22" t="s">
        <v>38</v>
      </c>
      <c r="O22" t="s">
        <v>39</v>
      </c>
      <c r="P22" t="s">
        <v>39</v>
      </c>
      <c r="Q22" t="s">
        <v>39</v>
      </c>
      <c r="T22" t="s">
        <v>399</v>
      </c>
      <c r="U22" t="s">
        <v>400</v>
      </c>
      <c r="V22" t="s">
        <v>401</v>
      </c>
      <c r="Z22" t="s">
        <v>402</v>
      </c>
      <c r="AA22" s="12" t="s">
        <v>561</v>
      </c>
      <c r="AC22" t="s">
        <v>57</v>
      </c>
      <c r="AD22" t="s">
        <v>456</v>
      </c>
      <c r="AE22" t="s">
        <v>457</v>
      </c>
      <c r="AF22" t="s">
        <v>290</v>
      </c>
      <c r="AG22" t="s">
        <v>407</v>
      </c>
      <c r="AH22">
        <v>78</v>
      </c>
      <c r="AI22" t="s">
        <v>406</v>
      </c>
      <c r="AJ22" t="s">
        <v>405</v>
      </c>
      <c r="AK22">
        <v>78</v>
      </c>
      <c r="AL22" t="s">
        <v>404</v>
      </c>
      <c r="AM22" t="s">
        <v>433</v>
      </c>
    </row>
    <row r="23" spans="1:43" x14ac:dyDescent="0.2">
      <c r="A23" t="s">
        <v>396</v>
      </c>
      <c r="B23">
        <v>2017</v>
      </c>
      <c r="C23" t="s">
        <v>411</v>
      </c>
      <c r="D23" t="s">
        <v>31</v>
      </c>
      <c r="E23" t="s">
        <v>31</v>
      </c>
      <c r="F23" t="e" vm="7">
        <v>#VALUE!</v>
      </c>
      <c r="G23" t="s">
        <v>398</v>
      </c>
      <c r="H23" t="s">
        <v>34</v>
      </c>
      <c r="I23" t="s">
        <v>35</v>
      </c>
      <c r="J23" t="s">
        <v>94</v>
      </c>
      <c r="K23" t="s">
        <v>37</v>
      </c>
      <c r="L23" t="s">
        <v>39</v>
      </c>
      <c r="M23" t="s">
        <v>39</v>
      </c>
      <c r="N23" t="s">
        <v>38</v>
      </c>
      <c r="O23" t="s">
        <v>39</v>
      </c>
      <c r="P23" t="s">
        <v>39</v>
      </c>
      <c r="Q23" t="s">
        <v>39</v>
      </c>
      <c r="T23" t="s">
        <v>412</v>
      </c>
      <c r="U23" t="s">
        <v>413</v>
      </c>
      <c r="V23" t="s">
        <v>414</v>
      </c>
      <c r="Z23" t="s">
        <v>415</v>
      </c>
      <c r="AA23" t="s">
        <v>416</v>
      </c>
      <c r="AC23" t="s">
        <v>417</v>
      </c>
      <c r="AD23" t="s">
        <v>456</v>
      </c>
      <c r="AE23" t="s">
        <v>457</v>
      </c>
      <c r="AF23" t="s">
        <v>290</v>
      </c>
      <c r="AG23" t="s">
        <v>421</v>
      </c>
      <c r="AH23">
        <v>78</v>
      </c>
      <c r="AI23" t="s">
        <v>420</v>
      </c>
      <c r="AJ23" t="s">
        <v>419</v>
      </c>
      <c r="AK23">
        <v>78</v>
      </c>
      <c r="AL23" t="s">
        <v>418</v>
      </c>
      <c r="AM23" t="s">
        <v>433</v>
      </c>
    </row>
    <row r="24" spans="1:43" s="2" customFormat="1" x14ac:dyDescent="0.2">
      <c r="A24" s="2" t="s">
        <v>472</v>
      </c>
      <c r="B24" s="2">
        <v>2020</v>
      </c>
      <c r="C24" s="2" t="s">
        <v>501</v>
      </c>
      <c r="D24" s="2" t="s">
        <v>49</v>
      </c>
      <c r="F24" s="2" t="e" vm="8">
        <v>#VALUE!</v>
      </c>
      <c r="G24" s="2" t="s">
        <v>498</v>
      </c>
      <c r="H24" s="2" t="s">
        <v>475</v>
      </c>
      <c r="I24" s="2" t="s">
        <v>476</v>
      </c>
      <c r="J24" s="2" t="s">
        <v>477</v>
      </c>
      <c r="K24" s="2" t="s">
        <v>37</v>
      </c>
      <c r="L24" s="2" t="s">
        <v>38</v>
      </c>
      <c r="M24" s="2" t="s">
        <v>39</v>
      </c>
      <c r="N24" s="2" t="s">
        <v>38</v>
      </c>
      <c r="O24" s="2" t="s">
        <v>39</v>
      </c>
      <c r="P24" s="2" t="s">
        <v>38</v>
      </c>
      <c r="Q24" s="2" t="s">
        <v>38</v>
      </c>
      <c r="S24" s="4">
        <v>0.76</v>
      </c>
      <c r="T24" s="2" t="s">
        <v>503</v>
      </c>
      <c r="U24" s="4">
        <v>0.92</v>
      </c>
      <c r="Z24" s="2" t="s">
        <v>473</v>
      </c>
      <c r="AC24" s="2" t="s">
        <v>83</v>
      </c>
      <c r="AD24" s="2" t="s">
        <v>456</v>
      </c>
      <c r="AE24" s="2" t="s">
        <v>434</v>
      </c>
      <c r="AF24" s="2" t="s">
        <v>290</v>
      </c>
      <c r="AG24" s="2">
        <v>6.7</v>
      </c>
      <c r="AH24" s="2">
        <v>25</v>
      </c>
      <c r="AI24" s="2">
        <v>2.1</v>
      </c>
      <c r="AJ24" s="2">
        <v>2.9</v>
      </c>
      <c r="AK24" s="2">
        <v>25</v>
      </c>
      <c r="AL24" s="2">
        <v>2.4</v>
      </c>
      <c r="AM24" s="2" t="s">
        <v>447</v>
      </c>
    </row>
    <row r="25" spans="1:43" s="2" customFormat="1" x14ac:dyDescent="0.2">
      <c r="A25" s="2" t="s">
        <v>472</v>
      </c>
      <c r="B25" s="2">
        <v>2020</v>
      </c>
      <c r="C25" s="2" t="s">
        <v>499</v>
      </c>
      <c r="D25" s="2" t="s">
        <v>31</v>
      </c>
      <c r="F25" s="2" t="e" vm="8">
        <v>#VALUE!</v>
      </c>
      <c r="G25" s="2" t="s">
        <v>498</v>
      </c>
      <c r="H25" s="2" t="s">
        <v>475</v>
      </c>
      <c r="I25" s="2" t="s">
        <v>476</v>
      </c>
      <c r="J25" s="2" t="s">
        <v>477</v>
      </c>
      <c r="K25" s="2" t="s">
        <v>37</v>
      </c>
      <c r="L25" s="2" t="s">
        <v>38</v>
      </c>
      <c r="M25" s="2" t="s">
        <v>39</v>
      </c>
      <c r="N25" s="2" t="s">
        <v>38</v>
      </c>
      <c r="O25" s="2" t="s">
        <v>39</v>
      </c>
      <c r="P25" s="2" t="s">
        <v>38</v>
      </c>
      <c r="Q25" s="2" t="s">
        <v>38</v>
      </c>
      <c r="S25" s="3">
        <v>0.76900000000000002</v>
      </c>
      <c r="T25" s="2" t="s">
        <v>502</v>
      </c>
      <c r="U25" s="3">
        <v>0.80800000000000005</v>
      </c>
      <c r="Z25" s="2" t="s">
        <v>500</v>
      </c>
      <c r="AC25" s="2" t="s">
        <v>83</v>
      </c>
      <c r="AD25" s="2" t="s">
        <v>456</v>
      </c>
      <c r="AE25" s="2" t="s">
        <v>434</v>
      </c>
      <c r="AF25" s="2" t="s">
        <v>290</v>
      </c>
      <c r="AG25" s="2">
        <v>6.8</v>
      </c>
      <c r="AH25" s="2">
        <v>26</v>
      </c>
      <c r="AI25" s="2">
        <v>2.2999999999999998</v>
      </c>
      <c r="AJ25" s="2">
        <v>5.5</v>
      </c>
      <c r="AK25" s="2">
        <v>26</v>
      </c>
      <c r="AL25" s="2">
        <v>3.4</v>
      </c>
      <c r="AM25" s="2" t="s">
        <v>447</v>
      </c>
    </row>
    <row r="26" spans="1:43" s="5" customFormat="1" x14ac:dyDescent="0.2">
      <c r="A26" s="5" t="s">
        <v>481</v>
      </c>
      <c r="B26" s="5">
        <v>2020</v>
      </c>
      <c r="C26" s="5" t="s">
        <v>507</v>
      </c>
      <c r="D26" s="5" t="s">
        <v>75</v>
      </c>
      <c r="F26" s="5" t="e" vm="7">
        <v>#VALUE!</v>
      </c>
      <c r="G26" s="5" t="s">
        <v>508</v>
      </c>
      <c r="H26" s="5" t="s">
        <v>479</v>
      </c>
      <c r="I26" s="5" t="s">
        <v>476</v>
      </c>
      <c r="J26" s="5" t="s">
        <v>480</v>
      </c>
      <c r="K26" s="5" t="s">
        <v>506</v>
      </c>
      <c r="L26" s="5" t="s">
        <v>38</v>
      </c>
      <c r="M26" s="5" t="s">
        <v>40</v>
      </c>
      <c r="N26" s="5" t="s">
        <v>38</v>
      </c>
      <c r="O26" s="5" t="s">
        <v>38</v>
      </c>
      <c r="P26" s="5" t="s">
        <v>38</v>
      </c>
      <c r="Q26" s="5" t="s">
        <v>39</v>
      </c>
      <c r="S26" s="6">
        <v>0.52800000000000002</v>
      </c>
      <c r="Z26" s="5" t="s">
        <v>478</v>
      </c>
      <c r="AC26" s="5" t="s">
        <v>83</v>
      </c>
      <c r="AN26" s="5" t="s">
        <v>536</v>
      </c>
    </row>
    <row r="27" spans="1:43" s="5" customFormat="1" x14ac:dyDescent="0.2">
      <c r="A27" s="5" t="s">
        <v>481</v>
      </c>
      <c r="B27" s="5">
        <v>2020</v>
      </c>
      <c r="C27" s="5" t="s">
        <v>285</v>
      </c>
      <c r="D27" s="5" t="s">
        <v>75</v>
      </c>
      <c r="F27" s="5" t="e" vm="7">
        <v>#VALUE!</v>
      </c>
      <c r="G27" s="5" t="s">
        <v>508</v>
      </c>
      <c r="H27" s="5" t="s">
        <v>479</v>
      </c>
      <c r="I27" s="5" t="s">
        <v>476</v>
      </c>
      <c r="J27" s="5" t="s">
        <v>480</v>
      </c>
      <c r="K27" s="5" t="s">
        <v>506</v>
      </c>
      <c r="L27" s="5" t="s">
        <v>38</v>
      </c>
      <c r="M27" s="5" t="s">
        <v>40</v>
      </c>
      <c r="N27" s="5" t="s">
        <v>38</v>
      </c>
      <c r="O27" s="5" t="s">
        <v>38</v>
      </c>
      <c r="P27" s="5" t="s">
        <v>38</v>
      </c>
      <c r="Q27" s="5" t="s">
        <v>39</v>
      </c>
      <c r="S27" s="6">
        <v>0.52900000000000003</v>
      </c>
      <c r="Z27" s="5" t="s">
        <v>478</v>
      </c>
      <c r="AC27" s="5" t="s">
        <v>83</v>
      </c>
      <c r="AN27" s="5" t="s">
        <v>536</v>
      </c>
    </row>
    <row r="28" spans="1:43" s="2" customFormat="1" x14ac:dyDescent="0.2">
      <c r="A28" s="2" t="s">
        <v>482</v>
      </c>
      <c r="B28" s="2">
        <v>2019</v>
      </c>
      <c r="C28" s="2" t="s">
        <v>91</v>
      </c>
      <c r="D28" s="2" t="s">
        <v>300</v>
      </c>
      <c r="F28" s="2" t="e" vm="5">
        <v>#VALUE!</v>
      </c>
      <c r="G28" s="2" t="s">
        <v>509</v>
      </c>
      <c r="H28" s="2" t="s">
        <v>484</v>
      </c>
      <c r="I28" s="2" t="s">
        <v>484</v>
      </c>
      <c r="J28" s="2" t="s">
        <v>485</v>
      </c>
      <c r="K28" s="2" t="s">
        <v>37</v>
      </c>
      <c r="L28" s="2" t="s">
        <v>38</v>
      </c>
      <c r="M28" s="2" t="s">
        <v>40</v>
      </c>
      <c r="N28" s="2" t="s">
        <v>38</v>
      </c>
      <c r="O28" s="2" t="s">
        <v>39</v>
      </c>
      <c r="P28" s="2" t="s">
        <v>39</v>
      </c>
      <c r="Q28" s="2" t="s">
        <v>40</v>
      </c>
      <c r="R28" s="2" t="s">
        <v>511</v>
      </c>
      <c r="S28" s="3">
        <v>0.76700000000000002</v>
      </c>
      <c r="T28" s="2" t="s">
        <v>513</v>
      </c>
      <c r="U28" s="3">
        <v>0.83330000000000004</v>
      </c>
      <c r="Z28" s="2" t="s">
        <v>483</v>
      </c>
      <c r="AC28" s="2" t="s">
        <v>83</v>
      </c>
      <c r="AD28" s="2" t="s">
        <v>456</v>
      </c>
      <c r="AE28" s="2" t="s">
        <v>434</v>
      </c>
      <c r="AF28" s="2" t="s">
        <v>290</v>
      </c>
      <c r="AG28" s="2">
        <v>31.43</v>
      </c>
      <c r="AH28" s="2">
        <v>30</v>
      </c>
      <c r="AI28" s="2">
        <v>18.18</v>
      </c>
      <c r="AJ28" s="2">
        <v>27.87</v>
      </c>
      <c r="AK28" s="2">
        <v>26</v>
      </c>
      <c r="AL28" s="2">
        <v>18.39</v>
      </c>
      <c r="AM28" s="2" t="s">
        <v>515</v>
      </c>
    </row>
    <row r="29" spans="1:43" s="2" customFormat="1" x14ac:dyDescent="0.2">
      <c r="A29" s="2" t="s">
        <v>482</v>
      </c>
      <c r="B29" s="2">
        <v>2019</v>
      </c>
      <c r="C29" s="2" t="s">
        <v>30</v>
      </c>
      <c r="D29" s="2" t="s">
        <v>31</v>
      </c>
      <c r="F29" s="2" t="e" vm="5">
        <v>#VALUE!</v>
      </c>
      <c r="G29" s="2" t="s">
        <v>509</v>
      </c>
      <c r="H29" s="2" t="s">
        <v>484</v>
      </c>
      <c r="I29" s="2" t="s">
        <v>484</v>
      </c>
      <c r="J29" s="2" t="s">
        <v>485</v>
      </c>
      <c r="K29" s="2" t="s">
        <v>37</v>
      </c>
      <c r="L29" s="2" t="s">
        <v>38</v>
      </c>
      <c r="M29" s="2" t="s">
        <v>40</v>
      </c>
      <c r="N29" s="2" t="s">
        <v>38</v>
      </c>
      <c r="O29" s="2" t="s">
        <v>39</v>
      </c>
      <c r="P29" s="2" t="s">
        <v>39</v>
      </c>
      <c r="Q29" s="2" t="s">
        <v>40</v>
      </c>
      <c r="R29" s="2" t="s">
        <v>512</v>
      </c>
      <c r="S29" s="3">
        <v>0.67700000000000005</v>
      </c>
      <c r="T29" s="2" t="s">
        <v>514</v>
      </c>
      <c r="U29" s="3">
        <v>0.74229999999999996</v>
      </c>
      <c r="Z29" s="2" t="s">
        <v>510</v>
      </c>
      <c r="AC29" s="2" t="s">
        <v>83</v>
      </c>
      <c r="AD29" s="2" t="s">
        <v>456</v>
      </c>
      <c r="AE29" s="2" t="s">
        <v>434</v>
      </c>
      <c r="AF29" s="2" t="s">
        <v>290</v>
      </c>
      <c r="AG29" s="2">
        <v>40.17</v>
      </c>
      <c r="AH29" s="2">
        <v>31</v>
      </c>
      <c r="AI29" s="2">
        <v>18.100000000000001</v>
      </c>
      <c r="AJ29" s="2">
        <v>40.700000000000003</v>
      </c>
      <c r="AK29" s="2">
        <v>28</v>
      </c>
      <c r="AL29" s="2">
        <v>17.66</v>
      </c>
      <c r="AM29" s="2" t="s">
        <v>515</v>
      </c>
    </row>
    <row r="30" spans="1:43" s="2" customFormat="1" x14ac:dyDescent="0.2">
      <c r="A30" s="2" t="s">
        <v>486</v>
      </c>
      <c r="B30" s="2">
        <v>2020</v>
      </c>
      <c r="C30" s="2" t="s">
        <v>355</v>
      </c>
      <c r="D30" s="2" t="s">
        <v>49</v>
      </c>
      <c r="F30" s="2" t="e" vm="1">
        <v>#VALUE!</v>
      </c>
      <c r="G30" s="2" t="s">
        <v>487</v>
      </c>
      <c r="H30" s="2" t="s">
        <v>488</v>
      </c>
      <c r="I30" s="2" t="s">
        <v>489</v>
      </c>
      <c r="J30" s="2" t="s">
        <v>165</v>
      </c>
      <c r="K30" s="2" t="s">
        <v>37</v>
      </c>
      <c r="L30" s="2" t="s">
        <v>490</v>
      </c>
      <c r="M30" s="2" t="s">
        <v>490</v>
      </c>
      <c r="N30" s="2" t="s">
        <v>40</v>
      </c>
      <c r="O30" s="2" t="s">
        <v>40</v>
      </c>
      <c r="P30" s="2" t="s">
        <v>40</v>
      </c>
      <c r="Q30" s="2" t="s">
        <v>40</v>
      </c>
      <c r="Z30" s="2" t="s">
        <v>523</v>
      </c>
      <c r="AC30" s="2" t="s">
        <v>83</v>
      </c>
      <c r="AD30" s="2" t="s">
        <v>456</v>
      </c>
      <c r="AE30" s="2" t="s">
        <v>457</v>
      </c>
      <c r="AF30" s="2" t="s">
        <v>290</v>
      </c>
      <c r="AG30" s="2">
        <v>55.36</v>
      </c>
      <c r="AH30" s="2">
        <v>157</v>
      </c>
      <c r="AI30" s="5">
        <f>0.45*SQRT(AH30)</f>
        <v>5.6384838387637508</v>
      </c>
      <c r="AJ30" s="2">
        <v>53.87</v>
      </c>
      <c r="AK30" s="2">
        <v>157</v>
      </c>
      <c r="AL30" s="5">
        <f>0.49*SQRT(AK30)</f>
        <v>6.1396824022094174</v>
      </c>
      <c r="AM30" s="2" t="s">
        <v>442</v>
      </c>
      <c r="AN30" s="5" t="s">
        <v>525</v>
      </c>
    </row>
    <row r="31" spans="1:43" s="2" customFormat="1" x14ac:dyDescent="0.2">
      <c r="A31" s="2" t="s">
        <v>486</v>
      </c>
      <c r="B31" s="2">
        <v>2020</v>
      </c>
      <c r="C31" s="2" t="s">
        <v>30</v>
      </c>
      <c r="D31" s="2" t="s">
        <v>31</v>
      </c>
      <c r="F31" s="2" t="e" vm="1">
        <v>#VALUE!</v>
      </c>
      <c r="G31" s="2" t="s">
        <v>487</v>
      </c>
      <c r="H31" s="2" t="s">
        <v>488</v>
      </c>
      <c r="I31" s="2" t="s">
        <v>489</v>
      </c>
      <c r="J31" s="2" t="s">
        <v>165</v>
      </c>
      <c r="K31" s="2" t="s">
        <v>37</v>
      </c>
      <c r="L31" s="2" t="s">
        <v>490</v>
      </c>
      <c r="M31" s="2" t="s">
        <v>490</v>
      </c>
      <c r="N31" s="2" t="s">
        <v>40</v>
      </c>
      <c r="O31" s="2" t="s">
        <v>40</v>
      </c>
      <c r="P31" s="2" t="s">
        <v>40</v>
      </c>
      <c r="Q31" s="2" t="s">
        <v>40</v>
      </c>
      <c r="Z31" s="2" t="s">
        <v>524</v>
      </c>
      <c r="AC31" s="2" t="s">
        <v>83</v>
      </c>
      <c r="AD31" s="2" t="s">
        <v>456</v>
      </c>
      <c r="AE31" s="2" t="s">
        <v>457</v>
      </c>
      <c r="AF31" s="2" t="s">
        <v>290</v>
      </c>
      <c r="AG31" s="2">
        <v>54.14</v>
      </c>
      <c r="AH31" s="2">
        <v>157</v>
      </c>
      <c r="AI31" s="5">
        <f>0.45*SQRT(AH31)</f>
        <v>5.6384838387637508</v>
      </c>
      <c r="AJ31" s="2">
        <v>19.61</v>
      </c>
      <c r="AK31" s="2">
        <v>157</v>
      </c>
      <c r="AL31" s="5">
        <f>0.49*SQRT(AK31)</f>
        <v>6.1396824022094174</v>
      </c>
      <c r="AM31" s="2" t="s">
        <v>442</v>
      </c>
      <c r="AN31" s="5" t="s">
        <v>525</v>
      </c>
    </row>
    <row r="32" spans="1:43" s="2" customFormat="1" x14ac:dyDescent="0.2">
      <c r="A32" s="2" t="s">
        <v>491</v>
      </c>
      <c r="B32" s="2">
        <v>2019</v>
      </c>
      <c r="C32" s="2" t="s">
        <v>91</v>
      </c>
      <c r="D32" s="2" t="s">
        <v>75</v>
      </c>
      <c r="F32" s="2" t="e" vm="2">
        <v>#VALUE!</v>
      </c>
      <c r="G32" s="2" t="s">
        <v>492</v>
      </c>
      <c r="H32" s="2" t="s">
        <v>493</v>
      </c>
      <c r="I32" s="2" t="s">
        <v>494</v>
      </c>
      <c r="J32" s="2" t="s">
        <v>165</v>
      </c>
      <c r="K32" s="2" t="s">
        <v>37</v>
      </c>
      <c r="L32" s="2" t="s">
        <v>490</v>
      </c>
      <c r="M32" s="2" t="s">
        <v>40</v>
      </c>
      <c r="N32" s="2" t="s">
        <v>38</v>
      </c>
      <c r="O32" s="2" t="s">
        <v>39</v>
      </c>
      <c r="P32" s="2" t="s">
        <v>39</v>
      </c>
      <c r="Q32" s="2" t="s">
        <v>40</v>
      </c>
      <c r="R32" s="2" t="s">
        <v>530</v>
      </c>
      <c r="T32" s="2" t="s">
        <v>532</v>
      </c>
      <c r="U32" s="4">
        <v>0.88</v>
      </c>
      <c r="Z32" s="2" t="s">
        <v>533</v>
      </c>
      <c r="AC32" s="2" t="s">
        <v>83</v>
      </c>
      <c r="AN32" s="5" t="s">
        <v>535</v>
      </c>
    </row>
    <row r="33" spans="1:40" s="2" customFormat="1" x14ac:dyDescent="0.2">
      <c r="A33" s="2" t="s">
        <v>491</v>
      </c>
      <c r="B33" s="2">
        <v>2019</v>
      </c>
      <c r="C33" s="2" t="s">
        <v>30</v>
      </c>
      <c r="D33" s="2" t="s">
        <v>31</v>
      </c>
      <c r="F33" s="2" t="e" vm="2">
        <v>#VALUE!</v>
      </c>
      <c r="G33" s="2" t="s">
        <v>492</v>
      </c>
      <c r="H33" s="2" t="s">
        <v>493</v>
      </c>
      <c r="I33" s="2" t="s">
        <v>494</v>
      </c>
      <c r="J33" s="2" t="s">
        <v>165</v>
      </c>
      <c r="K33" s="2" t="s">
        <v>37</v>
      </c>
      <c r="L33" s="2" t="s">
        <v>490</v>
      </c>
      <c r="M33" s="2" t="s">
        <v>40</v>
      </c>
      <c r="N33" s="2" t="s">
        <v>38</v>
      </c>
      <c r="O33" s="2" t="s">
        <v>39</v>
      </c>
      <c r="P33" s="2" t="s">
        <v>39</v>
      </c>
      <c r="Q33" s="2" t="s">
        <v>40</v>
      </c>
      <c r="R33" s="2" t="s">
        <v>529</v>
      </c>
      <c r="T33" s="2" t="s">
        <v>531</v>
      </c>
      <c r="U33" s="4">
        <v>0.72</v>
      </c>
      <c r="Z33" s="2" t="s">
        <v>534</v>
      </c>
      <c r="AC33" s="2" t="s">
        <v>83</v>
      </c>
      <c r="AN33" s="5" t="s">
        <v>535</v>
      </c>
    </row>
    <row r="34" spans="1:40" s="2" customFormat="1" x14ac:dyDescent="0.2">
      <c r="A34" s="2" t="s">
        <v>495</v>
      </c>
      <c r="B34" s="2">
        <v>2019</v>
      </c>
      <c r="C34" s="2" t="s">
        <v>91</v>
      </c>
      <c r="D34" s="2" t="s">
        <v>75</v>
      </c>
      <c r="F34" s="2" t="e" vm="7">
        <v>#VALUE!</v>
      </c>
      <c r="G34" s="2" t="s">
        <v>537</v>
      </c>
      <c r="H34" s="2" t="s">
        <v>497</v>
      </c>
      <c r="I34" s="2" t="s">
        <v>35</v>
      </c>
      <c r="J34" s="2" t="s">
        <v>94</v>
      </c>
      <c r="K34" s="2" t="s">
        <v>37</v>
      </c>
      <c r="L34" s="2" t="s">
        <v>38</v>
      </c>
      <c r="M34" s="2" t="s">
        <v>490</v>
      </c>
      <c r="N34" s="2" t="s">
        <v>39</v>
      </c>
      <c r="O34" s="2" t="s">
        <v>39</v>
      </c>
      <c r="P34" s="2" t="s">
        <v>39</v>
      </c>
      <c r="Q34" s="2" t="s">
        <v>39</v>
      </c>
      <c r="S34" s="3">
        <v>0.71430000000000005</v>
      </c>
      <c r="T34" s="2" t="s">
        <v>540</v>
      </c>
      <c r="U34" s="3">
        <v>0.55359999999999998</v>
      </c>
      <c r="Z34" s="2" t="s">
        <v>538</v>
      </c>
      <c r="AC34" s="2" t="s">
        <v>83</v>
      </c>
      <c r="AN34" s="5" t="s">
        <v>535</v>
      </c>
    </row>
    <row r="35" spans="1:40" s="2" customFormat="1" x14ac:dyDescent="0.2">
      <c r="A35" s="2" t="s">
        <v>495</v>
      </c>
      <c r="B35" s="2">
        <v>2019</v>
      </c>
      <c r="C35" s="2" t="s">
        <v>285</v>
      </c>
      <c r="D35" s="2" t="s">
        <v>31</v>
      </c>
      <c r="F35" s="2" t="e" vm="7">
        <v>#VALUE!</v>
      </c>
      <c r="G35" s="2" t="s">
        <v>537</v>
      </c>
      <c r="H35" s="2" t="s">
        <v>497</v>
      </c>
      <c r="I35" s="2" t="s">
        <v>35</v>
      </c>
      <c r="J35" s="2" t="s">
        <v>94</v>
      </c>
      <c r="K35" s="2" t="s">
        <v>37</v>
      </c>
      <c r="L35" s="2" t="s">
        <v>38</v>
      </c>
      <c r="M35" s="2" t="s">
        <v>490</v>
      </c>
      <c r="N35" s="2" t="s">
        <v>39</v>
      </c>
      <c r="O35" s="2" t="s">
        <v>39</v>
      </c>
      <c r="P35" s="2" t="s">
        <v>39</v>
      </c>
      <c r="Q35" s="2" t="s">
        <v>39</v>
      </c>
      <c r="S35" s="3">
        <v>0.63390000000000002</v>
      </c>
      <c r="T35" s="2" t="s">
        <v>541</v>
      </c>
      <c r="U35" s="3">
        <v>0.69640000000000002</v>
      </c>
      <c r="Z35" s="2" t="s">
        <v>539</v>
      </c>
      <c r="AC35" s="2" t="s">
        <v>83</v>
      </c>
      <c r="AN35" s="5" t="s">
        <v>535</v>
      </c>
    </row>
    <row r="36" spans="1:40" s="2" customFormat="1" x14ac:dyDescent="0.2">
      <c r="A36" s="2" t="s">
        <v>496</v>
      </c>
      <c r="B36" s="2">
        <v>2020</v>
      </c>
      <c r="C36" s="2" t="s">
        <v>91</v>
      </c>
      <c r="D36" s="2" t="s">
        <v>75</v>
      </c>
      <c r="F36" s="2" t="e" vm="2">
        <v>#VALUE!</v>
      </c>
      <c r="G36" s="2" t="s">
        <v>552</v>
      </c>
      <c r="K36" s="2" t="s">
        <v>37</v>
      </c>
      <c r="L36" s="2" t="s">
        <v>38</v>
      </c>
      <c r="M36" s="2" t="s">
        <v>490</v>
      </c>
      <c r="N36" s="2" t="s">
        <v>38</v>
      </c>
      <c r="O36" s="2" t="s">
        <v>38</v>
      </c>
      <c r="P36" s="2" t="s">
        <v>38</v>
      </c>
      <c r="Q36" s="2" t="s">
        <v>38</v>
      </c>
      <c r="Z36" s="2" t="s">
        <v>553</v>
      </c>
      <c r="AC36" s="2" t="s">
        <v>83</v>
      </c>
      <c r="AN36" s="5" t="s">
        <v>535</v>
      </c>
    </row>
    <row r="37" spans="1:40" s="2" customFormat="1" x14ac:dyDescent="0.2">
      <c r="A37" s="2" t="s">
        <v>496</v>
      </c>
      <c r="B37" s="2">
        <v>2020</v>
      </c>
      <c r="C37" s="2" t="s">
        <v>285</v>
      </c>
      <c r="D37" s="2" t="s">
        <v>31</v>
      </c>
      <c r="F37" s="2" t="e" vm="2">
        <v>#VALUE!</v>
      </c>
      <c r="G37" s="2" t="s">
        <v>552</v>
      </c>
      <c r="K37" s="2" t="s">
        <v>37</v>
      </c>
      <c r="L37" s="2" t="s">
        <v>38</v>
      </c>
      <c r="M37" s="2" t="s">
        <v>490</v>
      </c>
      <c r="N37" s="2" t="s">
        <v>38</v>
      </c>
      <c r="O37" s="2" t="s">
        <v>38</v>
      </c>
      <c r="P37" s="2" t="s">
        <v>38</v>
      </c>
      <c r="Q37" s="2" t="s">
        <v>38</v>
      </c>
      <c r="Z37" s="2" t="s">
        <v>554</v>
      </c>
      <c r="AC37" s="2" t="s">
        <v>83</v>
      </c>
      <c r="AN37" s="5" t="s">
        <v>535</v>
      </c>
    </row>
  </sheetData>
  <autoFilter ref="A1:AQ19"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9"/>
  <sheetViews>
    <sheetView zoomScale="82" zoomScaleNormal="50" workbookViewId="0">
      <pane xSplit="3" ySplit="9" topLeftCell="D10" activePane="bottomRight" state="frozen"/>
      <selection pane="topRight" activeCell="D1" sqref="D1"/>
      <selection pane="bottomLeft" activeCell="A10" sqref="A10"/>
      <selection pane="bottomRight" activeCell="I19" sqref="I19"/>
    </sheetView>
  </sheetViews>
  <sheetFormatPr baseColWidth="10" defaultRowHeight="15" x14ac:dyDescent="0.2"/>
  <cols>
    <col min="2" max="39" width="10.83203125" customWidth="1"/>
  </cols>
  <sheetData>
    <row r="1" spans="1:54"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280</v>
      </c>
      <c r="U1" t="s">
        <v>281</v>
      </c>
      <c r="V1" t="s">
        <v>11</v>
      </c>
      <c r="W1" t="s">
        <v>12</v>
      </c>
      <c r="X1" t="s">
        <v>13</v>
      </c>
      <c r="Y1" t="s">
        <v>14</v>
      </c>
      <c r="Z1" t="s">
        <v>15</v>
      </c>
      <c r="AA1" t="s">
        <v>16</v>
      </c>
      <c r="AB1" t="s">
        <v>17</v>
      </c>
      <c r="AC1" t="s">
        <v>18</v>
      </c>
      <c r="AD1" t="s">
        <v>19</v>
      </c>
      <c r="AE1" t="s">
        <v>20</v>
      </c>
      <c r="AF1" t="s">
        <v>22</v>
      </c>
      <c r="AG1" t="s">
        <v>23</v>
      </c>
      <c r="AH1" t="s">
        <v>24</v>
      </c>
      <c r="AI1" t="s">
        <v>25</v>
      </c>
      <c r="AJ1" t="s">
        <v>282</v>
      </c>
      <c r="AK1" t="s">
        <v>26</v>
      </c>
      <c r="AL1" t="s">
        <v>283</v>
      </c>
      <c r="AM1" t="s">
        <v>28</v>
      </c>
      <c r="AN1" t="s">
        <v>455</v>
      </c>
      <c r="AO1" t="s">
        <v>425</v>
      </c>
      <c r="AP1" t="s">
        <v>435</v>
      </c>
      <c r="AQ1" t="s">
        <v>426</v>
      </c>
      <c r="AR1" t="s">
        <v>427</v>
      </c>
      <c r="AS1" t="s">
        <v>428</v>
      </c>
      <c r="AT1" t="s">
        <v>429</v>
      </c>
      <c r="AU1" t="s">
        <v>430</v>
      </c>
      <c r="AV1" t="s">
        <v>431</v>
      </c>
      <c r="AW1" t="s">
        <v>432</v>
      </c>
      <c r="AX1" t="s">
        <v>443</v>
      </c>
      <c r="AY1" t="s">
        <v>444</v>
      </c>
      <c r="AZ1" t="s">
        <v>445</v>
      </c>
      <c r="BA1" t="s">
        <v>446</v>
      </c>
      <c r="BB1" t="s">
        <v>432</v>
      </c>
    </row>
    <row r="2" spans="1:54" s="9" customFormat="1" x14ac:dyDescent="0.2">
      <c r="A2" s="9" t="s">
        <v>90</v>
      </c>
      <c r="B2" s="9">
        <v>2011</v>
      </c>
      <c r="C2" s="9" t="s">
        <v>91</v>
      </c>
      <c r="D2" s="9" t="s">
        <v>49</v>
      </c>
      <c r="E2" s="9" t="s">
        <v>50</v>
      </c>
      <c r="F2" s="9" t="s">
        <v>92</v>
      </c>
      <c r="G2" s="9" t="s">
        <v>93</v>
      </c>
      <c r="H2" s="9" t="s">
        <v>34</v>
      </c>
      <c r="I2" s="9" t="s">
        <v>35</v>
      </c>
      <c r="J2" s="9" t="s">
        <v>94</v>
      </c>
      <c r="K2" s="9" t="s">
        <v>37</v>
      </c>
      <c r="V2" s="9" t="s">
        <v>38</v>
      </c>
      <c r="W2" s="9" t="s">
        <v>39</v>
      </c>
      <c r="X2" s="9" t="s">
        <v>38</v>
      </c>
      <c r="Y2" s="9" t="s">
        <v>40</v>
      </c>
      <c r="Z2" s="9" t="s">
        <v>39</v>
      </c>
      <c r="AA2" s="9" t="s">
        <v>40</v>
      </c>
      <c r="AB2" s="9" t="s">
        <v>95</v>
      </c>
      <c r="AC2" s="9" t="s">
        <v>96</v>
      </c>
      <c r="AD2" s="9" t="s">
        <v>97</v>
      </c>
      <c r="AE2" s="9" t="s">
        <v>98</v>
      </c>
      <c r="AI2" s="9" t="s">
        <v>99</v>
      </c>
      <c r="AK2" s="9" t="s">
        <v>100</v>
      </c>
      <c r="AM2" s="9" t="s">
        <v>57</v>
      </c>
      <c r="AN2" s="9" t="s">
        <v>453</v>
      </c>
      <c r="AO2" s="9" t="s">
        <v>454</v>
      </c>
      <c r="AP2" s="9" t="s">
        <v>436</v>
      </c>
      <c r="AT2" s="9">
        <v>-0.14000000000000001</v>
      </c>
      <c r="AU2" s="9">
        <v>27</v>
      </c>
      <c r="AV2" s="9">
        <v>0.26500000000000001</v>
      </c>
      <c r="AX2" s="5" t="s">
        <v>548</v>
      </c>
    </row>
    <row r="3" spans="1:54" s="9" customFormat="1" x14ac:dyDescent="0.2">
      <c r="A3" s="9" t="s">
        <v>90</v>
      </c>
      <c r="B3" s="9">
        <v>2011</v>
      </c>
      <c r="C3" s="9" t="s">
        <v>101</v>
      </c>
      <c r="D3" s="9" t="s">
        <v>31</v>
      </c>
      <c r="E3" s="9" t="s">
        <v>31</v>
      </c>
      <c r="F3" s="9" t="s">
        <v>92</v>
      </c>
      <c r="G3" s="9" t="s">
        <v>93</v>
      </c>
      <c r="H3" s="9" t="s">
        <v>34</v>
      </c>
      <c r="I3" s="9" t="s">
        <v>35</v>
      </c>
      <c r="J3" s="9" t="s">
        <v>94</v>
      </c>
      <c r="K3" s="9" t="s">
        <v>37</v>
      </c>
      <c r="V3" s="9" t="s">
        <v>38</v>
      </c>
      <c r="W3" s="9" t="s">
        <v>39</v>
      </c>
      <c r="X3" s="9" t="s">
        <v>38</v>
      </c>
      <c r="Y3" s="9" t="s">
        <v>40</v>
      </c>
      <c r="Z3" s="9" t="s">
        <v>39</v>
      </c>
      <c r="AA3" s="9" t="s">
        <v>40</v>
      </c>
      <c r="AB3" s="9" t="s">
        <v>102</v>
      </c>
      <c r="AC3" s="9" t="s">
        <v>103</v>
      </c>
      <c r="AD3" s="9" t="s">
        <v>104</v>
      </c>
      <c r="AE3" s="9" t="s">
        <v>105</v>
      </c>
      <c r="AI3" s="9" t="s">
        <v>106</v>
      </c>
      <c r="AK3" s="9" t="s">
        <v>107</v>
      </c>
      <c r="AM3" s="9" t="s">
        <v>47</v>
      </c>
      <c r="AN3" s="9" t="s">
        <v>453</v>
      </c>
      <c r="AO3" s="9" t="s">
        <v>454</v>
      </c>
      <c r="AP3" s="9" t="s">
        <v>436</v>
      </c>
      <c r="AU3" s="9">
        <v>29</v>
      </c>
      <c r="AX3" s="5" t="s">
        <v>548</v>
      </c>
    </row>
    <row r="4" spans="1:54" s="9" customFormat="1" x14ac:dyDescent="0.2">
      <c r="A4" s="9" t="s">
        <v>90</v>
      </c>
      <c r="B4" s="9">
        <v>2011</v>
      </c>
      <c r="C4" s="9" t="s">
        <v>91</v>
      </c>
      <c r="D4" s="9" t="s">
        <v>49</v>
      </c>
      <c r="E4" s="9" t="s">
        <v>50</v>
      </c>
      <c r="F4" s="9" t="s">
        <v>92</v>
      </c>
      <c r="G4" s="9" t="s">
        <v>93</v>
      </c>
      <c r="H4" s="9" t="s">
        <v>34</v>
      </c>
      <c r="I4" s="9" t="s">
        <v>35</v>
      </c>
      <c r="J4" s="9" t="s">
        <v>94</v>
      </c>
      <c r="K4" s="9" t="s">
        <v>37</v>
      </c>
      <c r="V4" s="9" t="s">
        <v>38</v>
      </c>
      <c r="W4" s="9" t="s">
        <v>39</v>
      </c>
      <c r="X4" s="9" t="s">
        <v>38</v>
      </c>
      <c r="Y4" s="9" t="s">
        <v>40</v>
      </c>
      <c r="Z4" s="9" t="s">
        <v>39</v>
      </c>
      <c r="AA4" s="9" t="s">
        <v>40</v>
      </c>
      <c r="AB4" s="9" t="s">
        <v>95</v>
      </c>
      <c r="AC4" s="9" t="s">
        <v>96</v>
      </c>
      <c r="AD4" s="9" t="s">
        <v>97</v>
      </c>
      <c r="AE4" s="9" t="s">
        <v>98</v>
      </c>
      <c r="AI4" s="9" t="s">
        <v>99</v>
      </c>
      <c r="AK4" s="9" t="s">
        <v>100</v>
      </c>
      <c r="AM4" s="9" t="s">
        <v>57</v>
      </c>
      <c r="AN4" s="9" t="s">
        <v>547</v>
      </c>
      <c r="AO4" s="9" t="s">
        <v>460</v>
      </c>
      <c r="AP4" s="9" t="s">
        <v>436</v>
      </c>
      <c r="AT4" s="9">
        <v>0.1</v>
      </c>
      <c r="AU4" s="9">
        <v>27</v>
      </c>
      <c r="AV4" s="9">
        <v>0.28749999999999998</v>
      </c>
      <c r="AX4" s="5" t="s">
        <v>548</v>
      </c>
    </row>
    <row r="5" spans="1:54" s="9" customFormat="1" x14ac:dyDescent="0.2">
      <c r="A5" s="9" t="s">
        <v>90</v>
      </c>
      <c r="B5" s="9">
        <v>2011</v>
      </c>
      <c r="C5" s="9" t="s">
        <v>101</v>
      </c>
      <c r="D5" s="9" t="s">
        <v>31</v>
      </c>
      <c r="E5" s="9" t="s">
        <v>31</v>
      </c>
      <c r="F5" s="9" t="s">
        <v>92</v>
      </c>
      <c r="G5" s="9" t="s">
        <v>93</v>
      </c>
      <c r="H5" s="9" t="s">
        <v>34</v>
      </c>
      <c r="I5" s="9" t="s">
        <v>35</v>
      </c>
      <c r="J5" s="9" t="s">
        <v>94</v>
      </c>
      <c r="K5" s="9" t="s">
        <v>37</v>
      </c>
      <c r="V5" s="9" t="s">
        <v>38</v>
      </c>
      <c r="W5" s="9" t="s">
        <v>39</v>
      </c>
      <c r="X5" s="9" t="s">
        <v>38</v>
      </c>
      <c r="Y5" s="9" t="s">
        <v>40</v>
      </c>
      <c r="Z5" s="9" t="s">
        <v>39</v>
      </c>
      <c r="AA5" s="9" t="s">
        <v>40</v>
      </c>
      <c r="AB5" s="9" t="s">
        <v>102</v>
      </c>
      <c r="AC5" s="9" t="s">
        <v>103</v>
      </c>
      <c r="AD5" s="9" t="s">
        <v>104</v>
      </c>
      <c r="AE5" s="9" t="s">
        <v>105</v>
      </c>
      <c r="AI5" s="9" t="s">
        <v>106</v>
      </c>
      <c r="AK5" s="9" t="s">
        <v>107</v>
      </c>
      <c r="AM5" s="9" t="s">
        <v>47</v>
      </c>
      <c r="AN5" s="9" t="s">
        <v>547</v>
      </c>
      <c r="AO5" s="9" t="s">
        <v>460</v>
      </c>
      <c r="AP5" s="9" t="s">
        <v>436</v>
      </c>
      <c r="AU5" s="9">
        <v>29</v>
      </c>
      <c r="AX5" s="5" t="s">
        <v>548</v>
      </c>
    </row>
    <row r="6" spans="1:54" s="9" customFormat="1" x14ac:dyDescent="0.2">
      <c r="A6" s="9" t="s">
        <v>90</v>
      </c>
      <c r="B6" s="9">
        <v>2011</v>
      </c>
      <c r="C6" s="9" t="s">
        <v>91</v>
      </c>
      <c r="D6" s="9" t="s">
        <v>49</v>
      </c>
      <c r="E6" s="9" t="s">
        <v>50</v>
      </c>
      <c r="F6" s="9" t="s">
        <v>92</v>
      </c>
      <c r="G6" s="9" t="s">
        <v>93</v>
      </c>
      <c r="H6" s="9" t="s">
        <v>34</v>
      </c>
      <c r="I6" s="9" t="s">
        <v>35</v>
      </c>
      <c r="J6" s="9" t="s">
        <v>94</v>
      </c>
      <c r="K6" s="9" t="s">
        <v>37</v>
      </c>
      <c r="V6" s="9" t="s">
        <v>38</v>
      </c>
      <c r="W6" s="9" t="s">
        <v>39</v>
      </c>
      <c r="X6" s="9" t="s">
        <v>38</v>
      </c>
      <c r="Y6" s="9" t="s">
        <v>40</v>
      </c>
      <c r="Z6" s="9" t="s">
        <v>39</v>
      </c>
      <c r="AA6" s="9" t="s">
        <v>40</v>
      </c>
      <c r="AB6" s="9" t="s">
        <v>95</v>
      </c>
      <c r="AC6" s="9" t="s">
        <v>96</v>
      </c>
      <c r="AD6" s="9" t="s">
        <v>97</v>
      </c>
      <c r="AE6" s="9" t="s">
        <v>98</v>
      </c>
      <c r="AI6" s="9" t="s">
        <v>99</v>
      </c>
      <c r="AK6" s="9" t="s">
        <v>100</v>
      </c>
      <c r="AM6" s="9" t="s">
        <v>57</v>
      </c>
      <c r="AN6" s="9" t="s">
        <v>452</v>
      </c>
      <c r="AO6" s="9" t="s">
        <v>451</v>
      </c>
      <c r="AP6" s="9" t="s">
        <v>436</v>
      </c>
      <c r="AT6" s="9">
        <v>-0.09</v>
      </c>
      <c r="AU6" s="9">
        <v>27</v>
      </c>
      <c r="AV6" s="9">
        <v>0.28000000000000003</v>
      </c>
      <c r="AX6" s="5" t="s">
        <v>548</v>
      </c>
    </row>
    <row r="7" spans="1:54" s="9" customFormat="1" x14ac:dyDescent="0.2">
      <c r="A7" s="9" t="s">
        <v>90</v>
      </c>
      <c r="B7" s="9">
        <v>2011</v>
      </c>
      <c r="C7" s="9" t="s">
        <v>101</v>
      </c>
      <c r="D7" s="9" t="s">
        <v>31</v>
      </c>
      <c r="E7" s="9" t="s">
        <v>31</v>
      </c>
      <c r="F7" s="9" t="s">
        <v>92</v>
      </c>
      <c r="G7" s="9" t="s">
        <v>93</v>
      </c>
      <c r="H7" s="9" t="s">
        <v>34</v>
      </c>
      <c r="I7" s="9" t="s">
        <v>35</v>
      </c>
      <c r="J7" s="9" t="s">
        <v>94</v>
      </c>
      <c r="K7" s="9" t="s">
        <v>37</v>
      </c>
      <c r="V7" s="9" t="s">
        <v>38</v>
      </c>
      <c r="W7" s="9" t="s">
        <v>39</v>
      </c>
      <c r="X7" s="9" t="s">
        <v>38</v>
      </c>
      <c r="Y7" s="9" t="s">
        <v>40</v>
      </c>
      <c r="Z7" s="9" t="s">
        <v>39</v>
      </c>
      <c r="AA7" s="9" t="s">
        <v>40</v>
      </c>
      <c r="AB7" s="9" t="s">
        <v>102</v>
      </c>
      <c r="AC7" s="9" t="s">
        <v>103</v>
      </c>
      <c r="AD7" s="9" t="s">
        <v>104</v>
      </c>
      <c r="AE7" s="9" t="s">
        <v>105</v>
      </c>
      <c r="AI7" s="9" t="s">
        <v>106</v>
      </c>
      <c r="AK7" s="9" t="s">
        <v>107</v>
      </c>
      <c r="AM7" s="9" t="s">
        <v>47</v>
      </c>
      <c r="AN7" s="9" t="s">
        <v>452</v>
      </c>
      <c r="AO7" s="9" t="s">
        <v>451</v>
      </c>
      <c r="AP7" s="9" t="s">
        <v>436</v>
      </c>
      <c r="AU7" s="9">
        <v>29</v>
      </c>
    </row>
    <row r="8" spans="1:54" x14ac:dyDescent="0.2">
      <c r="A8" t="s">
        <v>338</v>
      </c>
      <c r="B8">
        <v>2014</v>
      </c>
      <c r="C8" t="s">
        <v>339</v>
      </c>
      <c r="D8" t="s">
        <v>31</v>
      </c>
      <c r="E8" t="s">
        <v>31</v>
      </c>
      <c r="F8" t="s">
        <v>59</v>
      </c>
      <c r="G8" t="s">
        <v>340</v>
      </c>
      <c r="H8" t="s">
        <v>113</v>
      </c>
      <c r="I8" t="s">
        <v>35</v>
      </c>
      <c r="J8" t="s">
        <v>61</v>
      </c>
      <c r="V8" t="s">
        <v>40</v>
      </c>
      <c r="W8" t="s">
        <v>40</v>
      </c>
      <c r="X8" t="s">
        <v>40</v>
      </c>
      <c r="Y8" t="s">
        <v>40</v>
      </c>
      <c r="Z8" t="s">
        <v>39</v>
      </c>
      <c r="AA8" t="s">
        <v>40</v>
      </c>
      <c r="AE8" t="s">
        <v>341</v>
      </c>
      <c r="AN8" t="s">
        <v>458</v>
      </c>
      <c r="AO8" t="s">
        <v>457</v>
      </c>
      <c r="AP8" t="s">
        <v>290</v>
      </c>
      <c r="AQ8" t="s">
        <v>349</v>
      </c>
      <c r="AR8" t="s">
        <v>343</v>
      </c>
      <c r="AS8" t="s">
        <v>350</v>
      </c>
      <c r="AT8" t="s">
        <v>347</v>
      </c>
      <c r="AU8" t="s">
        <v>343</v>
      </c>
      <c r="AV8" t="s">
        <v>348</v>
      </c>
    </row>
    <row r="9" spans="1:54" x14ac:dyDescent="0.2">
      <c r="A9" t="s">
        <v>338</v>
      </c>
      <c r="B9">
        <v>2014</v>
      </c>
      <c r="C9" t="s">
        <v>355</v>
      </c>
      <c r="D9" t="s">
        <v>75</v>
      </c>
      <c r="E9" t="s">
        <v>110</v>
      </c>
      <c r="F9" t="s">
        <v>59</v>
      </c>
      <c r="G9" t="s">
        <v>340</v>
      </c>
      <c r="H9" t="s">
        <v>113</v>
      </c>
      <c r="I9" t="s">
        <v>35</v>
      </c>
      <c r="J9" t="s">
        <v>61</v>
      </c>
      <c r="V9" t="s">
        <v>40</v>
      </c>
      <c r="W9" t="s">
        <v>40</v>
      </c>
      <c r="X9" t="s">
        <v>40</v>
      </c>
      <c r="Y9" t="s">
        <v>40</v>
      </c>
      <c r="Z9" t="s">
        <v>39</v>
      </c>
      <c r="AA9" t="s">
        <v>40</v>
      </c>
      <c r="AE9" t="s">
        <v>341</v>
      </c>
      <c r="AN9" t="s">
        <v>458</v>
      </c>
      <c r="AO9" t="s">
        <v>457</v>
      </c>
      <c r="AP9" t="s">
        <v>290</v>
      </c>
      <c r="AQ9" t="s">
        <v>157</v>
      </c>
      <c r="AR9" t="s">
        <v>343</v>
      </c>
      <c r="AS9" t="s">
        <v>364</v>
      </c>
      <c r="AT9" t="s">
        <v>362</v>
      </c>
      <c r="AU9" t="s">
        <v>343</v>
      </c>
      <c r="AV9" t="s">
        <v>363</v>
      </c>
      <c r="AY9" t="s">
        <v>311</v>
      </c>
      <c r="AZ9" t="s">
        <v>343</v>
      </c>
      <c r="BA9" t="s">
        <v>251</v>
      </c>
    </row>
    <row r="10" spans="1:54" s="2" customFormat="1" x14ac:dyDescent="0.2">
      <c r="A10" s="2" t="s">
        <v>472</v>
      </c>
      <c r="B10" s="2">
        <v>2020</v>
      </c>
      <c r="C10" s="2" t="s">
        <v>501</v>
      </c>
      <c r="D10" s="2" t="s">
        <v>49</v>
      </c>
      <c r="F10" s="2" t="s">
        <v>474</v>
      </c>
      <c r="G10" s="2" t="s">
        <v>498</v>
      </c>
      <c r="H10" s="2" t="s">
        <v>475</v>
      </c>
      <c r="I10" s="2" t="s">
        <v>476</v>
      </c>
      <c r="J10" s="2" t="s">
        <v>477</v>
      </c>
      <c r="K10" s="2" t="s">
        <v>37</v>
      </c>
      <c r="V10" s="2" t="s">
        <v>38</v>
      </c>
      <c r="W10" s="2" t="s">
        <v>39</v>
      </c>
      <c r="X10" s="2" t="s">
        <v>38</v>
      </c>
      <c r="Y10" s="2" t="s">
        <v>39</v>
      </c>
      <c r="Z10" s="2" t="s">
        <v>38</v>
      </c>
      <c r="AA10" s="2" t="s">
        <v>38</v>
      </c>
      <c r="AC10" s="4">
        <v>0.76</v>
      </c>
      <c r="AD10" s="2" t="s">
        <v>503</v>
      </c>
      <c r="AE10" s="4">
        <v>0.92</v>
      </c>
      <c r="AI10" s="2" t="s">
        <v>473</v>
      </c>
      <c r="AM10" s="2" t="s">
        <v>83</v>
      </c>
      <c r="AN10" s="2" t="s">
        <v>504</v>
      </c>
      <c r="AO10" s="2" t="s">
        <v>505</v>
      </c>
      <c r="AP10" s="2" t="s">
        <v>290</v>
      </c>
      <c r="AQ10" s="2">
        <v>4.0999999999999996</v>
      </c>
      <c r="AR10" s="2">
        <v>25</v>
      </c>
      <c r="AS10" s="2">
        <v>3</v>
      </c>
      <c r="AT10" s="2">
        <v>0.9</v>
      </c>
      <c r="AU10" s="2">
        <v>25</v>
      </c>
      <c r="AV10" s="2">
        <v>1</v>
      </c>
      <c r="AW10" s="2" t="s">
        <v>447</v>
      </c>
    </row>
    <row r="11" spans="1:54" s="2" customFormat="1" x14ac:dyDescent="0.2">
      <c r="A11" s="2" t="s">
        <v>472</v>
      </c>
      <c r="B11" s="2">
        <v>2020</v>
      </c>
      <c r="C11" s="2" t="s">
        <v>499</v>
      </c>
      <c r="D11" s="2" t="s">
        <v>31</v>
      </c>
      <c r="F11" s="2" t="s">
        <v>474</v>
      </c>
      <c r="G11" s="2" t="s">
        <v>498</v>
      </c>
      <c r="H11" s="2" t="s">
        <v>475</v>
      </c>
      <c r="I11" s="2" t="s">
        <v>476</v>
      </c>
      <c r="J11" s="2" t="s">
        <v>477</v>
      </c>
      <c r="K11" s="2" t="s">
        <v>37</v>
      </c>
      <c r="V11" s="2" t="s">
        <v>38</v>
      </c>
      <c r="W11" s="2" t="s">
        <v>39</v>
      </c>
      <c r="X11" s="2" t="s">
        <v>38</v>
      </c>
      <c r="Y11" s="2" t="s">
        <v>39</v>
      </c>
      <c r="Z11" s="2" t="s">
        <v>38</v>
      </c>
      <c r="AA11" s="2" t="s">
        <v>38</v>
      </c>
      <c r="AC11" s="3">
        <v>0.76900000000000002</v>
      </c>
      <c r="AD11" s="2" t="s">
        <v>502</v>
      </c>
      <c r="AE11" s="3">
        <v>0.80800000000000005</v>
      </c>
      <c r="AI11" s="2" t="s">
        <v>500</v>
      </c>
      <c r="AM11" s="2" t="s">
        <v>83</v>
      </c>
      <c r="AN11" s="2" t="s">
        <v>504</v>
      </c>
      <c r="AO11" s="2" t="s">
        <v>505</v>
      </c>
      <c r="AP11" s="2" t="s">
        <v>290</v>
      </c>
      <c r="AQ11" s="2">
        <v>4.5999999999999996</v>
      </c>
      <c r="AR11" s="2">
        <v>26</v>
      </c>
      <c r="AS11" s="2">
        <v>2.8</v>
      </c>
      <c r="AT11" s="2">
        <v>2.9</v>
      </c>
      <c r="AU11" s="2">
        <v>26</v>
      </c>
      <c r="AV11" s="2">
        <v>2.8</v>
      </c>
      <c r="AW11" s="2" t="s">
        <v>447</v>
      </c>
    </row>
    <row r="12" spans="1:54" s="5" customFormat="1" x14ac:dyDescent="0.2">
      <c r="A12" s="5" t="s">
        <v>482</v>
      </c>
      <c r="B12" s="5">
        <v>2019</v>
      </c>
      <c r="C12" s="5" t="s">
        <v>91</v>
      </c>
      <c r="D12" s="5" t="s">
        <v>300</v>
      </c>
      <c r="F12" s="5" t="s">
        <v>163</v>
      </c>
      <c r="G12" s="5" t="s">
        <v>509</v>
      </c>
      <c r="H12" s="5" t="s">
        <v>484</v>
      </c>
      <c r="I12" s="5" t="s">
        <v>484</v>
      </c>
      <c r="J12" s="5" t="s">
        <v>485</v>
      </c>
      <c r="K12" s="5" t="s">
        <v>37</v>
      </c>
      <c r="V12" s="5" t="s">
        <v>38</v>
      </c>
      <c r="W12" s="5" t="s">
        <v>40</v>
      </c>
      <c r="X12" s="5" t="s">
        <v>38</v>
      </c>
      <c r="Y12" s="5" t="s">
        <v>39</v>
      </c>
      <c r="Z12" s="5" t="s">
        <v>39</v>
      </c>
      <c r="AA12" s="5" t="s">
        <v>40</v>
      </c>
      <c r="AB12" s="5" t="s">
        <v>511</v>
      </c>
      <c r="AC12" s="6">
        <v>0.76700000000000002</v>
      </c>
      <c r="AD12" s="5" t="s">
        <v>513</v>
      </c>
      <c r="AE12" s="6">
        <v>0.83330000000000004</v>
      </c>
      <c r="AI12" s="5" t="s">
        <v>483</v>
      </c>
      <c r="AM12" s="5" t="s">
        <v>83</v>
      </c>
      <c r="AN12" s="5" t="s">
        <v>458</v>
      </c>
      <c r="AO12" s="5" t="s">
        <v>516</v>
      </c>
      <c r="AP12" s="5" t="s">
        <v>290</v>
      </c>
      <c r="AQ12" s="5">
        <v>11.87</v>
      </c>
      <c r="AR12" s="5">
        <v>30</v>
      </c>
      <c r="AS12" s="5">
        <v>9.73</v>
      </c>
      <c r="AT12" s="5">
        <v>10.5</v>
      </c>
      <c r="AU12" s="5">
        <v>26</v>
      </c>
      <c r="AV12" s="5">
        <v>8.6999999999999993</v>
      </c>
      <c r="AW12" s="5" t="s">
        <v>515</v>
      </c>
      <c r="AX12" s="5" t="s">
        <v>517</v>
      </c>
    </row>
    <row r="13" spans="1:54" s="5" customFormat="1" x14ac:dyDescent="0.2">
      <c r="A13" s="5" t="s">
        <v>482</v>
      </c>
      <c r="B13" s="5">
        <v>2019</v>
      </c>
      <c r="C13" s="5" t="s">
        <v>30</v>
      </c>
      <c r="D13" s="5" t="s">
        <v>31</v>
      </c>
      <c r="F13" s="5" t="s">
        <v>163</v>
      </c>
      <c r="G13" s="5" t="s">
        <v>509</v>
      </c>
      <c r="H13" s="5" t="s">
        <v>484</v>
      </c>
      <c r="I13" s="5" t="s">
        <v>484</v>
      </c>
      <c r="J13" s="5" t="s">
        <v>485</v>
      </c>
      <c r="K13" s="5" t="s">
        <v>37</v>
      </c>
      <c r="V13" s="5" t="s">
        <v>38</v>
      </c>
      <c r="W13" s="5" t="s">
        <v>40</v>
      </c>
      <c r="X13" s="5" t="s">
        <v>38</v>
      </c>
      <c r="Y13" s="5" t="s">
        <v>39</v>
      </c>
      <c r="Z13" s="5" t="s">
        <v>39</v>
      </c>
      <c r="AA13" s="5" t="s">
        <v>40</v>
      </c>
      <c r="AB13" s="5" t="s">
        <v>512</v>
      </c>
      <c r="AC13" s="6">
        <v>0.67700000000000005</v>
      </c>
      <c r="AD13" s="5" t="s">
        <v>514</v>
      </c>
      <c r="AE13" s="6">
        <v>0.74229999999999996</v>
      </c>
      <c r="AI13" s="5" t="s">
        <v>510</v>
      </c>
      <c r="AM13" s="5" t="s">
        <v>83</v>
      </c>
      <c r="AN13" s="5" t="s">
        <v>458</v>
      </c>
      <c r="AO13" s="5" t="s">
        <v>516</v>
      </c>
      <c r="AP13" s="5" t="s">
        <v>290</v>
      </c>
      <c r="AQ13" s="5">
        <v>9.35</v>
      </c>
      <c r="AR13" s="5">
        <v>31</v>
      </c>
      <c r="AS13" s="5">
        <v>8.06</v>
      </c>
      <c r="AT13" s="5">
        <v>14.64</v>
      </c>
      <c r="AU13" s="5">
        <v>28</v>
      </c>
      <c r="AV13" s="5">
        <v>10.06</v>
      </c>
      <c r="AW13" s="5" t="s">
        <v>515</v>
      </c>
      <c r="AX13" s="5" t="s">
        <v>517</v>
      </c>
    </row>
    <row r="14" spans="1:54" s="5" customFormat="1" x14ac:dyDescent="0.2">
      <c r="A14" s="5" t="s">
        <v>482</v>
      </c>
      <c r="B14" s="5">
        <v>2019</v>
      </c>
      <c r="C14" s="5" t="s">
        <v>91</v>
      </c>
      <c r="D14" s="5" t="s">
        <v>300</v>
      </c>
      <c r="F14" s="5" t="s">
        <v>163</v>
      </c>
      <c r="G14" s="5" t="s">
        <v>509</v>
      </c>
      <c r="H14" s="5" t="s">
        <v>484</v>
      </c>
      <c r="I14" s="5" t="s">
        <v>484</v>
      </c>
      <c r="J14" s="5" t="s">
        <v>485</v>
      </c>
      <c r="K14" s="5" t="s">
        <v>37</v>
      </c>
      <c r="V14" s="5" t="s">
        <v>38</v>
      </c>
      <c r="W14" s="5" t="s">
        <v>40</v>
      </c>
      <c r="X14" s="5" t="s">
        <v>38</v>
      </c>
      <c r="Y14" s="5" t="s">
        <v>39</v>
      </c>
      <c r="Z14" s="5" t="s">
        <v>39</v>
      </c>
      <c r="AA14" s="5" t="s">
        <v>40</v>
      </c>
      <c r="AB14" s="5" t="s">
        <v>511</v>
      </c>
      <c r="AC14" s="6">
        <v>0.76700000000000002</v>
      </c>
      <c r="AD14" s="5" t="s">
        <v>513</v>
      </c>
      <c r="AE14" s="6">
        <v>0.83330000000000004</v>
      </c>
      <c r="AI14" s="5" t="s">
        <v>483</v>
      </c>
      <c r="AM14" s="5" t="s">
        <v>83</v>
      </c>
      <c r="AN14" s="5" t="s">
        <v>458</v>
      </c>
      <c r="AO14" s="5" t="s">
        <v>518</v>
      </c>
      <c r="AP14" s="5" t="s">
        <v>290</v>
      </c>
      <c r="AQ14" s="5">
        <v>11.62</v>
      </c>
      <c r="AR14" s="5">
        <v>30</v>
      </c>
      <c r="AS14" s="5">
        <v>8.34</v>
      </c>
      <c r="AT14" s="5">
        <v>9.68</v>
      </c>
      <c r="AU14" s="5">
        <v>26</v>
      </c>
      <c r="AV14" s="5">
        <v>8.4499999999999993</v>
      </c>
      <c r="AW14" s="5" t="s">
        <v>515</v>
      </c>
      <c r="AX14" s="5" t="s">
        <v>517</v>
      </c>
    </row>
    <row r="15" spans="1:54" s="5" customFormat="1" x14ac:dyDescent="0.2">
      <c r="A15" s="5" t="s">
        <v>482</v>
      </c>
      <c r="B15" s="5">
        <v>2019</v>
      </c>
      <c r="C15" s="5" t="s">
        <v>30</v>
      </c>
      <c r="D15" s="5" t="s">
        <v>31</v>
      </c>
      <c r="F15" s="5" t="s">
        <v>163</v>
      </c>
      <c r="G15" s="5" t="s">
        <v>509</v>
      </c>
      <c r="H15" s="5" t="s">
        <v>484</v>
      </c>
      <c r="I15" s="5" t="s">
        <v>484</v>
      </c>
      <c r="J15" s="5" t="s">
        <v>485</v>
      </c>
      <c r="K15" s="5" t="s">
        <v>37</v>
      </c>
      <c r="V15" s="5" t="s">
        <v>38</v>
      </c>
      <c r="W15" s="5" t="s">
        <v>40</v>
      </c>
      <c r="X15" s="5" t="s">
        <v>38</v>
      </c>
      <c r="Y15" s="5" t="s">
        <v>39</v>
      </c>
      <c r="Z15" s="5" t="s">
        <v>39</v>
      </c>
      <c r="AA15" s="5" t="s">
        <v>40</v>
      </c>
      <c r="AB15" s="5" t="s">
        <v>512</v>
      </c>
      <c r="AC15" s="6">
        <v>0.67700000000000005</v>
      </c>
      <c r="AD15" s="5" t="s">
        <v>514</v>
      </c>
      <c r="AE15" s="6">
        <v>0.74229999999999996</v>
      </c>
      <c r="AI15" s="5" t="s">
        <v>510</v>
      </c>
      <c r="AM15" s="5" t="s">
        <v>83</v>
      </c>
      <c r="AN15" s="5" t="s">
        <v>458</v>
      </c>
      <c r="AO15" s="5" t="s">
        <v>518</v>
      </c>
      <c r="AP15" s="5" t="s">
        <v>290</v>
      </c>
      <c r="AQ15" s="5">
        <v>15.23</v>
      </c>
      <c r="AR15" s="5">
        <v>31</v>
      </c>
      <c r="AS15" s="5">
        <v>7.7</v>
      </c>
      <c r="AT15" s="5">
        <v>20.64</v>
      </c>
      <c r="AU15" s="5">
        <v>28</v>
      </c>
      <c r="AV15" s="5">
        <v>8.94</v>
      </c>
      <c r="AW15" s="5" t="s">
        <v>515</v>
      </c>
      <c r="AX15" s="5" t="s">
        <v>517</v>
      </c>
    </row>
    <row r="16" spans="1:54" s="5" customFormat="1" x14ac:dyDescent="0.2">
      <c r="A16" s="5" t="s">
        <v>482</v>
      </c>
      <c r="B16" s="5">
        <v>2019</v>
      </c>
      <c r="C16" s="5" t="s">
        <v>91</v>
      </c>
      <c r="D16" s="5" t="s">
        <v>300</v>
      </c>
      <c r="F16" s="5" t="s">
        <v>163</v>
      </c>
      <c r="G16" s="5" t="s">
        <v>509</v>
      </c>
      <c r="H16" s="5" t="s">
        <v>484</v>
      </c>
      <c r="I16" s="5" t="s">
        <v>484</v>
      </c>
      <c r="J16" s="5" t="s">
        <v>485</v>
      </c>
      <c r="K16" s="5" t="s">
        <v>37</v>
      </c>
      <c r="V16" s="5" t="s">
        <v>38</v>
      </c>
      <c r="W16" s="5" t="s">
        <v>40</v>
      </c>
      <c r="X16" s="5" t="s">
        <v>38</v>
      </c>
      <c r="Y16" s="5" t="s">
        <v>39</v>
      </c>
      <c r="Z16" s="5" t="s">
        <v>39</v>
      </c>
      <c r="AA16" s="5" t="s">
        <v>40</v>
      </c>
      <c r="AB16" s="5" t="s">
        <v>511</v>
      </c>
      <c r="AC16" s="6">
        <v>0.76700000000000002</v>
      </c>
      <c r="AD16" s="5" t="s">
        <v>513</v>
      </c>
      <c r="AE16" s="6">
        <v>0.83330000000000004</v>
      </c>
      <c r="AI16" s="5" t="s">
        <v>483</v>
      </c>
      <c r="AM16" s="5" t="s">
        <v>83</v>
      </c>
      <c r="AN16" s="5" t="s">
        <v>520</v>
      </c>
      <c r="AO16" s="5" t="s">
        <v>519</v>
      </c>
      <c r="AP16" s="5" t="s">
        <v>290</v>
      </c>
      <c r="AQ16" s="5">
        <v>10.06</v>
      </c>
      <c r="AR16" s="5">
        <v>30</v>
      </c>
      <c r="AS16" s="5">
        <v>8.89</v>
      </c>
      <c r="AT16" s="5">
        <v>6.18</v>
      </c>
      <c r="AU16" s="5">
        <v>26</v>
      </c>
      <c r="AV16" s="5">
        <v>7.26</v>
      </c>
      <c r="AW16" s="5" t="s">
        <v>515</v>
      </c>
      <c r="AX16" s="5" t="s">
        <v>517</v>
      </c>
    </row>
    <row r="17" spans="1:54" s="5" customFormat="1" x14ac:dyDescent="0.2">
      <c r="A17" s="5" t="s">
        <v>482</v>
      </c>
      <c r="B17" s="5">
        <v>2019</v>
      </c>
      <c r="C17" s="5" t="s">
        <v>30</v>
      </c>
      <c r="D17" s="5" t="s">
        <v>31</v>
      </c>
      <c r="F17" s="5" t="s">
        <v>163</v>
      </c>
      <c r="G17" s="5" t="s">
        <v>509</v>
      </c>
      <c r="H17" s="5" t="s">
        <v>484</v>
      </c>
      <c r="I17" s="5" t="s">
        <v>484</v>
      </c>
      <c r="J17" s="5" t="s">
        <v>485</v>
      </c>
      <c r="K17" s="5" t="s">
        <v>37</v>
      </c>
      <c r="V17" s="5" t="s">
        <v>38</v>
      </c>
      <c r="W17" s="5" t="s">
        <v>40</v>
      </c>
      <c r="X17" s="5" t="s">
        <v>38</v>
      </c>
      <c r="Y17" s="5" t="s">
        <v>39</v>
      </c>
      <c r="Z17" s="5" t="s">
        <v>39</v>
      </c>
      <c r="AA17" s="5" t="s">
        <v>40</v>
      </c>
      <c r="AB17" s="5" t="s">
        <v>512</v>
      </c>
      <c r="AC17" s="6">
        <v>0.67700000000000005</v>
      </c>
      <c r="AD17" s="5" t="s">
        <v>514</v>
      </c>
      <c r="AE17" s="6">
        <v>0.74229999999999996</v>
      </c>
      <c r="AI17" s="5" t="s">
        <v>510</v>
      </c>
      <c r="AM17" s="5" t="s">
        <v>83</v>
      </c>
      <c r="AN17" s="5" t="s">
        <v>520</v>
      </c>
      <c r="AO17" s="5" t="s">
        <v>519</v>
      </c>
      <c r="AP17" s="5" t="s">
        <v>290</v>
      </c>
      <c r="AQ17" s="5">
        <v>12.23</v>
      </c>
      <c r="AR17" s="5">
        <v>31</v>
      </c>
      <c r="AS17" s="5">
        <v>8.0500000000000007</v>
      </c>
      <c r="AT17" s="5">
        <v>15.47</v>
      </c>
      <c r="AU17" s="5">
        <v>28</v>
      </c>
      <c r="AV17" s="5">
        <v>9.2799999999999994</v>
      </c>
      <c r="AW17" s="5" t="s">
        <v>515</v>
      </c>
      <c r="AX17" s="5" t="s">
        <v>517</v>
      </c>
    </row>
    <row r="18" spans="1:54" s="5" customFormat="1" x14ac:dyDescent="0.2">
      <c r="A18" s="5" t="s">
        <v>482</v>
      </c>
      <c r="B18" s="5">
        <v>2019</v>
      </c>
      <c r="C18" s="5" t="s">
        <v>91</v>
      </c>
      <c r="D18" s="5" t="s">
        <v>300</v>
      </c>
      <c r="F18" s="5" t="s">
        <v>163</v>
      </c>
      <c r="G18" s="5" t="s">
        <v>509</v>
      </c>
      <c r="H18" s="5" t="s">
        <v>484</v>
      </c>
      <c r="I18" s="5" t="s">
        <v>484</v>
      </c>
      <c r="J18" s="5" t="s">
        <v>485</v>
      </c>
      <c r="K18" s="5" t="s">
        <v>37</v>
      </c>
      <c r="V18" s="5" t="s">
        <v>38</v>
      </c>
      <c r="W18" s="5" t="s">
        <v>40</v>
      </c>
      <c r="X18" s="5" t="s">
        <v>38</v>
      </c>
      <c r="Y18" s="5" t="s">
        <v>39</v>
      </c>
      <c r="Z18" s="5" t="s">
        <v>39</v>
      </c>
      <c r="AA18" s="5" t="s">
        <v>40</v>
      </c>
      <c r="AB18" s="5" t="s">
        <v>511</v>
      </c>
      <c r="AC18" s="6">
        <v>0.76700000000000002</v>
      </c>
      <c r="AD18" s="5" t="s">
        <v>513</v>
      </c>
      <c r="AE18" s="6">
        <v>0.83330000000000004</v>
      </c>
      <c r="AI18" s="5" t="s">
        <v>483</v>
      </c>
      <c r="AM18" s="5" t="s">
        <v>83</v>
      </c>
      <c r="AN18" s="5" t="s">
        <v>522</v>
      </c>
      <c r="AO18" s="5" t="s">
        <v>521</v>
      </c>
      <c r="AP18" s="5" t="s">
        <v>290</v>
      </c>
      <c r="AQ18" s="5">
        <v>41.79</v>
      </c>
      <c r="AR18" s="5">
        <v>30</v>
      </c>
      <c r="AS18" s="5">
        <v>9.0239999999999991</v>
      </c>
      <c r="AT18" s="5">
        <v>44.87</v>
      </c>
      <c r="AU18" s="5">
        <v>26</v>
      </c>
      <c r="AV18" s="5">
        <v>8.94</v>
      </c>
      <c r="AW18" s="5" t="s">
        <v>515</v>
      </c>
      <c r="AX18" s="5" t="s">
        <v>517</v>
      </c>
    </row>
    <row r="19" spans="1:54" s="5" customFormat="1" x14ac:dyDescent="0.2">
      <c r="A19" s="5" t="s">
        <v>482</v>
      </c>
      <c r="B19" s="5">
        <v>2019</v>
      </c>
      <c r="C19" s="5" t="s">
        <v>30</v>
      </c>
      <c r="D19" s="5" t="s">
        <v>31</v>
      </c>
      <c r="F19" s="5" t="s">
        <v>163</v>
      </c>
      <c r="G19" s="5" t="s">
        <v>509</v>
      </c>
      <c r="H19" s="5" t="s">
        <v>484</v>
      </c>
      <c r="I19" s="5" t="s">
        <v>484</v>
      </c>
      <c r="J19" s="5" t="s">
        <v>485</v>
      </c>
      <c r="K19" s="5" t="s">
        <v>37</v>
      </c>
      <c r="V19" s="5" t="s">
        <v>38</v>
      </c>
      <c r="W19" s="5" t="s">
        <v>40</v>
      </c>
      <c r="X19" s="5" t="s">
        <v>38</v>
      </c>
      <c r="Y19" s="5" t="s">
        <v>39</v>
      </c>
      <c r="Z19" s="5" t="s">
        <v>39</v>
      </c>
      <c r="AA19" s="5" t="s">
        <v>40</v>
      </c>
      <c r="AB19" s="5" t="s">
        <v>512</v>
      </c>
      <c r="AC19" s="6">
        <v>0.67700000000000005</v>
      </c>
      <c r="AD19" s="5" t="s">
        <v>514</v>
      </c>
      <c r="AE19" s="6">
        <v>0.74229999999999996</v>
      </c>
      <c r="AI19" s="5" t="s">
        <v>510</v>
      </c>
      <c r="AM19" s="5" t="s">
        <v>83</v>
      </c>
      <c r="AN19" s="5" t="s">
        <v>522</v>
      </c>
      <c r="AO19" s="5" t="s">
        <v>521</v>
      </c>
      <c r="AP19" s="5" t="s">
        <v>290</v>
      </c>
      <c r="AQ19" s="5">
        <v>42.18</v>
      </c>
      <c r="AR19" s="5">
        <v>31</v>
      </c>
      <c r="AS19" s="5">
        <v>10.52</v>
      </c>
      <c r="AT19" s="5">
        <v>39.47</v>
      </c>
      <c r="AU19" s="5">
        <v>28</v>
      </c>
      <c r="AV19" s="5">
        <v>9.39</v>
      </c>
      <c r="AW19" s="5" t="s">
        <v>515</v>
      </c>
      <c r="AX19" s="5" t="s">
        <v>517</v>
      </c>
    </row>
    <row r="20" spans="1:54" s="2" customFormat="1" x14ac:dyDescent="0.2">
      <c r="A20" s="2" t="s">
        <v>495</v>
      </c>
      <c r="B20" s="2">
        <v>2019</v>
      </c>
      <c r="C20" s="2" t="s">
        <v>91</v>
      </c>
      <c r="D20" s="2" t="s">
        <v>75</v>
      </c>
      <c r="F20" s="2" t="s">
        <v>286</v>
      </c>
      <c r="G20" s="2" t="s">
        <v>537</v>
      </c>
      <c r="H20" s="2" t="s">
        <v>497</v>
      </c>
      <c r="I20" s="2" t="s">
        <v>35</v>
      </c>
      <c r="J20" s="2" t="s">
        <v>94</v>
      </c>
      <c r="K20" s="2" t="s">
        <v>37</v>
      </c>
      <c r="V20" s="2" t="s">
        <v>38</v>
      </c>
      <c r="W20" s="2" t="s">
        <v>490</v>
      </c>
      <c r="X20" s="2" t="s">
        <v>39</v>
      </c>
      <c r="Y20" s="2" t="s">
        <v>39</v>
      </c>
      <c r="Z20" s="2" t="s">
        <v>39</v>
      </c>
      <c r="AA20" s="2" t="s">
        <v>39</v>
      </c>
      <c r="AC20" s="3">
        <v>0.71430000000000005</v>
      </c>
      <c r="AD20" s="2" t="s">
        <v>540</v>
      </c>
      <c r="AE20" s="3">
        <v>0.55359999999999998</v>
      </c>
      <c r="AI20" s="2" t="s">
        <v>538</v>
      </c>
      <c r="AK20" s="2" t="s">
        <v>83</v>
      </c>
      <c r="AM20" s="8" t="s">
        <v>544</v>
      </c>
      <c r="AN20" s="2" t="s">
        <v>458</v>
      </c>
      <c r="AO20" s="2" t="s">
        <v>545</v>
      </c>
      <c r="AP20" s="2" t="s">
        <v>290</v>
      </c>
      <c r="AQ20" s="2">
        <v>13.93</v>
      </c>
      <c r="AR20" s="2">
        <v>56</v>
      </c>
      <c r="AS20" s="2">
        <v>3.45</v>
      </c>
      <c r="AT20" s="2">
        <v>9.4</v>
      </c>
      <c r="AU20" s="2">
        <v>54</v>
      </c>
      <c r="AV20" s="2">
        <v>3.39</v>
      </c>
      <c r="AW20" s="5"/>
      <c r="AY20" s="2">
        <v>10.19</v>
      </c>
      <c r="AZ20" s="2">
        <v>47</v>
      </c>
      <c r="BA20" s="2">
        <v>2.78</v>
      </c>
      <c r="BB20" s="2" t="s">
        <v>546</v>
      </c>
    </row>
    <row r="21" spans="1:54" s="2" customFormat="1" x14ac:dyDescent="0.2">
      <c r="A21" s="2" t="s">
        <v>495</v>
      </c>
      <c r="B21" s="2">
        <v>2019</v>
      </c>
      <c r="C21" s="2" t="s">
        <v>285</v>
      </c>
      <c r="D21" s="2" t="s">
        <v>31</v>
      </c>
      <c r="F21" s="2" t="s">
        <v>286</v>
      </c>
      <c r="G21" s="2" t="s">
        <v>537</v>
      </c>
      <c r="H21" s="2" t="s">
        <v>497</v>
      </c>
      <c r="I21" s="2" t="s">
        <v>35</v>
      </c>
      <c r="J21" s="2" t="s">
        <v>94</v>
      </c>
      <c r="K21" s="2" t="s">
        <v>37</v>
      </c>
      <c r="V21" s="2" t="s">
        <v>38</v>
      </c>
      <c r="W21" s="2" t="s">
        <v>490</v>
      </c>
      <c r="X21" s="2" t="s">
        <v>39</v>
      </c>
      <c r="Y21" s="2" t="s">
        <v>39</v>
      </c>
      <c r="Z21" s="2" t="s">
        <v>39</v>
      </c>
      <c r="AA21" s="2" t="s">
        <v>39</v>
      </c>
      <c r="AC21" s="3">
        <v>0.63390000000000002</v>
      </c>
      <c r="AD21" s="2" t="s">
        <v>541</v>
      </c>
      <c r="AE21" s="3">
        <v>0.69640000000000002</v>
      </c>
      <c r="AI21" s="2" t="s">
        <v>539</v>
      </c>
      <c r="AK21" s="2" t="s">
        <v>83</v>
      </c>
      <c r="AM21" s="8" t="s">
        <v>544</v>
      </c>
      <c r="AN21" s="2" t="s">
        <v>458</v>
      </c>
      <c r="AO21" s="2" t="s">
        <v>545</v>
      </c>
      <c r="AP21" s="2" t="s">
        <v>290</v>
      </c>
      <c r="AQ21" s="2">
        <v>13.21</v>
      </c>
      <c r="AR21" s="2">
        <v>56</v>
      </c>
      <c r="AS21" s="2">
        <v>3.11</v>
      </c>
      <c r="AT21" s="2">
        <v>11.96</v>
      </c>
      <c r="AU21" s="2">
        <v>45</v>
      </c>
      <c r="AV21" s="2">
        <v>3.4</v>
      </c>
      <c r="AW21" s="5"/>
      <c r="AY21" s="2">
        <v>12.21</v>
      </c>
      <c r="AZ21" s="2">
        <v>35</v>
      </c>
      <c r="BA21" s="2">
        <v>3.56</v>
      </c>
      <c r="BB21" s="2" t="s">
        <v>546</v>
      </c>
    </row>
    <row r="22" spans="1:54" s="2" customFormat="1" x14ac:dyDescent="0.2">
      <c r="A22" s="2" t="s">
        <v>496</v>
      </c>
      <c r="B22" s="2">
        <v>2020</v>
      </c>
      <c r="C22" s="2" t="s">
        <v>91</v>
      </c>
      <c r="D22" s="2" t="s">
        <v>75</v>
      </c>
      <c r="F22" s="2" t="e" vm="2">
        <v>#VALUE!</v>
      </c>
      <c r="G22" s="2" t="s">
        <v>552</v>
      </c>
      <c r="K22" s="2" t="s">
        <v>37</v>
      </c>
      <c r="V22" s="2" t="s">
        <v>38</v>
      </c>
      <c r="W22" s="2" t="s">
        <v>490</v>
      </c>
      <c r="X22" s="2" t="s">
        <v>38</v>
      </c>
      <c r="Y22" s="2" t="s">
        <v>38</v>
      </c>
      <c r="Z22" s="2" t="s">
        <v>38</v>
      </c>
      <c r="AA22" s="2" t="s">
        <v>38</v>
      </c>
      <c r="AE22" s="3">
        <v>0.68600000000000005</v>
      </c>
      <c r="AI22" s="2" t="s">
        <v>553</v>
      </c>
      <c r="AM22" s="2" t="s">
        <v>83</v>
      </c>
      <c r="AN22" s="2" t="s">
        <v>520</v>
      </c>
      <c r="AO22" s="2" t="s">
        <v>555</v>
      </c>
      <c r="AP22" s="2" t="s">
        <v>290</v>
      </c>
      <c r="AQ22" s="2">
        <v>74.11</v>
      </c>
      <c r="AR22" s="2">
        <v>35</v>
      </c>
      <c r="AS22" s="2">
        <v>4.7300000000000004</v>
      </c>
      <c r="AT22" s="2">
        <v>70.510000000000005</v>
      </c>
      <c r="AV22" s="2">
        <v>3.78</v>
      </c>
      <c r="AW22" s="2" t="s">
        <v>442</v>
      </c>
      <c r="AX22" s="5"/>
      <c r="AY22" s="2">
        <v>70.31</v>
      </c>
      <c r="BA22" s="2">
        <v>3.78</v>
      </c>
      <c r="BB22" s="2" t="s">
        <v>447</v>
      </c>
    </row>
    <row r="23" spans="1:54" s="2" customFormat="1" x14ac:dyDescent="0.2">
      <c r="A23" s="2" t="s">
        <v>496</v>
      </c>
      <c r="B23" s="2">
        <v>2020</v>
      </c>
      <c r="C23" s="2" t="s">
        <v>285</v>
      </c>
      <c r="D23" s="2" t="s">
        <v>31</v>
      </c>
      <c r="F23" s="2" t="e" vm="2">
        <v>#VALUE!</v>
      </c>
      <c r="G23" s="2" t="s">
        <v>552</v>
      </c>
      <c r="K23" s="2" t="s">
        <v>37</v>
      </c>
      <c r="V23" s="2" t="s">
        <v>38</v>
      </c>
      <c r="W23" s="2" t="s">
        <v>490</v>
      </c>
      <c r="X23" s="2" t="s">
        <v>38</v>
      </c>
      <c r="Y23" s="2" t="s">
        <v>38</v>
      </c>
      <c r="Z23" s="2" t="s">
        <v>38</v>
      </c>
      <c r="AA23" s="2" t="s">
        <v>38</v>
      </c>
      <c r="AE23" s="3">
        <v>0.71399999999999997</v>
      </c>
      <c r="AI23" s="2" t="s">
        <v>554</v>
      </c>
      <c r="AM23" s="2" t="s">
        <v>83</v>
      </c>
      <c r="AN23" s="2" t="s">
        <v>520</v>
      </c>
      <c r="AO23" s="2" t="s">
        <v>555</v>
      </c>
      <c r="AP23" s="2" t="s">
        <v>290</v>
      </c>
      <c r="AQ23" s="2">
        <v>75.63</v>
      </c>
      <c r="AR23" s="2">
        <v>35</v>
      </c>
      <c r="AS23" s="2">
        <v>3.08</v>
      </c>
      <c r="AT23" s="2">
        <v>76.45</v>
      </c>
      <c r="AV23" s="2">
        <v>3.45</v>
      </c>
      <c r="AW23" s="2" t="s">
        <v>442</v>
      </c>
      <c r="AX23" s="5"/>
      <c r="AY23" s="2">
        <v>76.22</v>
      </c>
      <c r="BA23" s="2">
        <v>5.08</v>
      </c>
      <c r="BB23" s="2" t="s">
        <v>447</v>
      </c>
    </row>
    <row r="24" spans="1:54" s="5" customFormat="1" x14ac:dyDescent="0.2">
      <c r="A24" s="5" t="s">
        <v>491</v>
      </c>
      <c r="B24" s="5">
        <v>2019</v>
      </c>
      <c r="C24" s="5" t="s">
        <v>91</v>
      </c>
      <c r="D24" s="5" t="s">
        <v>75</v>
      </c>
      <c r="F24" s="5" t="e" vm="2">
        <v>#VALUE!</v>
      </c>
      <c r="G24" s="5" t="s">
        <v>492</v>
      </c>
      <c r="H24" s="5" t="s">
        <v>493</v>
      </c>
      <c r="I24" s="5" t="s">
        <v>494</v>
      </c>
      <c r="J24" s="5" t="s">
        <v>165</v>
      </c>
      <c r="K24" s="5" t="s">
        <v>37</v>
      </c>
      <c r="V24" s="5" t="s">
        <v>490</v>
      </c>
      <c r="W24" s="5" t="s">
        <v>40</v>
      </c>
      <c r="X24" s="5" t="s">
        <v>38</v>
      </c>
      <c r="Y24" s="5" t="s">
        <v>39</v>
      </c>
      <c r="Z24" s="5" t="s">
        <v>39</v>
      </c>
      <c r="AA24" s="5" t="s">
        <v>40</v>
      </c>
      <c r="AB24" s="5" t="s">
        <v>530</v>
      </c>
      <c r="AD24" s="5" t="s">
        <v>532</v>
      </c>
      <c r="AE24" s="11">
        <v>0.88</v>
      </c>
      <c r="AI24" s="5" t="s">
        <v>533</v>
      </c>
      <c r="AL24" s="5" t="s">
        <v>83</v>
      </c>
      <c r="AN24" s="5" t="s">
        <v>458</v>
      </c>
      <c r="AO24" s="5" t="s">
        <v>558</v>
      </c>
      <c r="AP24" s="5" t="s">
        <v>290</v>
      </c>
      <c r="AQ24" s="10">
        <v>4.5</v>
      </c>
      <c r="AR24" s="10">
        <v>27</v>
      </c>
      <c r="AS24" s="10">
        <v>3.04</v>
      </c>
      <c r="AT24" s="10">
        <v>0.4</v>
      </c>
      <c r="AU24" s="10">
        <v>25</v>
      </c>
      <c r="AV24" s="10">
        <v>0.7</v>
      </c>
      <c r="AX24" s="5" t="s">
        <v>551</v>
      </c>
    </row>
    <row r="25" spans="1:54" s="5" customFormat="1" x14ac:dyDescent="0.2">
      <c r="A25" s="5" t="s">
        <v>491</v>
      </c>
      <c r="B25" s="5">
        <v>2019</v>
      </c>
      <c r="C25" s="5" t="s">
        <v>30</v>
      </c>
      <c r="D25" s="5" t="s">
        <v>31</v>
      </c>
      <c r="F25" s="5" t="e" vm="2">
        <v>#VALUE!</v>
      </c>
      <c r="G25" s="5" t="s">
        <v>492</v>
      </c>
      <c r="H25" s="5" t="s">
        <v>493</v>
      </c>
      <c r="I25" s="5" t="s">
        <v>494</v>
      </c>
      <c r="J25" s="5" t="s">
        <v>165</v>
      </c>
      <c r="K25" s="5" t="s">
        <v>37</v>
      </c>
      <c r="V25" s="5" t="s">
        <v>490</v>
      </c>
      <c r="W25" s="5" t="s">
        <v>40</v>
      </c>
      <c r="X25" s="5" t="s">
        <v>38</v>
      </c>
      <c r="Y25" s="5" t="s">
        <v>39</v>
      </c>
      <c r="Z25" s="5" t="s">
        <v>39</v>
      </c>
      <c r="AA25" s="5" t="s">
        <v>40</v>
      </c>
      <c r="AB25" s="5" t="s">
        <v>529</v>
      </c>
      <c r="AD25" s="5" t="s">
        <v>531</v>
      </c>
      <c r="AE25" s="11">
        <v>0.72</v>
      </c>
      <c r="AI25" s="5" t="s">
        <v>534</v>
      </c>
      <c r="AL25" s="5" t="s">
        <v>83</v>
      </c>
      <c r="AN25" s="5" t="s">
        <v>458</v>
      </c>
      <c r="AO25" s="5" t="s">
        <v>558</v>
      </c>
      <c r="AP25" s="5" t="s">
        <v>290</v>
      </c>
      <c r="AQ25" s="10">
        <v>4.8</v>
      </c>
      <c r="AR25" s="5">
        <v>27</v>
      </c>
      <c r="AS25" s="10">
        <v>3.6</v>
      </c>
      <c r="AT25" s="10">
        <v>5.08</v>
      </c>
      <c r="AU25" s="10">
        <v>25</v>
      </c>
      <c r="AV25" s="10">
        <v>3.7</v>
      </c>
      <c r="AX25" s="5" t="s">
        <v>551</v>
      </c>
    </row>
    <row r="26" spans="1:54" s="5" customFormat="1" x14ac:dyDescent="0.2">
      <c r="A26" s="5" t="s">
        <v>491</v>
      </c>
      <c r="B26" s="5">
        <v>2019</v>
      </c>
      <c r="C26" s="5" t="s">
        <v>91</v>
      </c>
      <c r="D26" s="5" t="s">
        <v>75</v>
      </c>
      <c r="F26" s="5" t="e" vm="2">
        <v>#VALUE!</v>
      </c>
      <c r="G26" s="5" t="s">
        <v>492</v>
      </c>
      <c r="H26" s="5" t="s">
        <v>493</v>
      </c>
      <c r="I26" s="5" t="s">
        <v>494</v>
      </c>
      <c r="J26" s="5" t="s">
        <v>165</v>
      </c>
      <c r="K26" s="5" t="s">
        <v>37</v>
      </c>
      <c r="V26" s="5" t="s">
        <v>490</v>
      </c>
      <c r="W26" s="5" t="s">
        <v>40</v>
      </c>
      <c r="X26" s="5" t="s">
        <v>38</v>
      </c>
      <c r="Y26" s="5" t="s">
        <v>39</v>
      </c>
      <c r="Z26" s="5" t="s">
        <v>39</v>
      </c>
      <c r="AA26" s="5" t="s">
        <v>40</v>
      </c>
      <c r="AB26" s="5" t="s">
        <v>530</v>
      </c>
      <c r="AD26" s="5" t="s">
        <v>532</v>
      </c>
      <c r="AE26" s="11">
        <v>0.88</v>
      </c>
      <c r="AI26" s="5" t="s">
        <v>533</v>
      </c>
      <c r="AL26" s="5" t="s">
        <v>83</v>
      </c>
      <c r="AN26" s="5" t="s">
        <v>559</v>
      </c>
      <c r="AO26" s="5" t="s">
        <v>558</v>
      </c>
      <c r="AP26" s="5" t="s">
        <v>290</v>
      </c>
      <c r="AQ26" s="5">
        <v>11.6</v>
      </c>
      <c r="AR26" s="5">
        <v>27</v>
      </c>
      <c r="AS26" s="5">
        <v>2.8</v>
      </c>
      <c r="AT26" s="5">
        <v>3.4</v>
      </c>
      <c r="AU26" s="5">
        <v>25</v>
      </c>
      <c r="AV26" s="5">
        <v>1.5</v>
      </c>
      <c r="AX26" s="5" t="s">
        <v>551</v>
      </c>
    </row>
    <row r="27" spans="1:54" s="5" customFormat="1" x14ac:dyDescent="0.2">
      <c r="A27" s="5" t="s">
        <v>491</v>
      </c>
      <c r="B27" s="5">
        <v>2019</v>
      </c>
      <c r="C27" s="5" t="s">
        <v>30</v>
      </c>
      <c r="D27" s="5" t="s">
        <v>31</v>
      </c>
      <c r="F27" s="5" t="e" vm="2">
        <v>#VALUE!</v>
      </c>
      <c r="G27" s="5" t="s">
        <v>492</v>
      </c>
      <c r="H27" s="5" t="s">
        <v>493</v>
      </c>
      <c r="I27" s="5" t="s">
        <v>494</v>
      </c>
      <c r="J27" s="5" t="s">
        <v>165</v>
      </c>
      <c r="K27" s="5" t="s">
        <v>37</v>
      </c>
      <c r="V27" s="5" t="s">
        <v>490</v>
      </c>
      <c r="W27" s="5" t="s">
        <v>40</v>
      </c>
      <c r="X27" s="5" t="s">
        <v>38</v>
      </c>
      <c r="Y27" s="5" t="s">
        <v>39</v>
      </c>
      <c r="Z27" s="5" t="s">
        <v>39</v>
      </c>
      <c r="AA27" s="5" t="s">
        <v>40</v>
      </c>
      <c r="AB27" s="5" t="s">
        <v>529</v>
      </c>
      <c r="AD27" s="5" t="s">
        <v>531</v>
      </c>
      <c r="AE27" s="11">
        <v>0.72</v>
      </c>
      <c r="AI27" s="5" t="s">
        <v>534</v>
      </c>
      <c r="AL27" s="5" t="s">
        <v>83</v>
      </c>
      <c r="AN27" s="5" t="s">
        <v>559</v>
      </c>
      <c r="AO27" s="5" t="s">
        <v>558</v>
      </c>
      <c r="AP27" s="5" t="s">
        <v>290</v>
      </c>
      <c r="AQ27" s="5">
        <v>10.039999999999999</v>
      </c>
      <c r="AR27" s="5">
        <v>27</v>
      </c>
      <c r="AS27" s="5">
        <v>4.0199999999999996</v>
      </c>
      <c r="AT27" s="5">
        <v>10.5</v>
      </c>
      <c r="AU27" s="5">
        <v>25</v>
      </c>
      <c r="AV27" s="5">
        <v>3.7</v>
      </c>
      <c r="AX27" s="5" t="s">
        <v>551</v>
      </c>
    </row>
    <row r="28" spans="1:54" s="5" customFormat="1" x14ac:dyDescent="0.2">
      <c r="A28" s="5" t="s">
        <v>491</v>
      </c>
      <c r="B28" s="5">
        <v>2019</v>
      </c>
      <c r="C28" s="5" t="s">
        <v>91</v>
      </c>
      <c r="D28" s="5" t="s">
        <v>75</v>
      </c>
      <c r="F28" s="5" t="e" vm="2">
        <v>#VALUE!</v>
      </c>
      <c r="G28" s="5" t="s">
        <v>492</v>
      </c>
      <c r="H28" s="5" t="s">
        <v>493</v>
      </c>
      <c r="I28" s="5" t="s">
        <v>494</v>
      </c>
      <c r="J28" s="5" t="s">
        <v>165</v>
      </c>
      <c r="K28" s="5" t="s">
        <v>37</v>
      </c>
      <c r="V28" s="5" t="s">
        <v>490</v>
      </c>
      <c r="W28" s="5" t="s">
        <v>40</v>
      </c>
      <c r="X28" s="5" t="s">
        <v>38</v>
      </c>
      <c r="Y28" s="5" t="s">
        <v>39</v>
      </c>
      <c r="Z28" s="5" t="s">
        <v>39</v>
      </c>
      <c r="AA28" s="5" t="s">
        <v>40</v>
      </c>
      <c r="AB28" s="5" t="s">
        <v>530</v>
      </c>
      <c r="AD28" s="5" t="s">
        <v>532</v>
      </c>
      <c r="AE28" s="11">
        <v>0.88</v>
      </c>
      <c r="AI28" s="5" t="s">
        <v>533</v>
      </c>
      <c r="AL28" s="5" t="s">
        <v>83</v>
      </c>
      <c r="AN28" s="5" t="s">
        <v>522</v>
      </c>
      <c r="AO28" s="5" t="s">
        <v>558</v>
      </c>
      <c r="AP28" s="5" t="s">
        <v>290</v>
      </c>
      <c r="AQ28" s="5">
        <v>39.9</v>
      </c>
      <c r="AR28" s="5">
        <v>27</v>
      </c>
      <c r="AS28" s="5">
        <v>8.4</v>
      </c>
      <c r="AT28" s="5">
        <v>16.079999999999998</v>
      </c>
      <c r="AU28" s="5">
        <v>25</v>
      </c>
      <c r="AV28" s="5">
        <v>3.7</v>
      </c>
      <c r="AX28" s="5" t="s">
        <v>551</v>
      </c>
    </row>
    <row r="29" spans="1:54" s="5" customFormat="1" x14ac:dyDescent="0.2">
      <c r="A29" s="5" t="s">
        <v>491</v>
      </c>
      <c r="B29" s="5">
        <v>2019</v>
      </c>
      <c r="C29" s="5" t="s">
        <v>30</v>
      </c>
      <c r="D29" s="5" t="s">
        <v>31</v>
      </c>
      <c r="F29" s="5" t="e" vm="2">
        <v>#VALUE!</v>
      </c>
      <c r="G29" s="5" t="s">
        <v>492</v>
      </c>
      <c r="H29" s="5" t="s">
        <v>493</v>
      </c>
      <c r="I29" s="5" t="s">
        <v>494</v>
      </c>
      <c r="J29" s="5" t="s">
        <v>165</v>
      </c>
      <c r="K29" s="5" t="s">
        <v>37</v>
      </c>
      <c r="V29" s="5" t="s">
        <v>490</v>
      </c>
      <c r="W29" s="5" t="s">
        <v>40</v>
      </c>
      <c r="X29" s="5" t="s">
        <v>38</v>
      </c>
      <c r="Y29" s="5" t="s">
        <v>39</v>
      </c>
      <c r="Z29" s="5" t="s">
        <v>39</v>
      </c>
      <c r="AA29" s="5" t="s">
        <v>40</v>
      </c>
      <c r="AB29" s="5" t="s">
        <v>529</v>
      </c>
      <c r="AD29" s="5" t="s">
        <v>531</v>
      </c>
      <c r="AE29" s="11">
        <v>0.72</v>
      </c>
      <c r="AI29" s="5" t="s">
        <v>534</v>
      </c>
      <c r="AL29" s="5" t="s">
        <v>83</v>
      </c>
      <c r="AN29" s="5" t="s">
        <v>522</v>
      </c>
      <c r="AO29" s="5" t="s">
        <v>558</v>
      </c>
      <c r="AP29" s="5" t="s">
        <v>290</v>
      </c>
      <c r="AQ29" s="5">
        <v>32.04</v>
      </c>
      <c r="AR29" s="5">
        <v>27</v>
      </c>
      <c r="AS29" s="5">
        <v>7.02</v>
      </c>
      <c r="AT29" s="5">
        <v>32.9</v>
      </c>
      <c r="AU29" s="5">
        <v>25</v>
      </c>
      <c r="AV29" s="5">
        <v>7.2</v>
      </c>
      <c r="AX29" s="5" t="s">
        <v>551</v>
      </c>
    </row>
  </sheetData>
  <autoFilter ref="A1:BI29" xr:uid="{00000000-0001-0000-0100-000000000000}">
    <sortState xmlns:xlrd2="http://schemas.microsoft.com/office/spreadsheetml/2017/richdata2" ref="A2:BI29">
      <sortCondition ref="A1:A29"/>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3"/>
  <sheetViews>
    <sheetView zoomScale="92" zoomScaleNormal="109" workbookViewId="0">
      <pane xSplit="5" ySplit="19" topLeftCell="F20" activePane="bottomRight" state="frozen"/>
      <selection pane="topRight" activeCell="F1" sqref="F1"/>
      <selection pane="bottomLeft" activeCell="A20" sqref="A20"/>
      <selection pane="bottomRight" activeCell="AS25" sqref="AS25"/>
    </sheetView>
  </sheetViews>
  <sheetFormatPr baseColWidth="10" defaultRowHeight="15" x14ac:dyDescent="0.2"/>
  <cols>
    <col min="2" max="38" width="10.83203125" customWidth="1"/>
  </cols>
  <sheetData>
    <row r="1" spans="1:60"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281</v>
      </c>
      <c r="U1" t="s">
        <v>11</v>
      </c>
      <c r="V1" t="s">
        <v>12</v>
      </c>
      <c r="W1" t="s">
        <v>13</v>
      </c>
      <c r="X1" t="s">
        <v>14</v>
      </c>
      <c r="Y1" t="s">
        <v>15</v>
      </c>
      <c r="Z1" t="s">
        <v>16</v>
      </c>
      <c r="AA1" t="s">
        <v>17</v>
      </c>
      <c r="AB1" t="s">
        <v>18</v>
      </c>
      <c r="AC1" t="s">
        <v>19</v>
      </c>
      <c r="AD1" t="s">
        <v>20</v>
      </c>
      <c r="AE1" t="s">
        <v>21</v>
      </c>
      <c r="AF1" t="s">
        <v>371</v>
      </c>
      <c r="AG1" t="s">
        <v>22</v>
      </c>
      <c r="AH1" t="s">
        <v>23</v>
      </c>
      <c r="AI1" t="s">
        <v>24</v>
      </c>
      <c r="AJ1" t="s">
        <v>25</v>
      </c>
      <c r="AK1" t="s">
        <v>26</v>
      </c>
      <c r="AL1" t="s">
        <v>28</v>
      </c>
      <c r="AM1" t="s">
        <v>455</v>
      </c>
      <c r="AN1" t="s">
        <v>425</v>
      </c>
      <c r="AO1" t="s">
        <v>435</v>
      </c>
      <c r="AP1" t="s">
        <v>426</v>
      </c>
      <c r="AQ1" t="s">
        <v>427</v>
      </c>
      <c r="AR1" t="s">
        <v>428</v>
      </c>
      <c r="AS1" t="s">
        <v>429</v>
      </c>
      <c r="AT1" t="s">
        <v>430</v>
      </c>
      <c r="AU1" t="s">
        <v>431</v>
      </c>
      <c r="AV1" t="s">
        <v>432</v>
      </c>
      <c r="AW1" t="s">
        <v>443</v>
      </c>
      <c r="AX1" t="s">
        <v>444</v>
      </c>
      <c r="AY1" t="s">
        <v>445</v>
      </c>
      <c r="AZ1" t="s">
        <v>446</v>
      </c>
      <c r="BA1" t="s">
        <v>432</v>
      </c>
      <c r="BB1" t="s">
        <v>450</v>
      </c>
      <c r="BC1" t="s">
        <v>426</v>
      </c>
      <c r="BD1" t="s">
        <v>427</v>
      </c>
      <c r="BE1" t="s">
        <v>428</v>
      </c>
      <c r="BF1" t="s">
        <v>429</v>
      </c>
      <c r="BG1" t="s">
        <v>430</v>
      </c>
      <c r="BH1" t="s">
        <v>431</v>
      </c>
    </row>
    <row r="2" spans="1:60" x14ac:dyDescent="0.2">
      <c r="A2" t="s">
        <v>284</v>
      </c>
      <c r="B2">
        <v>2010</v>
      </c>
      <c r="C2" t="s">
        <v>285</v>
      </c>
      <c r="D2" t="s">
        <v>31</v>
      </c>
      <c r="E2" t="s">
        <v>31</v>
      </c>
      <c r="F2" t="s">
        <v>286</v>
      </c>
      <c r="G2" t="s">
        <v>287</v>
      </c>
      <c r="H2" t="s">
        <v>113</v>
      </c>
      <c r="I2" t="s">
        <v>35</v>
      </c>
      <c r="J2" t="s">
        <v>36</v>
      </c>
      <c r="K2" t="s">
        <v>288</v>
      </c>
      <c r="L2" t="s">
        <v>289</v>
      </c>
      <c r="M2" t="s">
        <v>290</v>
      </c>
      <c r="N2" t="s">
        <v>291</v>
      </c>
      <c r="O2" t="s">
        <v>292</v>
      </c>
      <c r="P2" t="s">
        <v>293</v>
      </c>
      <c r="Q2" t="s">
        <v>294</v>
      </c>
      <c r="R2" t="s">
        <v>292</v>
      </c>
      <c r="S2" t="s">
        <v>295</v>
      </c>
      <c r="T2" t="s">
        <v>296</v>
      </c>
      <c r="U2" t="s">
        <v>39</v>
      </c>
      <c r="V2" t="s">
        <v>40</v>
      </c>
      <c r="W2" t="s">
        <v>38</v>
      </c>
      <c r="X2" t="s">
        <v>40</v>
      </c>
      <c r="Y2" t="s">
        <v>39</v>
      </c>
      <c r="Z2" t="s">
        <v>40</v>
      </c>
      <c r="AG2">
        <v>19.48</v>
      </c>
      <c r="AJ2" t="s">
        <v>297</v>
      </c>
      <c r="AK2" t="s">
        <v>298</v>
      </c>
      <c r="AL2" t="s">
        <v>299</v>
      </c>
      <c r="AM2" t="s">
        <v>465</v>
      </c>
      <c r="AN2" t="s">
        <v>466</v>
      </c>
      <c r="AO2" t="s">
        <v>290</v>
      </c>
      <c r="AP2">
        <v>20.6</v>
      </c>
      <c r="AQ2">
        <v>40</v>
      </c>
      <c r="AR2">
        <v>1.8</v>
      </c>
      <c r="AS2">
        <v>20.3</v>
      </c>
      <c r="AT2">
        <v>40</v>
      </c>
      <c r="AU2">
        <v>1.7</v>
      </c>
    </row>
    <row r="3" spans="1:60" x14ac:dyDescent="0.2">
      <c r="A3" t="s">
        <v>284</v>
      </c>
      <c r="B3">
        <v>2010</v>
      </c>
      <c r="C3" t="s">
        <v>91</v>
      </c>
      <c r="D3" t="s">
        <v>300</v>
      </c>
      <c r="E3" t="s">
        <v>301</v>
      </c>
      <c r="F3" t="s">
        <v>286</v>
      </c>
      <c r="G3" t="s">
        <v>287</v>
      </c>
      <c r="H3" t="s">
        <v>113</v>
      </c>
      <c r="I3" t="s">
        <v>35</v>
      </c>
      <c r="J3" t="s">
        <v>36</v>
      </c>
      <c r="K3" t="s">
        <v>288</v>
      </c>
      <c r="L3" t="s">
        <v>289</v>
      </c>
      <c r="M3" t="s">
        <v>290</v>
      </c>
      <c r="N3" t="s">
        <v>302</v>
      </c>
      <c r="O3" t="s">
        <v>292</v>
      </c>
      <c r="P3" t="s">
        <v>303</v>
      </c>
      <c r="Q3" t="s">
        <v>304</v>
      </c>
      <c r="R3" t="s">
        <v>292</v>
      </c>
      <c r="S3" t="s">
        <v>305</v>
      </c>
      <c r="T3" t="s">
        <v>296</v>
      </c>
      <c r="U3" t="s">
        <v>39</v>
      </c>
      <c r="V3" t="s">
        <v>40</v>
      </c>
      <c r="W3" t="s">
        <v>38</v>
      </c>
      <c r="X3" t="s">
        <v>40</v>
      </c>
      <c r="Y3" t="s">
        <v>39</v>
      </c>
      <c r="Z3" t="s">
        <v>40</v>
      </c>
      <c r="AG3">
        <v>19.21</v>
      </c>
      <c r="AJ3" t="s">
        <v>306</v>
      </c>
      <c r="AK3" t="s">
        <v>307</v>
      </c>
      <c r="AL3" t="s">
        <v>308</v>
      </c>
      <c r="AM3" t="s">
        <v>465</v>
      </c>
      <c r="AN3" t="s">
        <v>466</v>
      </c>
      <c r="AO3" t="s">
        <v>290</v>
      </c>
      <c r="AP3">
        <v>20.9</v>
      </c>
      <c r="AQ3">
        <v>40</v>
      </c>
      <c r="AR3">
        <v>1.9</v>
      </c>
      <c r="AS3">
        <v>19.399999999999999</v>
      </c>
      <c r="AT3">
        <v>40</v>
      </c>
      <c r="AU3">
        <v>1.8</v>
      </c>
    </row>
    <row r="4" spans="1:60" x14ac:dyDescent="0.2">
      <c r="A4" t="s">
        <v>90</v>
      </c>
      <c r="B4">
        <v>2011</v>
      </c>
      <c r="C4" t="s">
        <v>91</v>
      </c>
      <c r="D4" t="s">
        <v>49</v>
      </c>
      <c r="E4" t="s">
        <v>50</v>
      </c>
      <c r="F4" t="s">
        <v>92</v>
      </c>
      <c r="G4" t="s">
        <v>93</v>
      </c>
      <c r="H4" t="s">
        <v>34</v>
      </c>
      <c r="I4" t="s">
        <v>35</v>
      </c>
      <c r="J4" t="s">
        <v>94</v>
      </c>
      <c r="K4" t="s">
        <v>37</v>
      </c>
      <c r="U4" t="s">
        <v>38</v>
      </c>
      <c r="V4" t="s">
        <v>39</v>
      </c>
      <c r="W4" t="s">
        <v>38</v>
      </c>
      <c r="X4" t="s">
        <v>40</v>
      </c>
      <c r="Y4" t="s">
        <v>39</v>
      </c>
      <c r="Z4" t="s">
        <v>40</v>
      </c>
      <c r="AA4" t="s">
        <v>95</v>
      </c>
      <c r="AB4" t="s">
        <v>96</v>
      </c>
      <c r="AC4" t="s">
        <v>97</v>
      </c>
      <c r="AD4" t="s">
        <v>98</v>
      </c>
      <c r="AJ4" t="s">
        <v>99</v>
      </c>
      <c r="AK4" t="s">
        <v>100</v>
      </c>
      <c r="AL4" t="s">
        <v>57</v>
      </c>
      <c r="AM4" t="s">
        <v>459</v>
      </c>
      <c r="AN4" t="s">
        <v>460</v>
      </c>
      <c r="AO4" t="s">
        <v>436</v>
      </c>
      <c r="AS4">
        <v>0.49</v>
      </c>
      <c r="AT4">
        <v>27</v>
      </c>
      <c r="AU4">
        <v>0.2475</v>
      </c>
    </row>
    <row r="5" spans="1:60" x14ac:dyDescent="0.2">
      <c r="A5" t="s">
        <v>90</v>
      </c>
      <c r="B5">
        <v>2011</v>
      </c>
      <c r="C5" t="s">
        <v>101</v>
      </c>
      <c r="D5" t="s">
        <v>31</v>
      </c>
      <c r="E5" t="s">
        <v>31</v>
      </c>
      <c r="F5" t="s">
        <v>92</v>
      </c>
      <c r="G5" t="s">
        <v>93</v>
      </c>
      <c r="H5" t="s">
        <v>34</v>
      </c>
      <c r="I5" t="s">
        <v>35</v>
      </c>
      <c r="J5" t="s">
        <v>94</v>
      </c>
      <c r="K5" t="s">
        <v>37</v>
      </c>
      <c r="U5" t="s">
        <v>38</v>
      </c>
      <c r="V5" t="s">
        <v>39</v>
      </c>
      <c r="W5" t="s">
        <v>38</v>
      </c>
      <c r="X5" t="s">
        <v>40</v>
      </c>
      <c r="Y5" t="s">
        <v>39</v>
      </c>
      <c r="Z5" t="s">
        <v>40</v>
      </c>
      <c r="AA5" t="s">
        <v>102</v>
      </c>
      <c r="AB5" t="s">
        <v>103</v>
      </c>
      <c r="AC5" t="s">
        <v>104</v>
      </c>
      <c r="AD5" t="s">
        <v>105</v>
      </c>
      <c r="AJ5" t="s">
        <v>106</v>
      </c>
      <c r="AK5" t="s">
        <v>107</v>
      </c>
      <c r="AL5" t="s">
        <v>47</v>
      </c>
      <c r="AM5" t="s">
        <v>459</v>
      </c>
      <c r="AN5" t="s">
        <v>460</v>
      </c>
      <c r="AO5" t="s">
        <v>436</v>
      </c>
    </row>
    <row r="6" spans="1:60" s="1" customFormat="1" x14ac:dyDescent="0.2">
      <c r="A6" s="1" t="s">
        <v>372</v>
      </c>
      <c r="B6" s="1">
        <v>2012</v>
      </c>
      <c r="C6" s="1" t="s">
        <v>373</v>
      </c>
      <c r="D6" s="1" t="s">
        <v>75</v>
      </c>
      <c r="E6" s="1" t="s">
        <v>110</v>
      </c>
      <c r="F6" s="1" t="s">
        <v>286</v>
      </c>
      <c r="G6" s="1" t="s">
        <v>374</v>
      </c>
      <c r="H6" s="1" t="s">
        <v>34</v>
      </c>
      <c r="I6" s="1" t="s">
        <v>35</v>
      </c>
      <c r="J6" s="1" t="s">
        <v>94</v>
      </c>
      <c r="K6" s="1" t="s">
        <v>37</v>
      </c>
      <c r="U6" s="1" t="s">
        <v>39</v>
      </c>
      <c r="V6" s="1" t="s">
        <v>40</v>
      </c>
      <c r="W6" s="1" t="s">
        <v>40</v>
      </c>
      <c r="X6" s="1" t="s">
        <v>40</v>
      </c>
      <c r="Y6" s="1" t="s">
        <v>39</v>
      </c>
      <c r="Z6" s="1" t="s">
        <v>40</v>
      </c>
      <c r="AB6" s="1" t="s">
        <v>375</v>
      </c>
      <c r="AC6" s="1" t="s">
        <v>376</v>
      </c>
      <c r="AD6" s="1" t="s">
        <v>377</v>
      </c>
      <c r="AE6" s="1" t="s">
        <v>378</v>
      </c>
      <c r="AF6" s="1" t="s">
        <v>379</v>
      </c>
      <c r="AJ6" s="1" t="s">
        <v>380</v>
      </c>
      <c r="AK6" s="1" t="s">
        <v>381</v>
      </c>
      <c r="AL6" s="1" t="s">
        <v>57</v>
      </c>
      <c r="AM6" s="1" t="s">
        <v>462</v>
      </c>
      <c r="AN6" s="1" t="s">
        <v>464</v>
      </c>
      <c r="AO6" s="1" t="s">
        <v>290</v>
      </c>
      <c r="AP6" s="1" t="s">
        <v>385</v>
      </c>
      <c r="AQ6" s="1" t="s">
        <v>383</v>
      </c>
      <c r="AR6" s="1" t="s">
        <v>386</v>
      </c>
      <c r="AV6" s="1" t="s">
        <v>467</v>
      </c>
      <c r="AW6" s="1" t="s">
        <v>471</v>
      </c>
      <c r="AX6" s="1" t="s">
        <v>382</v>
      </c>
      <c r="AY6" s="1" t="s">
        <v>383</v>
      </c>
      <c r="AZ6" s="1" t="s">
        <v>384</v>
      </c>
      <c r="BA6" s="1" t="s">
        <v>468</v>
      </c>
    </row>
    <row r="7" spans="1:60" s="1" customFormat="1" x14ac:dyDescent="0.2">
      <c r="A7" s="1" t="s">
        <v>372</v>
      </c>
      <c r="B7" s="1">
        <v>2012</v>
      </c>
      <c r="C7" s="1" t="s">
        <v>387</v>
      </c>
      <c r="D7" s="1" t="s">
        <v>31</v>
      </c>
      <c r="E7" s="1" t="s">
        <v>31</v>
      </c>
      <c r="F7" s="1" t="s">
        <v>286</v>
      </c>
      <c r="G7" s="1" t="s">
        <v>374</v>
      </c>
      <c r="H7" s="1" t="s">
        <v>34</v>
      </c>
      <c r="I7" s="1" t="s">
        <v>35</v>
      </c>
      <c r="J7" s="1" t="s">
        <v>94</v>
      </c>
      <c r="K7" s="1" t="s">
        <v>37</v>
      </c>
      <c r="U7" s="1" t="s">
        <v>39</v>
      </c>
      <c r="V7" s="1" t="s">
        <v>40</v>
      </c>
      <c r="W7" s="1" t="s">
        <v>40</v>
      </c>
      <c r="X7" s="1" t="s">
        <v>40</v>
      </c>
      <c r="Y7" s="1" t="s">
        <v>39</v>
      </c>
      <c r="Z7" s="1" t="s">
        <v>40</v>
      </c>
      <c r="AB7" s="1" t="s">
        <v>43</v>
      </c>
      <c r="AC7" s="1" t="s">
        <v>388</v>
      </c>
      <c r="AD7" s="1" t="s">
        <v>389</v>
      </c>
      <c r="AE7" s="1" t="s">
        <v>390</v>
      </c>
      <c r="AF7" s="1" t="s">
        <v>379</v>
      </c>
      <c r="AJ7" s="1" t="s">
        <v>391</v>
      </c>
      <c r="AK7" s="1" t="s">
        <v>392</v>
      </c>
      <c r="AL7" s="1" t="s">
        <v>47</v>
      </c>
      <c r="AM7" s="1" t="s">
        <v>462</v>
      </c>
      <c r="AN7" s="1" t="s">
        <v>464</v>
      </c>
      <c r="AO7" s="1" t="s">
        <v>290</v>
      </c>
      <c r="AP7" s="1" t="s">
        <v>394</v>
      </c>
      <c r="AQ7" s="1" t="s">
        <v>383</v>
      </c>
      <c r="AR7" s="1" t="s">
        <v>395</v>
      </c>
      <c r="AV7" s="1" t="s">
        <v>467</v>
      </c>
      <c r="AW7" s="1" t="s">
        <v>471</v>
      </c>
      <c r="AX7" s="1" t="s">
        <v>393</v>
      </c>
      <c r="AY7" s="1" t="s">
        <v>383</v>
      </c>
      <c r="AZ7" s="1" t="s">
        <v>323</v>
      </c>
      <c r="BA7" s="1" t="s">
        <v>468</v>
      </c>
    </row>
    <row r="8" spans="1:60" s="1" customFormat="1" x14ac:dyDescent="0.2">
      <c r="A8" s="1" t="s">
        <v>312</v>
      </c>
      <c r="B8" s="1">
        <v>2014</v>
      </c>
      <c r="C8" s="1" t="s">
        <v>309</v>
      </c>
      <c r="D8" s="1" t="s">
        <v>31</v>
      </c>
      <c r="E8" s="1" t="s">
        <v>31</v>
      </c>
      <c r="F8" s="1" t="s">
        <v>286</v>
      </c>
      <c r="G8" s="1" t="s">
        <v>313</v>
      </c>
      <c r="H8" s="1" t="s">
        <v>113</v>
      </c>
      <c r="I8" s="1" t="s">
        <v>35</v>
      </c>
      <c r="J8" s="1" t="s">
        <v>61</v>
      </c>
      <c r="K8" s="1" t="s">
        <v>37</v>
      </c>
      <c r="L8" s="1" t="s">
        <v>310</v>
      </c>
      <c r="M8" s="1" t="s">
        <v>290</v>
      </c>
      <c r="N8" s="1" t="s">
        <v>314</v>
      </c>
      <c r="O8" s="1" t="s">
        <v>315</v>
      </c>
      <c r="P8" s="1" t="s">
        <v>316</v>
      </c>
      <c r="Q8" s="1" t="s">
        <v>317</v>
      </c>
      <c r="R8" s="1" t="s">
        <v>315</v>
      </c>
      <c r="S8" s="1" t="s">
        <v>318</v>
      </c>
      <c r="T8" s="1" t="s">
        <v>296</v>
      </c>
      <c r="U8" s="1" t="s">
        <v>39</v>
      </c>
      <c r="V8" s="1" t="s">
        <v>40</v>
      </c>
      <c r="W8" s="1" t="s">
        <v>38</v>
      </c>
      <c r="X8" s="1" t="s">
        <v>40</v>
      </c>
      <c r="Y8" s="1" t="s">
        <v>39</v>
      </c>
      <c r="Z8" s="1" t="s">
        <v>40</v>
      </c>
      <c r="AG8" s="1">
        <v>14.12</v>
      </c>
      <c r="AJ8" s="1" t="s">
        <v>319</v>
      </c>
      <c r="AK8" s="1" t="s">
        <v>320</v>
      </c>
      <c r="AL8" s="1" t="s">
        <v>321</v>
      </c>
      <c r="AM8" s="1" t="s">
        <v>465</v>
      </c>
      <c r="AN8" s="1" t="s">
        <v>466</v>
      </c>
      <c r="AO8" s="1" t="s">
        <v>290</v>
      </c>
      <c r="AP8" s="1">
        <v>34.21</v>
      </c>
      <c r="AQ8" s="1">
        <v>61</v>
      </c>
      <c r="AR8" s="1">
        <v>5.74</v>
      </c>
      <c r="AS8" s="1" t="s">
        <v>322</v>
      </c>
      <c r="AT8" s="1" t="s">
        <v>315</v>
      </c>
      <c r="AU8" s="1" t="s">
        <v>323</v>
      </c>
      <c r="AV8" s="1" t="s">
        <v>469</v>
      </c>
      <c r="AW8" s="1" t="s">
        <v>470</v>
      </c>
    </row>
    <row r="9" spans="1:60" s="1" customFormat="1" x14ac:dyDescent="0.2">
      <c r="A9" s="1" t="s">
        <v>312</v>
      </c>
      <c r="B9" s="1">
        <v>2014</v>
      </c>
      <c r="C9" s="1" t="s">
        <v>326</v>
      </c>
      <c r="D9" s="1" t="s">
        <v>300</v>
      </c>
      <c r="E9" s="1" t="s">
        <v>301</v>
      </c>
      <c r="F9" s="1" t="s">
        <v>286</v>
      </c>
      <c r="G9" s="1" t="s">
        <v>313</v>
      </c>
      <c r="H9" s="1" t="s">
        <v>113</v>
      </c>
      <c r="I9" s="1" t="s">
        <v>35</v>
      </c>
      <c r="J9" s="1" t="s">
        <v>61</v>
      </c>
      <c r="K9" s="1" t="s">
        <v>37</v>
      </c>
      <c r="L9" s="1" t="s">
        <v>310</v>
      </c>
      <c r="M9" s="1" t="s">
        <v>290</v>
      </c>
      <c r="N9" s="1" t="s">
        <v>327</v>
      </c>
      <c r="O9" s="1" t="s">
        <v>328</v>
      </c>
      <c r="P9" s="1" t="s">
        <v>316</v>
      </c>
      <c r="Q9" s="1" t="s">
        <v>329</v>
      </c>
      <c r="R9" s="1" t="s">
        <v>328</v>
      </c>
      <c r="S9" s="1" t="s">
        <v>330</v>
      </c>
      <c r="T9" s="1" t="s">
        <v>296</v>
      </c>
      <c r="U9" s="1" t="s">
        <v>39</v>
      </c>
      <c r="V9" s="1" t="s">
        <v>40</v>
      </c>
      <c r="W9" s="1" t="s">
        <v>38</v>
      </c>
      <c r="X9" s="1" t="s">
        <v>40</v>
      </c>
      <c r="Y9" s="1" t="s">
        <v>39</v>
      </c>
      <c r="Z9" s="1" t="s">
        <v>40</v>
      </c>
      <c r="AG9" s="1">
        <v>14.19</v>
      </c>
      <c r="AJ9" s="1" t="s">
        <v>331</v>
      </c>
      <c r="AK9" s="1" t="s">
        <v>332</v>
      </c>
      <c r="AL9" s="1" t="s">
        <v>333</v>
      </c>
      <c r="AM9" s="1" t="s">
        <v>465</v>
      </c>
      <c r="AN9" s="1" t="s">
        <v>466</v>
      </c>
      <c r="AO9" s="1" t="s">
        <v>290</v>
      </c>
      <c r="AP9" s="1">
        <v>34.14</v>
      </c>
      <c r="AQ9" s="1">
        <v>62</v>
      </c>
      <c r="AR9" s="1">
        <v>5.35</v>
      </c>
      <c r="AS9" s="1" t="s">
        <v>334</v>
      </c>
      <c r="AT9" s="1" t="s">
        <v>328</v>
      </c>
      <c r="AU9" s="1" t="s">
        <v>335</v>
      </c>
      <c r="AV9" s="1" t="s">
        <v>469</v>
      </c>
      <c r="AW9" s="1" t="s">
        <v>470</v>
      </c>
    </row>
    <row r="10" spans="1:60" x14ac:dyDescent="0.2">
      <c r="A10" t="s">
        <v>338</v>
      </c>
      <c r="B10">
        <v>2014</v>
      </c>
      <c r="C10" t="s">
        <v>339</v>
      </c>
      <c r="D10" t="s">
        <v>31</v>
      </c>
      <c r="E10" t="s">
        <v>31</v>
      </c>
      <c r="F10" t="s">
        <v>59</v>
      </c>
      <c r="G10" t="s">
        <v>340</v>
      </c>
      <c r="H10" t="s">
        <v>113</v>
      </c>
      <c r="I10" t="s">
        <v>35</v>
      </c>
      <c r="J10" t="s">
        <v>61</v>
      </c>
      <c r="U10" t="s">
        <v>40</v>
      </c>
      <c r="V10" t="s">
        <v>40</v>
      </c>
      <c r="W10" t="s">
        <v>40</v>
      </c>
      <c r="X10" t="s">
        <v>40</v>
      </c>
      <c r="Y10" t="s">
        <v>39</v>
      </c>
      <c r="Z10" t="s">
        <v>40</v>
      </c>
      <c r="AD10" t="s">
        <v>341</v>
      </c>
      <c r="AM10" t="s">
        <v>461</v>
      </c>
      <c r="AN10" t="s">
        <v>457</v>
      </c>
      <c r="AO10" t="s">
        <v>290</v>
      </c>
      <c r="AP10" t="s">
        <v>353</v>
      </c>
      <c r="AQ10" t="s">
        <v>343</v>
      </c>
      <c r="AR10" t="s">
        <v>354</v>
      </c>
      <c r="AS10" t="s">
        <v>351</v>
      </c>
      <c r="AT10" t="s">
        <v>343</v>
      </c>
      <c r="AU10" t="s">
        <v>352</v>
      </c>
    </row>
    <row r="11" spans="1:60" x14ac:dyDescent="0.2">
      <c r="A11" t="s">
        <v>338</v>
      </c>
      <c r="B11">
        <v>2014</v>
      </c>
      <c r="C11" t="s">
        <v>355</v>
      </c>
      <c r="D11" t="s">
        <v>75</v>
      </c>
      <c r="E11" t="s">
        <v>110</v>
      </c>
      <c r="F11" t="s">
        <v>59</v>
      </c>
      <c r="G11" t="s">
        <v>340</v>
      </c>
      <c r="H11" t="s">
        <v>113</v>
      </c>
      <c r="I11" t="s">
        <v>35</v>
      </c>
      <c r="J11" t="s">
        <v>61</v>
      </c>
      <c r="U11" t="s">
        <v>40</v>
      </c>
      <c r="V11" t="s">
        <v>40</v>
      </c>
      <c r="W11" t="s">
        <v>40</v>
      </c>
      <c r="X11" t="s">
        <v>40</v>
      </c>
      <c r="Y11" t="s">
        <v>39</v>
      </c>
      <c r="Z11" t="s">
        <v>40</v>
      </c>
      <c r="AD11" t="s">
        <v>341</v>
      </c>
      <c r="AM11" t="s">
        <v>461</v>
      </c>
      <c r="AN11" t="s">
        <v>457</v>
      </c>
      <c r="AO11" t="s">
        <v>290</v>
      </c>
      <c r="AP11" t="s">
        <v>369</v>
      </c>
      <c r="AQ11" t="s">
        <v>343</v>
      </c>
      <c r="AR11" t="s">
        <v>370</v>
      </c>
      <c r="AS11" t="s">
        <v>367</v>
      </c>
      <c r="AT11" t="s">
        <v>343</v>
      </c>
      <c r="AU11" t="s">
        <v>368</v>
      </c>
      <c r="AX11" t="s">
        <v>365</v>
      </c>
      <c r="AY11" t="s">
        <v>343</v>
      </c>
      <c r="AZ11" t="s">
        <v>366</v>
      </c>
    </row>
    <row r="12" spans="1:60" s="1" customFormat="1" x14ac:dyDescent="0.2">
      <c r="A12" s="1" t="s">
        <v>161</v>
      </c>
      <c r="B12" s="1">
        <v>2016</v>
      </c>
      <c r="C12" s="1" t="s">
        <v>162</v>
      </c>
      <c r="D12" s="1" t="s">
        <v>75</v>
      </c>
      <c r="E12" s="1" t="s">
        <v>76</v>
      </c>
      <c r="F12" s="1" t="s">
        <v>163</v>
      </c>
      <c r="G12" s="1" t="s">
        <v>164</v>
      </c>
      <c r="H12" s="1" t="s">
        <v>113</v>
      </c>
      <c r="I12" s="1" t="s">
        <v>35</v>
      </c>
      <c r="J12" s="1" t="s">
        <v>165</v>
      </c>
      <c r="K12" s="1" t="s">
        <v>37</v>
      </c>
      <c r="U12" s="1" t="s">
        <v>39</v>
      </c>
      <c r="V12" s="1" t="s">
        <v>39</v>
      </c>
      <c r="W12" s="1" t="s">
        <v>39</v>
      </c>
      <c r="X12" s="1" t="s">
        <v>40</v>
      </c>
      <c r="Y12" s="1" t="s">
        <v>39</v>
      </c>
      <c r="Z12" s="1" t="s">
        <v>40</v>
      </c>
      <c r="AA12" s="1" t="s">
        <v>166</v>
      </c>
      <c r="AB12" s="1" t="s">
        <v>167</v>
      </c>
      <c r="AC12" s="1" t="s">
        <v>168</v>
      </c>
      <c r="AD12" s="1" t="s">
        <v>169</v>
      </c>
      <c r="AH12" s="1" t="s">
        <v>170</v>
      </c>
      <c r="AI12" s="1" t="s">
        <v>116</v>
      </c>
      <c r="AJ12" s="1" t="s">
        <v>171</v>
      </c>
      <c r="AK12" s="1" t="s">
        <v>172</v>
      </c>
      <c r="AL12" s="1" t="s">
        <v>144</v>
      </c>
      <c r="AM12" s="1" t="s">
        <v>462</v>
      </c>
      <c r="AN12" s="1" t="s">
        <v>464</v>
      </c>
      <c r="AO12" s="1" t="s">
        <v>290</v>
      </c>
      <c r="AP12" s="1" t="s">
        <v>180</v>
      </c>
      <c r="AQ12" s="1" t="s">
        <v>174</v>
      </c>
      <c r="AR12" s="1" t="s">
        <v>181</v>
      </c>
      <c r="AW12" s="1" t="s">
        <v>471</v>
      </c>
      <c r="AX12" s="1" t="s">
        <v>178</v>
      </c>
      <c r="AY12" s="1" t="s">
        <v>174</v>
      </c>
      <c r="AZ12" s="1" t="s">
        <v>179</v>
      </c>
      <c r="BA12" s="1" t="s">
        <v>447</v>
      </c>
    </row>
    <row r="13" spans="1:60" s="1" customFormat="1" x14ac:dyDescent="0.2">
      <c r="A13" s="1" t="s">
        <v>161</v>
      </c>
      <c r="B13" s="1">
        <v>2016</v>
      </c>
      <c r="C13" s="1" t="s">
        <v>182</v>
      </c>
      <c r="D13" s="1" t="s">
        <v>31</v>
      </c>
      <c r="E13" s="1" t="s">
        <v>31</v>
      </c>
      <c r="F13" s="1" t="s">
        <v>163</v>
      </c>
      <c r="G13" s="1" t="s">
        <v>164</v>
      </c>
      <c r="H13" s="1" t="s">
        <v>113</v>
      </c>
      <c r="I13" s="1" t="s">
        <v>35</v>
      </c>
      <c r="J13" s="1" t="s">
        <v>165</v>
      </c>
      <c r="K13" s="1" t="s">
        <v>37</v>
      </c>
      <c r="U13" s="1" t="s">
        <v>39</v>
      </c>
      <c r="V13" s="1" t="s">
        <v>39</v>
      </c>
      <c r="W13" s="1" t="s">
        <v>39</v>
      </c>
      <c r="X13" s="1" t="s">
        <v>40</v>
      </c>
      <c r="Y13" s="1" t="s">
        <v>39</v>
      </c>
      <c r="Z13" s="1" t="s">
        <v>40</v>
      </c>
      <c r="AA13" s="1" t="s">
        <v>183</v>
      </c>
      <c r="AB13" s="1" t="s">
        <v>184</v>
      </c>
      <c r="AC13" s="1" t="s">
        <v>185</v>
      </c>
      <c r="AD13" s="1" t="s">
        <v>186</v>
      </c>
      <c r="AH13" s="1" t="s">
        <v>170</v>
      </c>
      <c r="AI13" s="1" t="s">
        <v>116</v>
      </c>
      <c r="AJ13" s="1" t="s">
        <v>187</v>
      </c>
      <c r="AK13" s="1" t="s">
        <v>188</v>
      </c>
      <c r="AL13" s="1" t="s">
        <v>47</v>
      </c>
      <c r="AM13" s="1" t="s">
        <v>462</v>
      </c>
      <c r="AN13" s="1" t="s">
        <v>464</v>
      </c>
      <c r="AO13" s="1" t="s">
        <v>290</v>
      </c>
      <c r="AP13" s="1" t="s">
        <v>195</v>
      </c>
      <c r="AQ13" s="1" t="s">
        <v>174</v>
      </c>
      <c r="AR13" s="1" t="s">
        <v>196</v>
      </c>
      <c r="AW13" s="1" t="s">
        <v>471</v>
      </c>
      <c r="AX13" s="1" t="s">
        <v>193</v>
      </c>
      <c r="AY13" s="1" t="s">
        <v>174</v>
      </c>
      <c r="AZ13" s="1" t="s">
        <v>194</v>
      </c>
      <c r="BA13" s="1" t="s">
        <v>447</v>
      </c>
    </row>
    <row r="14" spans="1:60" x14ac:dyDescent="0.2">
      <c r="A14" t="s">
        <v>396</v>
      </c>
      <c r="B14">
        <v>2017</v>
      </c>
      <c r="C14" t="s">
        <v>397</v>
      </c>
      <c r="D14" t="s">
        <v>49</v>
      </c>
      <c r="E14" t="s">
        <v>50</v>
      </c>
      <c r="F14" t="s">
        <v>286</v>
      </c>
      <c r="G14" t="s">
        <v>398</v>
      </c>
      <c r="H14" t="s">
        <v>34</v>
      </c>
      <c r="I14" t="s">
        <v>35</v>
      </c>
      <c r="J14" t="s">
        <v>94</v>
      </c>
      <c r="K14" t="s">
        <v>37</v>
      </c>
      <c r="U14" t="s">
        <v>39</v>
      </c>
      <c r="V14" t="s">
        <v>39</v>
      </c>
      <c r="W14" t="s">
        <v>38</v>
      </c>
      <c r="X14" t="s">
        <v>39</v>
      </c>
      <c r="Y14" t="s">
        <v>39</v>
      </c>
      <c r="Z14" t="s">
        <v>39</v>
      </c>
      <c r="AC14" t="s">
        <v>399</v>
      </c>
      <c r="AD14" t="s">
        <v>400</v>
      </c>
      <c r="AE14" t="s">
        <v>401</v>
      </c>
      <c r="AJ14" t="s">
        <v>402</v>
      </c>
      <c r="AK14" t="s">
        <v>403</v>
      </c>
      <c r="AL14" t="s">
        <v>57</v>
      </c>
      <c r="AM14" t="s">
        <v>461</v>
      </c>
      <c r="AN14" t="s">
        <v>457</v>
      </c>
      <c r="AO14" t="s">
        <v>290</v>
      </c>
      <c r="AP14" t="s">
        <v>410</v>
      </c>
      <c r="AR14">
        <v>7.83</v>
      </c>
      <c r="AS14" t="s">
        <v>409</v>
      </c>
      <c r="AU14" t="s">
        <v>408</v>
      </c>
      <c r="AV14" t="s">
        <v>447</v>
      </c>
    </row>
    <row r="15" spans="1:60" x14ac:dyDescent="0.2">
      <c r="A15" t="s">
        <v>396</v>
      </c>
      <c r="B15">
        <v>2017</v>
      </c>
      <c r="C15" t="s">
        <v>411</v>
      </c>
      <c r="D15" t="s">
        <v>31</v>
      </c>
      <c r="E15" t="s">
        <v>31</v>
      </c>
      <c r="F15" t="s">
        <v>286</v>
      </c>
      <c r="G15" t="s">
        <v>398</v>
      </c>
      <c r="H15" t="s">
        <v>34</v>
      </c>
      <c r="I15" t="s">
        <v>35</v>
      </c>
      <c r="J15" t="s">
        <v>94</v>
      </c>
      <c r="K15" t="s">
        <v>37</v>
      </c>
      <c r="U15" t="s">
        <v>39</v>
      </c>
      <c r="V15" t="s">
        <v>39</v>
      </c>
      <c r="W15" t="s">
        <v>38</v>
      </c>
      <c r="X15" t="s">
        <v>39</v>
      </c>
      <c r="Y15" t="s">
        <v>39</v>
      </c>
      <c r="Z15" t="s">
        <v>39</v>
      </c>
      <c r="AC15" t="s">
        <v>412</v>
      </c>
      <c r="AD15" t="s">
        <v>413</v>
      </c>
      <c r="AE15" t="s">
        <v>414</v>
      </c>
      <c r="AJ15" t="s">
        <v>415</v>
      </c>
      <c r="AK15" t="s">
        <v>416</v>
      </c>
      <c r="AL15" t="s">
        <v>417</v>
      </c>
      <c r="AM15" t="s">
        <v>461</v>
      </c>
      <c r="AN15" t="s">
        <v>457</v>
      </c>
      <c r="AO15" t="s">
        <v>290</v>
      </c>
      <c r="AP15" t="s">
        <v>424</v>
      </c>
      <c r="AR15">
        <v>4.2</v>
      </c>
      <c r="AS15" t="s">
        <v>423</v>
      </c>
      <c r="AU15" t="s">
        <v>422</v>
      </c>
      <c r="AV15" t="s">
        <v>447</v>
      </c>
    </row>
    <row r="16" spans="1:60" x14ac:dyDescent="0.2">
      <c r="A16" t="s">
        <v>239</v>
      </c>
      <c r="B16">
        <v>2018</v>
      </c>
      <c r="C16" t="s">
        <v>30</v>
      </c>
      <c r="D16" t="s">
        <v>31</v>
      </c>
      <c r="E16" t="s">
        <v>31</v>
      </c>
      <c r="F16" t="s">
        <v>111</v>
      </c>
      <c r="G16" t="s">
        <v>240</v>
      </c>
      <c r="H16" t="s">
        <v>34</v>
      </c>
      <c r="I16" t="s">
        <v>35</v>
      </c>
      <c r="J16" t="s">
        <v>61</v>
      </c>
      <c r="K16" t="s">
        <v>37</v>
      </c>
      <c r="U16" t="s">
        <v>39</v>
      </c>
      <c r="V16" t="s">
        <v>39</v>
      </c>
      <c r="W16" t="s">
        <v>38</v>
      </c>
      <c r="X16" t="s">
        <v>40</v>
      </c>
      <c r="Y16" t="s">
        <v>39</v>
      </c>
      <c r="Z16" t="s">
        <v>40</v>
      </c>
      <c r="AA16" t="s">
        <v>241</v>
      </c>
      <c r="AB16" t="s">
        <v>242</v>
      </c>
      <c r="AC16" t="s">
        <v>243</v>
      </c>
      <c r="AD16" t="s">
        <v>244</v>
      </c>
      <c r="AG16">
        <v>23.82</v>
      </c>
      <c r="AH16" t="s">
        <v>170</v>
      </c>
      <c r="AI16" t="s">
        <v>116</v>
      </c>
      <c r="AJ16" t="s">
        <v>245</v>
      </c>
      <c r="AL16" t="s">
        <v>47</v>
      </c>
      <c r="AM16" t="s">
        <v>462</v>
      </c>
      <c r="AN16" t="s">
        <v>463</v>
      </c>
      <c r="AO16" t="s">
        <v>290</v>
      </c>
      <c r="AP16" t="s">
        <v>250</v>
      </c>
      <c r="AQ16" t="s">
        <v>132</v>
      </c>
      <c r="AR16" t="s">
        <v>251</v>
      </c>
      <c r="AS16" t="s">
        <v>252</v>
      </c>
      <c r="AT16" t="s">
        <v>132</v>
      </c>
      <c r="AU16" t="s">
        <v>253</v>
      </c>
    </row>
    <row r="17" spans="1:53" x14ac:dyDescent="0.2">
      <c r="A17" t="s">
        <v>239</v>
      </c>
      <c r="B17">
        <v>2018</v>
      </c>
      <c r="C17" t="s">
        <v>254</v>
      </c>
      <c r="D17" t="s">
        <v>255</v>
      </c>
      <c r="E17" t="s">
        <v>256</v>
      </c>
      <c r="F17" t="s">
        <v>111</v>
      </c>
      <c r="G17" t="s">
        <v>240</v>
      </c>
      <c r="H17" t="s">
        <v>34</v>
      </c>
      <c r="I17" t="s">
        <v>35</v>
      </c>
      <c r="J17" t="s">
        <v>61</v>
      </c>
      <c r="K17" t="s">
        <v>37</v>
      </c>
      <c r="U17" t="s">
        <v>39</v>
      </c>
      <c r="V17" t="s">
        <v>39</v>
      </c>
      <c r="W17" t="s">
        <v>38</v>
      </c>
      <c r="X17" t="s">
        <v>40</v>
      </c>
      <c r="Y17" t="s">
        <v>39</v>
      </c>
      <c r="Z17" t="s">
        <v>40</v>
      </c>
      <c r="AA17" t="s">
        <v>257</v>
      </c>
      <c r="AB17" t="s">
        <v>258</v>
      </c>
      <c r="AC17" t="s">
        <v>259</v>
      </c>
      <c r="AD17" t="s">
        <v>260</v>
      </c>
      <c r="AG17">
        <v>19</v>
      </c>
      <c r="AH17" t="s">
        <v>170</v>
      </c>
      <c r="AI17" t="s">
        <v>116</v>
      </c>
      <c r="AJ17" t="s">
        <v>261</v>
      </c>
      <c r="AK17" t="s">
        <v>262</v>
      </c>
      <c r="AL17" t="s">
        <v>263</v>
      </c>
      <c r="AM17" t="s">
        <v>462</v>
      </c>
      <c r="AN17" t="s">
        <v>463</v>
      </c>
      <c r="AO17" t="s">
        <v>290</v>
      </c>
      <c r="AP17" t="s">
        <v>268</v>
      </c>
      <c r="AQ17" t="s">
        <v>132</v>
      </c>
      <c r="AR17" t="s">
        <v>269</v>
      </c>
      <c r="AS17" t="s">
        <v>270</v>
      </c>
      <c r="AT17" t="s">
        <v>132</v>
      </c>
      <c r="AU17" t="s">
        <v>271</v>
      </c>
    </row>
    <row r="18" spans="1:53" s="1" customFormat="1" x14ac:dyDescent="0.2">
      <c r="A18" s="1" t="s">
        <v>312</v>
      </c>
      <c r="B18" s="1">
        <v>2014</v>
      </c>
      <c r="C18" s="1" t="s">
        <v>309</v>
      </c>
      <c r="D18" s="1" t="s">
        <v>31</v>
      </c>
      <c r="E18" s="1" t="s">
        <v>31</v>
      </c>
      <c r="F18" s="1" t="s">
        <v>286</v>
      </c>
      <c r="G18" s="1" t="s">
        <v>313</v>
      </c>
      <c r="H18" s="1" t="s">
        <v>113</v>
      </c>
      <c r="I18" s="1" t="s">
        <v>35</v>
      </c>
      <c r="J18" s="1" t="s">
        <v>61</v>
      </c>
      <c r="K18" s="1" t="s">
        <v>37</v>
      </c>
      <c r="L18" s="1" t="s">
        <v>310</v>
      </c>
      <c r="M18" s="1" t="s">
        <v>290</v>
      </c>
      <c r="N18" s="1" t="s">
        <v>314</v>
      </c>
      <c r="O18" s="1" t="s">
        <v>315</v>
      </c>
      <c r="P18" s="1" t="s">
        <v>316</v>
      </c>
      <c r="Q18" s="1" t="s">
        <v>317</v>
      </c>
      <c r="R18" s="1" t="s">
        <v>315</v>
      </c>
      <c r="S18" s="1" t="s">
        <v>318</v>
      </c>
      <c r="T18" s="1" t="s">
        <v>296</v>
      </c>
      <c r="U18" s="1" t="s">
        <v>39</v>
      </c>
      <c r="V18" s="1" t="s">
        <v>40</v>
      </c>
      <c r="W18" s="1" t="s">
        <v>38</v>
      </c>
      <c r="X18" s="1" t="s">
        <v>40</v>
      </c>
      <c r="Y18" s="1" t="s">
        <v>39</v>
      </c>
      <c r="Z18" s="1" t="s">
        <v>40</v>
      </c>
      <c r="AG18" s="1">
        <v>14.12</v>
      </c>
      <c r="AJ18" s="1" t="s">
        <v>319</v>
      </c>
      <c r="AK18" s="1" t="s">
        <v>320</v>
      </c>
      <c r="AL18" s="1" t="s">
        <v>321</v>
      </c>
      <c r="AM18" s="1" t="s">
        <v>465</v>
      </c>
      <c r="AN18" s="1" t="s">
        <v>466</v>
      </c>
      <c r="AO18" s="1" t="s">
        <v>290</v>
      </c>
      <c r="AP18" s="1">
        <v>34.21</v>
      </c>
      <c r="AQ18" s="1">
        <v>61</v>
      </c>
      <c r="AR18" s="1">
        <v>5.74</v>
      </c>
      <c r="AS18" s="1" t="s">
        <v>324</v>
      </c>
      <c r="AT18" s="1" t="s">
        <v>315</v>
      </c>
      <c r="AU18" s="1" t="s">
        <v>325</v>
      </c>
      <c r="AV18" s="1" t="s">
        <v>433</v>
      </c>
      <c r="AW18" s="7" t="s">
        <v>470</v>
      </c>
    </row>
    <row r="19" spans="1:53" s="1" customFormat="1" x14ac:dyDescent="0.2">
      <c r="A19" s="1" t="s">
        <v>312</v>
      </c>
      <c r="B19" s="1">
        <v>2014</v>
      </c>
      <c r="C19" s="1" t="s">
        <v>326</v>
      </c>
      <c r="D19" s="1" t="s">
        <v>300</v>
      </c>
      <c r="E19" s="1" t="s">
        <v>301</v>
      </c>
      <c r="F19" s="1" t="s">
        <v>286</v>
      </c>
      <c r="G19" s="1" t="s">
        <v>313</v>
      </c>
      <c r="H19" s="1" t="s">
        <v>113</v>
      </c>
      <c r="I19" s="1" t="s">
        <v>35</v>
      </c>
      <c r="J19" s="1" t="s">
        <v>61</v>
      </c>
      <c r="K19" s="1" t="s">
        <v>37</v>
      </c>
      <c r="L19" s="1" t="s">
        <v>310</v>
      </c>
      <c r="M19" s="1" t="s">
        <v>290</v>
      </c>
      <c r="N19" s="1" t="s">
        <v>327</v>
      </c>
      <c r="O19" s="1" t="s">
        <v>328</v>
      </c>
      <c r="P19" s="1" t="s">
        <v>316</v>
      </c>
      <c r="Q19" s="1" t="s">
        <v>329</v>
      </c>
      <c r="R19" s="1" t="s">
        <v>328</v>
      </c>
      <c r="S19" s="1" t="s">
        <v>330</v>
      </c>
      <c r="T19" s="1" t="s">
        <v>296</v>
      </c>
      <c r="U19" s="1" t="s">
        <v>39</v>
      </c>
      <c r="V19" s="1" t="s">
        <v>40</v>
      </c>
      <c r="W19" s="1" t="s">
        <v>38</v>
      </c>
      <c r="X19" s="1" t="s">
        <v>40</v>
      </c>
      <c r="Y19" s="1" t="s">
        <v>39</v>
      </c>
      <c r="Z19" s="1" t="s">
        <v>40</v>
      </c>
      <c r="AG19" s="1">
        <v>14.19</v>
      </c>
      <c r="AJ19" s="1" t="s">
        <v>331</v>
      </c>
      <c r="AK19" s="1" t="s">
        <v>332</v>
      </c>
      <c r="AL19" s="1" t="s">
        <v>333</v>
      </c>
      <c r="AM19" s="1" t="s">
        <v>465</v>
      </c>
      <c r="AN19" s="1" t="s">
        <v>466</v>
      </c>
      <c r="AO19" s="1" t="s">
        <v>290</v>
      </c>
      <c r="AP19" s="1">
        <v>34.14</v>
      </c>
      <c r="AQ19" s="1">
        <v>62</v>
      </c>
      <c r="AR19" s="1">
        <v>5.35</v>
      </c>
      <c r="AS19" s="1" t="s">
        <v>336</v>
      </c>
      <c r="AT19" s="1" t="s">
        <v>328</v>
      </c>
      <c r="AU19" s="1" t="s">
        <v>337</v>
      </c>
      <c r="AV19" s="1" t="s">
        <v>433</v>
      </c>
      <c r="AW19" s="7" t="s">
        <v>470</v>
      </c>
    </row>
    <row r="20" spans="1:53" s="2" customFormat="1" x14ac:dyDescent="0.2">
      <c r="A20" s="2" t="s">
        <v>486</v>
      </c>
      <c r="B20" s="2">
        <v>2020</v>
      </c>
      <c r="C20" s="2" t="s">
        <v>355</v>
      </c>
      <c r="D20" s="2" t="s">
        <v>49</v>
      </c>
      <c r="F20" s="2" t="s">
        <v>32</v>
      </c>
      <c r="G20" s="2" t="s">
        <v>487</v>
      </c>
      <c r="H20" s="2" t="s">
        <v>488</v>
      </c>
      <c r="I20" s="2" t="s">
        <v>489</v>
      </c>
      <c r="J20" s="2" t="s">
        <v>165</v>
      </c>
      <c r="K20" s="2" t="s">
        <v>37</v>
      </c>
      <c r="U20" s="2" t="s">
        <v>490</v>
      </c>
      <c r="V20" s="2" t="s">
        <v>490</v>
      </c>
      <c r="W20" s="2" t="s">
        <v>40</v>
      </c>
      <c r="X20" s="2" t="s">
        <v>40</v>
      </c>
      <c r="Y20" s="2" t="s">
        <v>40</v>
      </c>
      <c r="Z20" s="2" t="s">
        <v>40</v>
      </c>
      <c r="AJ20" s="2" t="s">
        <v>523</v>
      </c>
      <c r="AL20" s="2" t="s">
        <v>83</v>
      </c>
      <c r="AM20" s="2" t="s">
        <v>526</v>
      </c>
      <c r="AN20" s="2" t="s">
        <v>457</v>
      </c>
      <c r="AO20" s="2" t="s">
        <v>290</v>
      </c>
      <c r="AP20" s="2">
        <v>180.88</v>
      </c>
      <c r="AQ20" s="2">
        <v>157</v>
      </c>
      <c r="AR20" s="5">
        <f>1.67*SQRT(AQ20)</f>
        <v>20.925040023856585</v>
      </c>
      <c r="AS20" s="2">
        <v>182.36</v>
      </c>
      <c r="AT20" s="2">
        <v>157</v>
      </c>
      <c r="AU20" s="5">
        <f>1.82*SQRT(AT20)</f>
        <v>22.804534636777834</v>
      </c>
      <c r="AV20" s="2" t="s">
        <v>442</v>
      </c>
      <c r="AW20" s="5" t="s">
        <v>560</v>
      </c>
    </row>
    <row r="21" spans="1:53" s="2" customFormat="1" x14ac:dyDescent="0.2">
      <c r="A21" s="2" t="s">
        <v>486</v>
      </c>
      <c r="B21" s="2">
        <v>2020</v>
      </c>
      <c r="C21" s="2" t="s">
        <v>30</v>
      </c>
      <c r="D21" s="2" t="s">
        <v>31</v>
      </c>
      <c r="F21" s="2" t="s">
        <v>32</v>
      </c>
      <c r="G21" s="2" t="s">
        <v>487</v>
      </c>
      <c r="H21" s="2" t="s">
        <v>488</v>
      </c>
      <c r="I21" s="2" t="s">
        <v>489</v>
      </c>
      <c r="J21" s="2" t="s">
        <v>165</v>
      </c>
      <c r="K21" s="2" t="s">
        <v>37</v>
      </c>
      <c r="U21" s="2" t="s">
        <v>490</v>
      </c>
      <c r="V21" s="2" t="s">
        <v>490</v>
      </c>
      <c r="W21" s="2" t="s">
        <v>40</v>
      </c>
      <c r="X21" s="2" t="s">
        <v>40</v>
      </c>
      <c r="Y21" s="2" t="s">
        <v>40</v>
      </c>
      <c r="Z21" s="2" t="s">
        <v>40</v>
      </c>
      <c r="AJ21" s="2" t="s">
        <v>524</v>
      </c>
      <c r="AL21" s="2" t="s">
        <v>83</v>
      </c>
      <c r="AM21" s="2" t="s">
        <v>526</v>
      </c>
      <c r="AN21" s="2" t="s">
        <v>457</v>
      </c>
      <c r="AO21" s="2" t="s">
        <v>290</v>
      </c>
      <c r="AP21" s="2">
        <v>180.24</v>
      </c>
      <c r="AQ21" s="2">
        <v>157</v>
      </c>
      <c r="AR21" s="5">
        <f>1.67*SQRT(AQ21)</f>
        <v>20.925040023856585</v>
      </c>
      <c r="AS21" s="2">
        <v>279.73</v>
      </c>
      <c r="AT21" s="2">
        <v>157</v>
      </c>
      <c r="AU21" s="5">
        <f>1.82*SQRT(AT21)</f>
        <v>22.804534636777834</v>
      </c>
      <c r="AV21" s="2" t="s">
        <v>442</v>
      </c>
      <c r="AW21" s="5" t="s">
        <v>560</v>
      </c>
    </row>
    <row r="22" spans="1:53" s="2" customFormat="1" x14ac:dyDescent="0.2">
      <c r="A22" s="2" t="s">
        <v>482</v>
      </c>
      <c r="B22" s="2">
        <v>2019</v>
      </c>
      <c r="C22" s="2" t="s">
        <v>91</v>
      </c>
      <c r="D22" s="2" t="s">
        <v>300</v>
      </c>
      <c r="F22" s="2" t="s">
        <v>163</v>
      </c>
      <c r="G22" s="2" t="s">
        <v>509</v>
      </c>
      <c r="H22" s="2" t="s">
        <v>484</v>
      </c>
      <c r="I22" s="2" t="s">
        <v>484</v>
      </c>
      <c r="J22" s="2" t="s">
        <v>485</v>
      </c>
      <c r="K22" s="2" t="s">
        <v>37</v>
      </c>
      <c r="U22" s="2" t="s">
        <v>38</v>
      </c>
      <c r="V22" s="2" t="s">
        <v>40</v>
      </c>
      <c r="W22" s="2" t="s">
        <v>38</v>
      </c>
      <c r="X22" s="2" t="s">
        <v>39</v>
      </c>
      <c r="Y22" s="2" t="s">
        <v>39</v>
      </c>
      <c r="Z22" s="2" t="s">
        <v>40</v>
      </c>
      <c r="AA22" s="2" t="s">
        <v>511</v>
      </c>
      <c r="AB22" s="3">
        <v>0.76700000000000002</v>
      </c>
      <c r="AC22" s="2" t="s">
        <v>513</v>
      </c>
      <c r="AD22" s="3">
        <v>0.83330000000000004</v>
      </c>
      <c r="AJ22" s="2" t="s">
        <v>483</v>
      </c>
      <c r="AL22" s="2" t="s">
        <v>83</v>
      </c>
      <c r="AM22" s="2" t="s">
        <v>527</v>
      </c>
      <c r="AN22" s="2" t="s">
        <v>528</v>
      </c>
      <c r="AO22" s="2" t="s">
        <v>290</v>
      </c>
      <c r="AP22" s="2">
        <v>41.75</v>
      </c>
      <c r="AQ22" s="2">
        <v>30</v>
      </c>
      <c r="AR22" s="2">
        <v>10</v>
      </c>
      <c r="AS22" s="2">
        <v>45.41</v>
      </c>
      <c r="AT22" s="2">
        <v>26</v>
      </c>
      <c r="AU22" s="2">
        <v>7.94</v>
      </c>
      <c r="AV22" s="2" t="s">
        <v>515</v>
      </c>
    </row>
    <row r="23" spans="1:53" s="2" customFormat="1" x14ac:dyDescent="0.2">
      <c r="A23" s="2" t="s">
        <v>482</v>
      </c>
      <c r="B23" s="2">
        <v>2019</v>
      </c>
      <c r="C23" s="2" t="s">
        <v>30</v>
      </c>
      <c r="D23" s="2" t="s">
        <v>31</v>
      </c>
      <c r="F23" s="2" t="s">
        <v>163</v>
      </c>
      <c r="G23" s="2" t="s">
        <v>509</v>
      </c>
      <c r="H23" s="2" t="s">
        <v>484</v>
      </c>
      <c r="I23" s="2" t="s">
        <v>484</v>
      </c>
      <c r="J23" s="2" t="s">
        <v>485</v>
      </c>
      <c r="K23" s="2" t="s">
        <v>37</v>
      </c>
      <c r="U23" s="2" t="s">
        <v>38</v>
      </c>
      <c r="V23" s="2" t="s">
        <v>40</v>
      </c>
      <c r="W23" s="2" t="s">
        <v>38</v>
      </c>
      <c r="X23" s="2" t="s">
        <v>39</v>
      </c>
      <c r="Y23" s="2" t="s">
        <v>39</v>
      </c>
      <c r="Z23" s="2" t="s">
        <v>40</v>
      </c>
      <c r="AA23" s="2" t="s">
        <v>512</v>
      </c>
      <c r="AB23" s="3">
        <v>0.67700000000000005</v>
      </c>
      <c r="AC23" s="2" t="s">
        <v>514</v>
      </c>
      <c r="AD23" s="3">
        <v>0.74229999999999996</v>
      </c>
      <c r="AJ23" s="2" t="s">
        <v>510</v>
      </c>
      <c r="AL23" s="2" t="s">
        <v>83</v>
      </c>
      <c r="AM23" s="2" t="s">
        <v>527</v>
      </c>
      <c r="AN23" s="2" t="s">
        <v>528</v>
      </c>
      <c r="AO23" s="2" t="s">
        <v>290</v>
      </c>
      <c r="AP23" s="2">
        <v>41.59</v>
      </c>
      <c r="AQ23" s="2">
        <v>31</v>
      </c>
      <c r="AR23" s="2">
        <v>9.7799999999999994</v>
      </c>
      <c r="AS23" s="2">
        <v>37.74</v>
      </c>
      <c r="AT23" s="2">
        <v>28</v>
      </c>
      <c r="AU23" s="2">
        <v>10.77</v>
      </c>
      <c r="AV23" s="2" t="s">
        <v>515</v>
      </c>
    </row>
    <row r="24" spans="1:53" s="5" customFormat="1" x14ac:dyDescent="0.2">
      <c r="A24" s="5" t="s">
        <v>495</v>
      </c>
      <c r="B24" s="5">
        <v>2019</v>
      </c>
      <c r="C24" s="5" t="s">
        <v>91</v>
      </c>
      <c r="D24" s="5" t="s">
        <v>75</v>
      </c>
      <c r="F24" s="5" t="s">
        <v>286</v>
      </c>
      <c r="G24" s="5" t="s">
        <v>537</v>
      </c>
      <c r="H24" s="5" t="s">
        <v>497</v>
      </c>
      <c r="I24" s="5" t="s">
        <v>35</v>
      </c>
      <c r="J24" s="5" t="s">
        <v>94</v>
      </c>
      <c r="K24" s="5" t="s">
        <v>37</v>
      </c>
      <c r="U24" s="5" t="s">
        <v>38</v>
      </c>
      <c r="V24" s="5" t="s">
        <v>490</v>
      </c>
      <c r="W24" s="5" t="s">
        <v>39</v>
      </c>
      <c r="X24" s="5" t="s">
        <v>39</v>
      </c>
      <c r="Y24" s="5" t="s">
        <v>39</v>
      </c>
      <c r="Z24" s="5" t="s">
        <v>39</v>
      </c>
      <c r="AB24" s="6">
        <v>0.71430000000000005</v>
      </c>
      <c r="AC24" s="5" t="s">
        <v>540</v>
      </c>
      <c r="AD24" s="6">
        <v>0.55359999999999998</v>
      </c>
      <c r="AJ24" s="5" t="s">
        <v>538</v>
      </c>
      <c r="AL24" s="5" t="s">
        <v>83</v>
      </c>
      <c r="AM24" s="5" t="s">
        <v>542</v>
      </c>
      <c r="AN24" s="5" t="s">
        <v>549</v>
      </c>
      <c r="AO24" s="5" t="s">
        <v>290</v>
      </c>
      <c r="AP24" s="5">
        <v>1.1499999999999999</v>
      </c>
      <c r="AQ24" s="5">
        <v>56</v>
      </c>
      <c r="AR24" s="5">
        <v>0.4</v>
      </c>
      <c r="AS24" s="5">
        <v>1.33</v>
      </c>
      <c r="AT24" s="5">
        <v>54</v>
      </c>
      <c r="AU24" s="5">
        <v>0.59</v>
      </c>
      <c r="AW24" s="5" t="s">
        <v>551</v>
      </c>
      <c r="AX24" s="5">
        <v>1.27</v>
      </c>
      <c r="AY24" s="5">
        <v>47</v>
      </c>
      <c r="AZ24" s="5">
        <v>0.54</v>
      </c>
      <c r="BA24" s="5" t="s">
        <v>546</v>
      </c>
    </row>
    <row r="25" spans="1:53" s="5" customFormat="1" x14ac:dyDescent="0.2">
      <c r="A25" s="5" t="s">
        <v>495</v>
      </c>
      <c r="B25" s="5">
        <v>2019</v>
      </c>
      <c r="C25" s="5" t="s">
        <v>285</v>
      </c>
      <c r="D25" s="5" t="s">
        <v>31</v>
      </c>
      <c r="F25" s="5" t="s">
        <v>286</v>
      </c>
      <c r="G25" s="5" t="s">
        <v>537</v>
      </c>
      <c r="H25" s="5" t="s">
        <v>497</v>
      </c>
      <c r="I25" s="5" t="s">
        <v>35</v>
      </c>
      <c r="J25" s="5" t="s">
        <v>94</v>
      </c>
      <c r="K25" s="5" t="s">
        <v>37</v>
      </c>
      <c r="U25" s="5" t="s">
        <v>38</v>
      </c>
      <c r="V25" s="5" t="s">
        <v>490</v>
      </c>
      <c r="W25" s="5" t="s">
        <v>39</v>
      </c>
      <c r="X25" s="5" t="s">
        <v>39</v>
      </c>
      <c r="Y25" s="5" t="s">
        <v>39</v>
      </c>
      <c r="Z25" s="5" t="s">
        <v>39</v>
      </c>
      <c r="AB25" s="6">
        <v>0.63390000000000002</v>
      </c>
      <c r="AC25" s="5" t="s">
        <v>541</v>
      </c>
      <c r="AD25" s="6">
        <v>0.69640000000000002</v>
      </c>
      <c r="AJ25" s="5" t="s">
        <v>539</v>
      </c>
      <c r="AL25" s="5" t="s">
        <v>83</v>
      </c>
      <c r="AM25" s="5" t="s">
        <v>542</v>
      </c>
      <c r="AN25" s="5" t="s">
        <v>549</v>
      </c>
      <c r="AO25" s="5" t="s">
        <v>290</v>
      </c>
      <c r="AP25" s="5">
        <v>1.1499999999999999</v>
      </c>
      <c r="AQ25" s="5">
        <v>56</v>
      </c>
      <c r="AR25" s="5">
        <v>0.51</v>
      </c>
      <c r="AS25" s="5">
        <v>1.19</v>
      </c>
      <c r="AT25" s="5">
        <v>45</v>
      </c>
      <c r="AU25" s="5">
        <v>0.42</v>
      </c>
      <c r="AW25" s="5" t="s">
        <v>551</v>
      </c>
      <c r="AX25" s="5">
        <v>1.1299999999999999</v>
      </c>
      <c r="AY25" s="5">
        <v>35</v>
      </c>
      <c r="AZ25" s="5">
        <v>0.5</v>
      </c>
      <c r="BA25" s="5" t="s">
        <v>546</v>
      </c>
    </row>
    <row r="26" spans="1:53" s="5" customFormat="1" x14ac:dyDescent="0.2">
      <c r="A26" s="5" t="s">
        <v>495</v>
      </c>
      <c r="B26" s="5">
        <v>2019</v>
      </c>
      <c r="C26" s="5" t="s">
        <v>91</v>
      </c>
      <c r="D26" s="5" t="s">
        <v>75</v>
      </c>
      <c r="F26" s="5" t="s">
        <v>286</v>
      </c>
      <c r="G26" s="5" t="s">
        <v>537</v>
      </c>
      <c r="H26" s="5" t="s">
        <v>497</v>
      </c>
      <c r="I26" s="5" t="s">
        <v>35</v>
      </c>
      <c r="J26" s="5" t="s">
        <v>94</v>
      </c>
      <c r="K26" s="5" t="s">
        <v>37</v>
      </c>
      <c r="U26" s="5" t="s">
        <v>38</v>
      </c>
      <c r="V26" s="5" t="s">
        <v>490</v>
      </c>
      <c r="W26" s="5" t="s">
        <v>39</v>
      </c>
      <c r="X26" s="5" t="s">
        <v>39</v>
      </c>
      <c r="Y26" s="5" t="s">
        <v>39</v>
      </c>
      <c r="Z26" s="5" t="s">
        <v>39</v>
      </c>
      <c r="AB26" s="6">
        <v>0.71430000000000005</v>
      </c>
      <c r="AC26" s="5" t="s">
        <v>540</v>
      </c>
      <c r="AD26" s="6">
        <v>0.55359999999999998</v>
      </c>
      <c r="AJ26" s="5" t="s">
        <v>538</v>
      </c>
      <c r="AL26" s="5" t="s">
        <v>83</v>
      </c>
      <c r="AM26" s="10" t="s">
        <v>544</v>
      </c>
      <c r="AN26" s="5" t="s">
        <v>550</v>
      </c>
      <c r="AO26" s="5" t="s">
        <v>290</v>
      </c>
      <c r="AP26" s="5">
        <v>1.38</v>
      </c>
      <c r="AQ26" s="5">
        <v>56</v>
      </c>
      <c r="AR26" s="5">
        <v>0.42</v>
      </c>
      <c r="AS26" s="5">
        <v>1.24</v>
      </c>
      <c r="AT26" s="5">
        <v>54</v>
      </c>
      <c r="AU26" s="5">
        <v>0.38</v>
      </c>
      <c r="AW26" s="5" t="s">
        <v>551</v>
      </c>
      <c r="AX26" s="5">
        <v>1.1299999999999999</v>
      </c>
      <c r="AY26" s="5">
        <v>47</v>
      </c>
      <c r="AZ26" s="5">
        <v>0.39</v>
      </c>
      <c r="BA26" s="5" t="s">
        <v>546</v>
      </c>
    </row>
    <row r="27" spans="1:53" s="5" customFormat="1" x14ac:dyDescent="0.2">
      <c r="A27" s="5" t="s">
        <v>495</v>
      </c>
      <c r="B27" s="5">
        <v>2019</v>
      </c>
      <c r="C27" s="5" t="s">
        <v>285</v>
      </c>
      <c r="D27" s="5" t="s">
        <v>31</v>
      </c>
      <c r="F27" s="5" t="s">
        <v>286</v>
      </c>
      <c r="G27" s="5" t="s">
        <v>537</v>
      </c>
      <c r="H27" s="5" t="s">
        <v>497</v>
      </c>
      <c r="I27" s="5" t="s">
        <v>35</v>
      </c>
      <c r="J27" s="5" t="s">
        <v>94</v>
      </c>
      <c r="K27" s="5" t="s">
        <v>37</v>
      </c>
      <c r="U27" s="5" t="s">
        <v>38</v>
      </c>
      <c r="V27" s="5" t="s">
        <v>490</v>
      </c>
      <c r="W27" s="5" t="s">
        <v>39</v>
      </c>
      <c r="X27" s="5" t="s">
        <v>39</v>
      </c>
      <c r="Y27" s="5" t="s">
        <v>39</v>
      </c>
      <c r="Z27" s="5" t="s">
        <v>39</v>
      </c>
      <c r="AB27" s="6">
        <v>0.63390000000000002</v>
      </c>
      <c r="AC27" s="5" t="s">
        <v>541</v>
      </c>
      <c r="AD27" s="6">
        <v>0.69640000000000002</v>
      </c>
      <c r="AJ27" s="5" t="s">
        <v>539</v>
      </c>
      <c r="AL27" s="5" t="s">
        <v>83</v>
      </c>
      <c r="AM27" s="10" t="s">
        <v>544</v>
      </c>
      <c r="AN27" s="5" t="s">
        <v>550</v>
      </c>
      <c r="AO27" s="5" t="s">
        <v>290</v>
      </c>
      <c r="AP27" s="5">
        <v>1.39</v>
      </c>
      <c r="AQ27" s="5">
        <v>56</v>
      </c>
      <c r="AR27" s="5">
        <v>0.35</v>
      </c>
      <c r="AS27" s="5">
        <v>1.29</v>
      </c>
      <c r="AT27" s="5">
        <v>45</v>
      </c>
      <c r="AU27" s="5">
        <v>0.32</v>
      </c>
      <c r="AW27" s="5" t="s">
        <v>551</v>
      </c>
      <c r="AX27" s="5">
        <v>1.0900000000000001</v>
      </c>
      <c r="AY27" s="5">
        <v>35</v>
      </c>
      <c r="AZ27" s="5">
        <v>0.3</v>
      </c>
      <c r="BA27" s="5" t="s">
        <v>546</v>
      </c>
    </row>
    <row r="28" spans="1:53" s="5" customFormat="1" x14ac:dyDescent="0.2">
      <c r="A28" s="5" t="s">
        <v>495</v>
      </c>
      <c r="B28" s="5">
        <v>2019</v>
      </c>
      <c r="C28" s="5" t="s">
        <v>91</v>
      </c>
      <c r="D28" s="5" t="s">
        <v>75</v>
      </c>
      <c r="F28" s="5" t="s">
        <v>286</v>
      </c>
      <c r="G28" s="5" t="s">
        <v>537</v>
      </c>
      <c r="H28" s="5" t="s">
        <v>497</v>
      </c>
      <c r="I28" s="5" t="s">
        <v>35</v>
      </c>
      <c r="J28" s="5" t="s">
        <v>94</v>
      </c>
      <c r="K28" s="5" t="s">
        <v>37</v>
      </c>
      <c r="U28" s="5" t="s">
        <v>38</v>
      </c>
      <c r="V28" s="5" t="s">
        <v>490</v>
      </c>
      <c r="W28" s="5" t="s">
        <v>39</v>
      </c>
      <c r="X28" s="5" t="s">
        <v>39</v>
      </c>
      <c r="Y28" s="5" t="s">
        <v>39</v>
      </c>
      <c r="Z28" s="5" t="s">
        <v>39</v>
      </c>
      <c r="AB28" s="6">
        <v>0.71430000000000005</v>
      </c>
      <c r="AC28" s="5" t="s">
        <v>540</v>
      </c>
      <c r="AD28" s="6">
        <v>0.55359999999999998</v>
      </c>
      <c r="AJ28" s="5" t="s">
        <v>538</v>
      </c>
      <c r="AL28" s="5" t="s">
        <v>83</v>
      </c>
      <c r="AM28" s="5" t="s">
        <v>543</v>
      </c>
      <c r="AN28" s="5" t="s">
        <v>550</v>
      </c>
      <c r="AO28" s="5" t="s">
        <v>290</v>
      </c>
      <c r="AP28" s="5">
        <v>1.1499999999999999</v>
      </c>
      <c r="AQ28" s="5">
        <v>56</v>
      </c>
      <c r="AR28" s="5">
        <v>0.4</v>
      </c>
      <c r="AS28" s="5">
        <v>1.65</v>
      </c>
      <c r="AT28" s="5">
        <v>54</v>
      </c>
      <c r="AU28" s="5">
        <v>0.45</v>
      </c>
      <c r="AW28" s="5" t="s">
        <v>551</v>
      </c>
      <c r="AX28" s="5">
        <v>1.45</v>
      </c>
      <c r="AY28" s="5">
        <v>47</v>
      </c>
      <c r="AZ28" s="5">
        <v>0.43</v>
      </c>
      <c r="BA28" s="5" t="s">
        <v>546</v>
      </c>
    </row>
    <row r="29" spans="1:53" s="5" customFormat="1" x14ac:dyDescent="0.2">
      <c r="A29" s="5" t="s">
        <v>495</v>
      </c>
      <c r="B29" s="5">
        <v>2019</v>
      </c>
      <c r="C29" s="5" t="s">
        <v>285</v>
      </c>
      <c r="D29" s="5" t="s">
        <v>31</v>
      </c>
      <c r="F29" s="5" t="s">
        <v>286</v>
      </c>
      <c r="G29" s="5" t="s">
        <v>537</v>
      </c>
      <c r="H29" s="5" t="s">
        <v>497</v>
      </c>
      <c r="I29" s="5" t="s">
        <v>35</v>
      </c>
      <c r="J29" s="5" t="s">
        <v>94</v>
      </c>
      <c r="K29" s="5" t="s">
        <v>37</v>
      </c>
      <c r="U29" s="5" t="s">
        <v>38</v>
      </c>
      <c r="V29" s="5" t="s">
        <v>490</v>
      </c>
      <c r="W29" s="5" t="s">
        <v>39</v>
      </c>
      <c r="X29" s="5" t="s">
        <v>39</v>
      </c>
      <c r="Y29" s="5" t="s">
        <v>39</v>
      </c>
      <c r="Z29" s="5" t="s">
        <v>39</v>
      </c>
      <c r="AB29" s="6">
        <v>0.63390000000000002</v>
      </c>
      <c r="AC29" s="5" t="s">
        <v>541</v>
      </c>
      <c r="AD29" s="6">
        <v>0.69640000000000002</v>
      </c>
      <c r="AJ29" s="5" t="s">
        <v>539</v>
      </c>
      <c r="AL29" s="5" t="s">
        <v>83</v>
      </c>
      <c r="AM29" s="5" t="s">
        <v>543</v>
      </c>
      <c r="AN29" s="5" t="s">
        <v>550</v>
      </c>
      <c r="AO29" s="5" t="s">
        <v>290</v>
      </c>
      <c r="AP29" s="5">
        <v>1.1499999999999999</v>
      </c>
      <c r="AQ29" s="5">
        <v>56</v>
      </c>
      <c r="AR29" s="5">
        <v>0.37</v>
      </c>
      <c r="AS29" s="5">
        <v>1.28</v>
      </c>
      <c r="AT29" s="5">
        <v>45</v>
      </c>
      <c r="AU29" s="5">
        <v>0.38</v>
      </c>
      <c r="AW29" s="5" t="s">
        <v>551</v>
      </c>
      <c r="AX29" s="5">
        <v>1.24</v>
      </c>
      <c r="AY29" s="5">
        <v>35</v>
      </c>
      <c r="AZ29" s="5">
        <v>0.32</v>
      </c>
      <c r="BA29" s="5" t="s">
        <v>546</v>
      </c>
    </row>
    <row r="30" spans="1:53" s="5" customFormat="1" x14ac:dyDescent="0.2">
      <c r="A30" s="5" t="s">
        <v>491</v>
      </c>
      <c r="B30" s="5">
        <v>2019</v>
      </c>
      <c r="C30" s="5" t="s">
        <v>91</v>
      </c>
      <c r="D30" s="5" t="s">
        <v>75</v>
      </c>
      <c r="F30" s="5" t="e" vm="2">
        <v>#VALUE!</v>
      </c>
      <c r="G30" s="5" t="s">
        <v>492</v>
      </c>
      <c r="H30" s="5" t="s">
        <v>493</v>
      </c>
      <c r="I30" s="5" t="s">
        <v>494</v>
      </c>
      <c r="J30" s="5" t="s">
        <v>165</v>
      </c>
      <c r="K30" s="5" t="s">
        <v>37</v>
      </c>
      <c r="U30" s="5" t="s">
        <v>490</v>
      </c>
      <c r="V30" s="5" t="s">
        <v>40</v>
      </c>
      <c r="W30" s="5" t="s">
        <v>38</v>
      </c>
      <c r="X30" s="5" t="s">
        <v>39</v>
      </c>
      <c r="Y30" s="5" t="s">
        <v>39</v>
      </c>
      <c r="Z30" s="5" t="s">
        <v>40</v>
      </c>
      <c r="AA30" s="5" t="s">
        <v>530</v>
      </c>
      <c r="AC30" s="5" t="s">
        <v>532</v>
      </c>
      <c r="AD30" s="11">
        <v>0.88</v>
      </c>
      <c r="AJ30" s="5" t="s">
        <v>533</v>
      </c>
      <c r="AM30" s="5" t="s">
        <v>556</v>
      </c>
      <c r="AN30" s="5" t="s">
        <v>558</v>
      </c>
      <c r="AO30" s="5" t="s">
        <v>290</v>
      </c>
      <c r="AP30" s="5">
        <v>10.8</v>
      </c>
      <c r="AQ30" s="5">
        <v>27</v>
      </c>
      <c r="AR30" s="5">
        <v>3.2</v>
      </c>
      <c r="AS30" s="5">
        <v>3.5</v>
      </c>
      <c r="AT30" s="5">
        <v>25</v>
      </c>
      <c r="AU30" s="5">
        <v>1.5</v>
      </c>
      <c r="AW30" s="5" t="s">
        <v>551</v>
      </c>
    </row>
    <row r="31" spans="1:53" s="5" customFormat="1" x14ac:dyDescent="0.2">
      <c r="A31" s="5" t="s">
        <v>491</v>
      </c>
      <c r="B31" s="5">
        <v>2019</v>
      </c>
      <c r="C31" s="5" t="s">
        <v>30</v>
      </c>
      <c r="D31" s="5" t="s">
        <v>31</v>
      </c>
      <c r="F31" s="5" t="e" vm="2">
        <v>#VALUE!</v>
      </c>
      <c r="G31" s="5" t="s">
        <v>492</v>
      </c>
      <c r="H31" s="5" t="s">
        <v>493</v>
      </c>
      <c r="I31" s="5" t="s">
        <v>494</v>
      </c>
      <c r="J31" s="5" t="s">
        <v>165</v>
      </c>
      <c r="K31" s="5" t="s">
        <v>37</v>
      </c>
      <c r="U31" s="5" t="s">
        <v>490</v>
      </c>
      <c r="V31" s="5" t="s">
        <v>40</v>
      </c>
      <c r="W31" s="5" t="s">
        <v>38</v>
      </c>
      <c r="X31" s="5" t="s">
        <v>39</v>
      </c>
      <c r="Y31" s="5" t="s">
        <v>39</v>
      </c>
      <c r="Z31" s="5" t="s">
        <v>40</v>
      </c>
      <c r="AA31" s="5" t="s">
        <v>529</v>
      </c>
      <c r="AC31" s="5" t="s">
        <v>531</v>
      </c>
      <c r="AD31" s="11">
        <v>0.72</v>
      </c>
      <c r="AJ31" s="5" t="s">
        <v>534</v>
      </c>
      <c r="AM31" s="5" t="s">
        <v>556</v>
      </c>
      <c r="AN31" s="5" t="s">
        <v>558</v>
      </c>
      <c r="AO31" s="5" t="s">
        <v>290</v>
      </c>
      <c r="AP31" s="5">
        <v>8.9</v>
      </c>
      <c r="AQ31" s="5">
        <v>27</v>
      </c>
      <c r="AR31" s="5">
        <v>2.7</v>
      </c>
      <c r="AS31" s="5">
        <v>9.8000000000000007</v>
      </c>
      <c r="AT31" s="5">
        <v>25</v>
      </c>
      <c r="AU31" s="5">
        <v>2.7</v>
      </c>
      <c r="AW31" s="5" t="s">
        <v>551</v>
      </c>
    </row>
    <row r="32" spans="1:53" s="5" customFormat="1" x14ac:dyDescent="0.2">
      <c r="A32" s="5" t="s">
        <v>491</v>
      </c>
      <c r="B32" s="5">
        <v>2019</v>
      </c>
      <c r="C32" s="5" t="s">
        <v>91</v>
      </c>
      <c r="D32" s="5" t="s">
        <v>75</v>
      </c>
      <c r="F32" s="5" t="e" vm="2">
        <v>#VALUE!</v>
      </c>
      <c r="G32" s="5" t="s">
        <v>492</v>
      </c>
      <c r="H32" s="5" t="s">
        <v>493</v>
      </c>
      <c r="I32" s="5" t="s">
        <v>494</v>
      </c>
      <c r="J32" s="5" t="s">
        <v>165</v>
      </c>
      <c r="K32" s="5" t="s">
        <v>37</v>
      </c>
      <c r="U32" s="5" t="s">
        <v>490</v>
      </c>
      <c r="V32" s="5" t="s">
        <v>40</v>
      </c>
      <c r="W32" s="5" t="s">
        <v>38</v>
      </c>
      <c r="X32" s="5" t="s">
        <v>39</v>
      </c>
      <c r="Y32" s="5" t="s">
        <v>39</v>
      </c>
      <c r="Z32" s="5" t="s">
        <v>40</v>
      </c>
      <c r="AA32" s="5" t="s">
        <v>530</v>
      </c>
      <c r="AC32" s="5" t="s">
        <v>532</v>
      </c>
      <c r="AD32" s="11">
        <v>0.88</v>
      </c>
      <c r="AJ32" s="5" t="s">
        <v>533</v>
      </c>
      <c r="AM32" s="5" t="s">
        <v>557</v>
      </c>
      <c r="AN32" s="5" t="s">
        <v>558</v>
      </c>
      <c r="AO32" s="5" t="s">
        <v>290</v>
      </c>
      <c r="AP32" s="5">
        <v>12.9</v>
      </c>
      <c r="AQ32" s="5">
        <v>27</v>
      </c>
      <c r="AR32" s="5">
        <v>4.3</v>
      </c>
      <c r="AS32" s="5">
        <v>8.6</v>
      </c>
      <c r="AT32" s="5">
        <v>25</v>
      </c>
      <c r="AU32" s="5">
        <v>2.2000000000000002</v>
      </c>
      <c r="AW32" s="5" t="s">
        <v>551</v>
      </c>
    </row>
    <row r="33" spans="1:49" s="5" customFormat="1" x14ac:dyDescent="0.2">
      <c r="A33" s="5" t="s">
        <v>491</v>
      </c>
      <c r="B33" s="5">
        <v>2019</v>
      </c>
      <c r="C33" s="5" t="s">
        <v>30</v>
      </c>
      <c r="D33" s="5" t="s">
        <v>31</v>
      </c>
      <c r="F33" s="5" t="e" vm="2">
        <v>#VALUE!</v>
      </c>
      <c r="G33" s="5" t="s">
        <v>492</v>
      </c>
      <c r="H33" s="5" t="s">
        <v>493</v>
      </c>
      <c r="I33" s="5" t="s">
        <v>494</v>
      </c>
      <c r="J33" s="5" t="s">
        <v>165</v>
      </c>
      <c r="K33" s="5" t="s">
        <v>37</v>
      </c>
      <c r="U33" s="5" t="s">
        <v>490</v>
      </c>
      <c r="V33" s="5" t="s">
        <v>40</v>
      </c>
      <c r="W33" s="5" t="s">
        <v>38</v>
      </c>
      <c r="X33" s="5" t="s">
        <v>39</v>
      </c>
      <c r="Y33" s="5" t="s">
        <v>39</v>
      </c>
      <c r="Z33" s="5" t="s">
        <v>40</v>
      </c>
      <c r="AA33" s="5" t="s">
        <v>529</v>
      </c>
      <c r="AC33" s="5" t="s">
        <v>531</v>
      </c>
      <c r="AD33" s="11">
        <v>0.72</v>
      </c>
      <c r="AJ33" s="5" t="s">
        <v>534</v>
      </c>
      <c r="AM33" s="5" t="s">
        <v>557</v>
      </c>
      <c r="AN33" s="5" t="s">
        <v>558</v>
      </c>
      <c r="AO33" s="5" t="s">
        <v>290</v>
      </c>
      <c r="AP33" s="5">
        <v>8.1999999999999993</v>
      </c>
      <c r="AQ33" s="5">
        <v>27</v>
      </c>
      <c r="AR33" s="5">
        <v>3.4</v>
      </c>
      <c r="AS33" s="5">
        <v>7.4</v>
      </c>
      <c r="AT33" s="5">
        <v>25</v>
      </c>
      <c r="AU33" s="5">
        <v>3.01</v>
      </c>
      <c r="AW33" s="5" t="s">
        <v>551</v>
      </c>
    </row>
  </sheetData>
  <autoFilter ref="A1:BH19" xr:uid="{00000000-0001-0000-0200-000000000000}"/>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caregiver_Burden</vt:lpstr>
      <vt:lpstr>caregiver_MentalHealth</vt:lpstr>
      <vt:lpstr>caregiver_Behaviour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2022-12-10T22:43:14Z</dcterms:created>
  <dcterms:modified xsi:type="dcterms:W3CDTF">2022-12-12T02:37:03Z</dcterms:modified>
</cp:coreProperties>
</file>