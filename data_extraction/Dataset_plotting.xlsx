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1"/>
  <workbookPr/>
  <mc:AlternateContent xmlns:mc="http://schemas.openxmlformats.org/markup-compatibility/2006">
    <mc:Choice Requires="x15">
      <x15ac:absPath xmlns:x15ac="http://schemas.microsoft.com/office/spreadsheetml/2010/11/ac" url="/Users/mbp16/Documents/Coding/HP407/meta_analysis/"/>
    </mc:Choice>
  </mc:AlternateContent>
  <xr:revisionPtr revIDLastSave="0" documentId="13_ncr:1_{A60CE8E1-6BF9-8842-8D68-BC5909159335}" xr6:coauthVersionLast="47" xr6:coauthVersionMax="47" xr10:uidLastSave="{00000000-0000-0000-0000-000000000000}"/>
  <bookViews>
    <workbookView xWindow="2460" yWindow="760" windowWidth="37260" windowHeight="21580" firstSheet="1" activeTab="3" xr2:uid="{00000000-000D-0000-FFFF-FFFF00000000}"/>
  </bookViews>
  <sheets>
    <sheet name="Previous studies" sheetId="1" r:id="rId1"/>
    <sheet name="New studies" sheetId="3" r:id="rId2"/>
    <sheet name="Combined" sheetId="5" r:id="rId3"/>
    <sheet name="studies by country" sheetId="12" r:id="rId4"/>
    <sheet name="Sheet5" sheetId="13" r:id="rId5"/>
    <sheet name="Combined_info" sheetId="8" r:id="rId6"/>
  </sheets>
  <definedNames>
    <definedName name="_xlnm._FilterDatabase" localSheetId="2" hidden="1">Combined!$A$1:$AW$137</definedName>
    <definedName name="_xlnm._FilterDatabase" localSheetId="5" hidden="1">Combined_info!$A$1:$N$28</definedName>
    <definedName name="_xlnm._FilterDatabase" localSheetId="1" hidden="1">'New studies'!$A$1:$AW$45</definedName>
    <definedName name="_xlnm._FilterDatabase" localSheetId="0" hidden="1">'Previous studies'!$A$1:$AW$99</definedName>
    <definedName name="_xlchart.v1.10" hidden="1">Sheet5!$G$28:$G$42</definedName>
    <definedName name="_xlchart.v1.11" hidden="1">Sheet5!$F$28:$F$42</definedName>
    <definedName name="_xlchart.v1.12" hidden="1">Sheet5!$G$27</definedName>
    <definedName name="_xlchart.v1.13" hidden="1">Sheet5!$G$28:$G$42</definedName>
    <definedName name="_xlchart.v1.14" hidden="1">Sheet5!$F$28:$F$42</definedName>
    <definedName name="_xlchart.v1.15" hidden="1">Sheet5!$G$27</definedName>
    <definedName name="_xlchart.v1.16" hidden="1">Sheet5!$G$28:$G$42</definedName>
    <definedName name="_xlchart.v1.17" hidden="1">Sheet5!$F$28:$F$42</definedName>
    <definedName name="_xlchart.v1.18" hidden="1">Sheet5!$G$27</definedName>
    <definedName name="_xlchart.v1.19" hidden="1">Sheet5!$G$28:$G$42</definedName>
    <definedName name="_xlchart.v1.8" hidden="1">Sheet5!$F$28:$F$42</definedName>
    <definedName name="_xlchart.v1.9" hidden="1">Sheet5!$G$27</definedName>
    <definedName name="_xlchart.v5.0" hidden="1">'studies by country'!$E$1</definedName>
    <definedName name="_xlchart.v5.1" hidden="1">'studies by country'!$E$2:$E$9</definedName>
    <definedName name="_xlchart.v5.2" hidden="1">'studies by country'!$F$1</definedName>
    <definedName name="_xlchart.v5.3" hidden="1">'studies by country'!$F$2:$F$9</definedName>
    <definedName name="_xlchart.v5.4" hidden="1">'studies by country'!$E$1</definedName>
    <definedName name="_xlchart.v5.5" hidden="1">'studies by country'!$E$2:$E$9</definedName>
    <definedName name="_xlchart.v5.6" hidden="1">'studies by country'!$F$1</definedName>
    <definedName name="_xlchart.v5.7" hidden="1">'studies by country'!$F$2:$F$9</definedName>
  </definedNames>
  <calcPr calcId="191029"/>
  <pivotCaches>
    <pivotCache cacheId="141" r:id="rId7"/>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R129" i="5" l="1"/>
  <c r="AO129" i="5"/>
  <c r="AR128" i="5"/>
  <c r="AO128" i="5"/>
  <c r="AR13" i="5"/>
  <c r="AO13" i="5"/>
  <c r="AR12" i="5"/>
  <c r="AO12" i="5"/>
  <c r="AV37" i="5"/>
  <c r="AV36" i="5"/>
  <c r="AV89" i="5"/>
  <c r="AV88" i="5"/>
  <c r="AV77" i="5"/>
  <c r="AV76" i="5"/>
  <c r="AR130" i="5"/>
  <c r="AR82" i="5"/>
  <c r="AR68" i="5"/>
  <c r="AR66" i="5"/>
  <c r="AR72" i="5"/>
  <c r="AR64" i="5"/>
  <c r="AR56" i="5"/>
  <c r="AR54" i="5"/>
  <c r="AR14" i="5"/>
  <c r="AR11" i="5"/>
  <c r="AR17" i="3"/>
  <c r="AO17" i="3"/>
  <c r="AR16" i="3"/>
  <c r="AO16" i="3"/>
  <c r="AR15" i="3"/>
  <c r="AO15" i="3"/>
  <c r="AR14" i="3"/>
  <c r="AO14" i="3"/>
  <c r="AR22" i="1"/>
  <c r="AR8" i="1"/>
  <c r="AR10" i="1"/>
  <c r="AR12" i="1"/>
  <c r="AR14" i="1"/>
  <c r="AR16" i="1"/>
  <c r="AR18" i="1"/>
  <c r="AR20" i="1"/>
  <c r="AR6" i="1"/>
  <c r="AR5" i="1"/>
  <c r="AV47" i="1"/>
  <c r="AV48" i="1"/>
  <c r="AV49" i="1"/>
  <c r="AV46" i="1"/>
  <c r="AV65" i="1"/>
  <c r="AV64" i="1"/>
</calcChain>
</file>

<file path=xl/sharedStrings.xml><?xml version="1.0" encoding="utf-8"?>
<sst xmlns="http://schemas.openxmlformats.org/spreadsheetml/2006/main" count="8156" uniqueCount="784">
  <si>
    <t>Study.Identifier</t>
  </si>
  <si>
    <t>Year</t>
  </si>
  <si>
    <t>Intervention</t>
  </si>
  <si>
    <t>Intervention.types</t>
  </si>
  <si>
    <t>Intervention.subgroups</t>
  </si>
  <si>
    <t>Country</t>
  </si>
  <si>
    <t>Setting</t>
  </si>
  <si>
    <t>Types.of.disease_clean</t>
  </si>
  <si>
    <t>Type.of.disease.in.two.categories.(dementia.and.MCI)</t>
  </si>
  <si>
    <t>Updated.Dementia.Severity</t>
  </si>
  <si>
    <t>Is.this.a.study.focusing.on.carers.of.people.living.with.dementia.or.mild.cognitive.impairment?</t>
  </si>
  <si>
    <t>Domain.1</t>
  </si>
  <si>
    <t>Domain.2</t>
  </si>
  <si>
    <t>Domain.3</t>
  </si>
  <si>
    <t>Domain.4</t>
  </si>
  <si>
    <t>Domain.5</t>
  </si>
  <si>
    <t>Overall</t>
  </si>
  <si>
    <t>Baseline.Educational.level.(indicate.how.this.was.measured)</t>
  </si>
  <si>
    <t>Baseline.Female.(percent)</t>
  </si>
  <si>
    <t>Baseline.For.studies.in.carers.only:.Caregiver.age.in.years.(mean)</t>
  </si>
  <si>
    <t>Baseline.For.studies.in.carers.only:.Caregiver.female.(percent)</t>
  </si>
  <si>
    <t>Baseline.For.studies.in.carers.only:.Full-time.working.(percent)</t>
  </si>
  <si>
    <t>Baseline.For.studies.in.carers.only:.Part-time.working.(percent)</t>
  </si>
  <si>
    <t>Intervention.Brief.description.of.intervention</t>
  </si>
  <si>
    <t>Intervention.Brief.description.ofi.ntervention</t>
  </si>
  <si>
    <t>Intervention.Brief.intervention.description</t>
  </si>
  <si>
    <t>Intervention.Brief.introduction.to.the.intervention</t>
  </si>
  <si>
    <t>Intervention.Intervention.details</t>
  </si>
  <si>
    <t>Intervention.Intervention.details.1</t>
  </si>
  <si>
    <t>Intervention.Intervention.details.(duration.and.intensity.of.the.intervention,.dosage.of.drugs,.existence.of.a.protocol.or.manual.for.psychosocial,.training.or.education.interventions)</t>
  </si>
  <si>
    <t>Intervention.intervention.type</t>
  </si>
  <si>
    <t>Intervention.Intervention.type.1</t>
  </si>
  <si>
    <t>Intervention.Interv..Type:</t>
  </si>
  <si>
    <t>Intervention.Interv..type.[SELECT:.Pharmaceutical;.Traditional.Chinese.Medicine;.Other.trad..medicines;.Non-pharmacol.;.Multicomponent.(record.each.component);.Interv..for.carers;.End.of.life.care;.Treatment/prevention.of.co-morbidities;.Technology;.Diagn</t>
  </si>
  <si>
    <t>Intervention.Interv..type.[SELECT:.Pharmaceutical;.Traditional.Chinese.Medicine;.Other.trad..medicines;.Non-pharmacol.;.Multicomponent.(record.each.component);.Interv..for.carers;.End.of.life.care;.Treatment/preventioo-morbidities;.Technology;.Diagnostic;</t>
  </si>
  <si>
    <t>Effect.measure</t>
  </si>
  <si>
    <t>Measurement.method</t>
  </si>
  <si>
    <t>Measurement.type</t>
  </si>
  <si>
    <t>Pre_mean</t>
  </si>
  <si>
    <t>Pre_N</t>
  </si>
  <si>
    <t>Pre_SD</t>
  </si>
  <si>
    <t>Post_mean</t>
  </si>
  <si>
    <t>Post_N</t>
  </si>
  <si>
    <t>Post_SD</t>
  </si>
  <si>
    <t>95CI_lower</t>
  </si>
  <si>
    <t>95CI_upper</t>
  </si>
  <si>
    <t>Duration</t>
  </si>
  <si>
    <t>Aboulafia-Brakha 2014</t>
  </si>
  <si>
    <t>Cognitive–behavioural group therapy</t>
  </si>
  <si>
    <t>Support for carers</t>
  </si>
  <si>
    <t>Group support and therapy</t>
  </si>
  <si>
    <t>Brazil</t>
  </si>
  <si>
    <t>"The recruitment was carried out at the Cognitive Disorders Reference Center – CEREDIC of the Medical School of Universidade de S~ao Paulo – Clinical Hospital (HCFMUSP)."</t>
  </si>
  <si>
    <t>Alzheimer's Disease</t>
  </si>
  <si>
    <t>Dementia</t>
  </si>
  <si>
    <t>Moderate to severe</t>
  </si>
  <si>
    <t>Yes</t>
  </si>
  <si>
    <t>high risk</t>
  </si>
  <si>
    <t>some concerns</t>
  </si>
  <si>
    <t>59.42</t>
  </si>
  <si>
    <t>100</t>
  </si>
  <si>
    <t>(8.3% were in paid emplyment)</t>
  </si>
  <si>
    <t>Structured group discussion and CBT sessions for caregivers (90 minutes, 1/week, over 8 weeks)</t>
  </si>
  <si>
    <t>"CBT group: caregivers allocated to this group were
divided in small groups of six to eight participants.
They benefited from eight 90-minute group sessions
held once a week, with pre-established discussion
themes. These included life activities before
and after caring for their AD relative, the family
dynamic around the affected member and the caregiver
relationship with his/her relative. Using cognitive–
behavioural techniques, such as cognitive
restructuring and behaviour modifications, participants
were encouraged to resume some of the activities
they had abandoned after becoming a
caregiver and to favour the inclusion of other family
members in caregiving activities. For example,
in one of the sessions, participants chose one activity
they wanted to carry out during the next week
and that was feasible if someone else took care of
their proxy. Cognitions and emotions related to this
attitude were discussed prior to exposure, and participants
could also benefit from encouragement of
the other group fellows. The following week, they
were invited to share their experience in the group,
where alternative ways of thinking and feeling
about the situation were identified. Further, psychoeducation facts transmitted to the EDUC
group (including management of AD’s neuropsychiatric
symptoms) were also covered in the CBT
group, but in an interactive manner, which explains
the need for slightly longer sessions. Discussions
between group members and role-plays were regularly
encouraged in order to strengthen the understanding
of the different topics. In order to test and
apply the skills learned during the sessions, homework
tasks were recommended, such as practicing
in vivo what was rehearsed in role-plays."</t>
  </si>
  <si>
    <t>Intervention for carers</t>
  </si>
  <si>
    <t>Caregiver burden</t>
  </si>
  <si>
    <t>ZBI</t>
  </si>
  <si>
    <t>Raw</t>
  </si>
  <si>
    <t>35.0</t>
  </si>
  <si>
    <t>11</t>
  </si>
  <si>
    <t>13.5</t>
  </si>
  <si>
    <t>38.1</t>
  </si>
  <si>
    <t>12.9</t>
  </si>
  <si>
    <t>8 weeks</t>
  </si>
  <si>
    <t>Psychoeducation group programme (Control)</t>
  </si>
  <si>
    <t>Information, education, and training to support carers</t>
  </si>
  <si>
    <t>55.07</t>
  </si>
  <si>
    <t>67</t>
  </si>
  <si>
    <t>(53.3% were in paid employment)</t>
  </si>
  <si>
    <t>Structured group education session for caregivers (60 minutes,  1/week, over 8 weeks)</t>
  </si>
  <si>
    <t>EDUC group: in this group, caregivers participated
in eight 60-minute group sessions held once
a week, with up to 17 participants together. They
received information on AD. The programme was based on the work of Zarit, Anthony, and Boutselis
(1987) and Parks and Novielli (2000), and covered
the diagnosis process, cognitive symptoms,
different stages of the disease and available treatment
methods. Advices concerning interaction
with the patient, how to deal with neuropsychiatric
symptoms such as disinhibition, aggressiveness
and delusions, as well as security issues
were also given. Information was transmitted in a
structured format with the aid of presentation software.
At the end of the sessions, participants were
allowed to ask questions, but little opportunity
was given for discussion of personal issues and
interactions between participants."</t>
  </si>
  <si>
    <t>31.3</t>
  </si>
  <si>
    <t>15</t>
  </si>
  <si>
    <t>11.9</t>
  </si>
  <si>
    <t>34.2</t>
  </si>
  <si>
    <t>16.3</t>
  </si>
  <si>
    <t>Amit 2008</t>
  </si>
  <si>
    <t>Control</t>
  </si>
  <si>
    <t>No intervention</t>
  </si>
  <si>
    <t>India</t>
  </si>
  <si>
    <t>Caregivers of people living with dementia were recruited from the community. “The study was conducted in Goa, on the west coast of India. Goa is in an advanced stage of the epidemiological and demographic transition in the country, with some of the best health indicators [7] and a rising proportion of older people; the 2001 Census reported that 8.3% of the total population was aged over 60 years[8]. The consensus figure for prevalence of dementia in India is 1.9% above the age of 60 years [3]The present trial was carried out in two of the largest administrative blocks (talukas) in the state - Bardez and Tiswadi with a population of approximately 340,000.”</t>
  </si>
  <si>
    <t>Dementia (general/unspecified)</t>
  </si>
  <si>
    <t>Mild to moderate</t>
  </si>
  <si>
    <t>low risk</t>
  </si>
  <si>
    <t>Below primary: 19%</t>
  </si>
  <si>
    <t>32.5</t>
  </si>
  <si>
    <t>53.8</t>
  </si>
  <si>
    <t>85</t>
  </si>
  <si>
    <t>Education and information (wait list for intervention)</t>
  </si>
  <si>
    <t>“The control arm dyads received only education and information regarding dementia and were then placed in a waiting list to receive the intervention after 6 months. They were free to utilize the existing health services during this time.”</t>
  </si>
  <si>
    <t>N/A</t>
  </si>
  <si>
    <t>SMD</t>
  </si>
  <si>
    <t>26</t>
  </si>
  <si>
    <t>6 months</t>
  </si>
  <si>
    <t>Home care program</t>
  </si>
  <si>
    <t>Training and education for carers</t>
  </si>
  <si>
    <t>Training and education for unpaid carers</t>
  </si>
  <si>
    <t>Below primary: 16%</t>
  </si>
  <si>
    <t>36.6</t>
  </si>
  <si>
    <t>53.2</t>
  </si>
  <si>
    <t>90.2</t>
  </si>
  <si>
    <t>Flexible home-care program tailored to needs of the individual with dementia and their family, delivered by a team of home care advisors, specialist doctor, and counsellor, over 6 months.</t>
  </si>
  <si>
    <t>“The intervention was delivered by a Community Team, one for each taluka. Each team comprised two full-time Home Care Advisors (HCA), and a part-time local psychiatrist from the public health services, and a part-time lay counselor (who was shared by both teams). The minimum requirements for being a HCA were knowledge of the local language, being literate, preferably passed higher secondary school, and motivated to be involved in the community care of older people. They received intensive training for a week through role play and interactive training methods. The HCA were trained in key skills including listening and counselling skills, bereavement counseling, stress management and health advice for common health problems. The specific components of the intervention carried out by the HCA were: Basic education about dementia (what is the disease, its course, its features etc); Education about common behaviour problems and how they can be managed; Support to the caregiver, for example for an elderly caregiver living alone with the patient, in activities of daily living; Referral to psychiatrists or the family doctor when behaviour problems are severe and warrant medication intervention; Networking of families to enable the formation of support groups; Advice regarding existing government schemes for elders. The HCA applied a flexible home-care program tailored to the needs of the individual and the family. The baseline information collected by the researchers was made available to the HCA before they initiated the intervention. The minimum frequency of visits was at least once a fortnight for six months. The maximum was based on the needs as assessed by the HCA. Thus, the visits could be more frequent depending on the need of that particular family.”</t>
  </si>
  <si>
    <t>-3.29</t>
  </si>
  <si>
    <t>33</t>
  </si>
  <si>
    <t>-6.78</t>
  </si>
  <si>
    <t>0.2</t>
  </si>
  <si>
    <t>Guerra 2011</t>
  </si>
  <si>
    <t>Intervention group</t>
  </si>
  <si>
    <t>Peru</t>
  </si>
  <si>
    <t xml:space="preserve">Intervention was carried out at the participant's home. </t>
  </si>
  <si>
    <t>Any severity stage</t>
  </si>
  <si>
    <t>55.5% completed secondary or more</t>
  </si>
  <si>
    <t>79.3</t>
  </si>
  <si>
    <t>53.3</t>
  </si>
  <si>
    <t>85.7</t>
  </si>
  <si>
    <t>10/66 caregiver intervention consisting of education and training in 5 weekly 30-minute sessions</t>
  </si>
  <si>
    <t>"The 10/66 intervention targets the main caregiver, but it also includes members of the immediate and extended family. The aim is to provide basic education about dementia and specific training on managing problem behaviors. The three simple, manualised modules are delivered over five weekly sessions with 30 minutes each. Module 1 - Assessment (one session): a) Cognitive and functional impairments; b) Caregiver’s knowledge and understanding of dementia; andc) Care arrangements (Who are the family members? Who lives with the person with dementia? How do they assist the main caregiver? Which behavioral problems present most difficulties? How burdened do they feel?). Module 2 - Basic education (two sessions): a) General introduction to the illness; b) What to expect in the future; c) What causes and what does not cause dementia?; and d) Locally available care and treatment. Module 3 - Training on problem behaviors (two sessions):Up to eight problem behaviors identified in the assessment are addressed (personal hygiene, dressing, incontinence, repeated questioning, clinging, aggression, wandering, and apathy)"</t>
  </si>
  <si>
    <t>Caregiver distress</t>
  </si>
  <si>
    <t>NPI-Q</t>
  </si>
  <si>
    <t>-0.09</t>
  </si>
  <si>
    <t>27</t>
  </si>
  <si>
    <t>-0.64</t>
  </si>
  <si>
    <t>0.48</t>
  </si>
  <si>
    <t>Waiting list control group</t>
  </si>
  <si>
    <t>37.0% completed secondary or more; 2 missing values</t>
  </si>
  <si>
    <t>69.0</t>
  </si>
  <si>
    <t>47.6</t>
  </si>
  <si>
    <t>89.7</t>
  </si>
  <si>
    <t>Waiting list</t>
  </si>
  <si>
    <t>" caregivers of people with dementia that received the intervention six months later"</t>
  </si>
  <si>
    <t>29</t>
  </si>
  <si>
    <t>Caregiver environmental quality of life</t>
  </si>
  <si>
    <t>WHO-QoL-Bref</t>
  </si>
  <si>
    <t>-0.22</t>
  </si>
  <si>
    <t>-0.75</t>
  </si>
  <si>
    <t>0.3</t>
  </si>
  <si>
    <t>Caregiver physical quality of life</t>
  </si>
  <si>
    <t>0.49</t>
  </si>
  <si>
    <t>0</t>
  </si>
  <si>
    <t>0.99</t>
  </si>
  <si>
    <t>Caregiver psychological morbidity</t>
  </si>
  <si>
    <t>SRQ-20</t>
  </si>
  <si>
    <t>-0.66</t>
  </si>
  <si>
    <t>0.4</t>
  </si>
  <si>
    <t>0.1</t>
  </si>
  <si>
    <t>-0.47</t>
  </si>
  <si>
    <t>0.68</t>
  </si>
  <si>
    <t>-1.02</t>
  </si>
  <si>
    <t>-1.53</t>
  </si>
  <si>
    <t>-0.51</t>
  </si>
  <si>
    <t>Caregiver social quality of life</t>
  </si>
  <si>
    <t>0.39</t>
  </si>
  <si>
    <t>-0.15</t>
  </si>
  <si>
    <t>0.93</t>
  </si>
  <si>
    <t>Caregiver neuropsychiatric symptoms</t>
  </si>
  <si>
    <t>NPI-Q severity</t>
  </si>
  <si>
    <t>-0.1</t>
  </si>
  <si>
    <t>Patient quality of life</t>
  </si>
  <si>
    <t>DEMQOL</t>
  </si>
  <si>
    <t>0.32</t>
  </si>
  <si>
    <t>-0.84</t>
  </si>
  <si>
    <t>1.48</t>
  </si>
  <si>
    <t>JIANG 2012</t>
  </si>
  <si>
    <t>对照组</t>
  </si>
  <si>
    <t>China</t>
  </si>
  <si>
    <t xml:space="preserve">Hospital </t>
  </si>
  <si>
    <t>No</t>
  </si>
  <si>
    <t>MMSE</t>
  </si>
  <si>
    <t>18.52</t>
  </si>
  <si>
    <t>48</t>
  </si>
  <si>
    <t>3.4</t>
  </si>
  <si>
    <t>20.33</t>
  </si>
  <si>
    <t>3.49</t>
  </si>
  <si>
    <t>54.17</t>
  </si>
  <si>
    <t>Conventional therapy with Piracetam and Donepezil</t>
  </si>
  <si>
    <t>"按医嘱进行脑复康，多奈哌齐 等药物治疗，康复护理干预期间药物剂量不变。 "</t>
  </si>
  <si>
    <t>Multicomponent (Conventional therapy + Pharmaceutical)</t>
  </si>
  <si>
    <t>Patient cognitive function</t>
  </si>
  <si>
    <t>12 months</t>
  </si>
  <si>
    <t xml:space="preserve">研究组 </t>
  </si>
  <si>
    <t>Comprehensive care interventions</t>
  </si>
  <si>
    <t>Individual-based interventions</t>
  </si>
  <si>
    <t>18.309999999999999</t>
  </si>
  <si>
    <t>3.63</t>
  </si>
  <si>
    <t>22.08</t>
  </si>
  <si>
    <t>6.15</t>
  </si>
  <si>
    <t>58.33</t>
  </si>
  <si>
    <t>Conventional therapy with Piracetam and Donepezil + whole course rehabilitafion nursing intervention including cognitive intervention，memory intervention，behaviour intervention，psychological intervention，safety intervention，community family nursing intervention，etc</t>
  </si>
  <si>
    <t>"按医嘱进行脑复康，多奈哌齐 等药物治疗，康复护理干预期间药物剂量不变。 "研究组于入院第2天开始，根据本院编制的《老年痴呆全程康复护理规程》进行全程康复护理干预。 内容包括：①组织与管理：成立由专家、责任医生、责任护士、 护工组成的AD全程康复护理指导小组，小组成员负责制订 AD患者个性化全程康复护理计划，并负责组织实施。②健 康教育：针对AD患者的健康问题和照顾者对健康教育知识 的需求，每周进行相关老年性痴呆健康教育。③认知干预：干 预患者分析、综合、推理、判断和计算的能力，主要方法为3R 护理即Reminiscence(回忆往事)、Reality(现实定向)和 Remotivation(记忆再激发)。主要包括计算能力训练(如计算 家庭每月食品费、水电费、电话费、医疗费等开支，再算半年和 全年费用等)、数字排列训练(如扑克牌打乱后再让患者按顺 序排列等)、分类法训练(如给患者一张写有40种物品名称 的清单，让患者进行归类)等，每天训练三次。④记忆干预： 每天帮助患者记忆住所的环境、周围的人和物，最近进行的一 些活动等。⑤语言训练：要求患者叙述每天周围发生的事件、 家庭情况、新闻故事，让患者多交流，每天至少三次，防止出现 语言障碍。⑥行为干预：根据患者功能障碍情况，从13常生活 的穿衣、饮食、住房、用厕、出行等开始，并从患者的日常生活、 文体活动或一些轻的劳动过程中选出一些能使患者感兴趣并 有助于恢复功能和技能的活动，并按要求进行训练，帮助维持 或恢复功能。根据患者状况确定训练时间。⑦心理干预：每 天根据患者出现焦虑和抑郁等负性情绪的特点，采用安慰、鼓励、暗示以及听音乐、看幽默剧等方法对患者及照顾者进行心 理干预。同时鼓励患者与家人、亲友交往，从思想上、情感上 尽可能沟通，以减少患者的内心痛苦、孤独感、失望感、自罪自 责感。⑧用药指导：指导和督促患者按医嘱科学用药。⑨安 全干预：营造一个舒适、安全的住院环境及家居环境，防止出 现并发症和各种意外事故(如摔倒、骨折、走失、火灾、自杀自 残等)发生。⑩社区一家庭护理干预：患者在出院后，进行家庭 跟踪随访护理干预，每月为患者及照顾者进行讲课，每2周上 门随访1次，每周电话随访1次，了解患者的康复治疗情况， 提出相关指导意见。 "</t>
  </si>
  <si>
    <t>Multicomponent intervention (Conventional therapy +  non-pharmacological)</t>
  </si>
  <si>
    <t>Kamkhagi 2015</t>
  </si>
  <si>
    <t>Body awareness therapy (BAT)</t>
  </si>
  <si>
    <t>psychogeriatric clinic of a tertiary hospital in Brazil (Institute of Psychiatry, Faculty of Medicine, Uni-versity of Sao Paulo</t>
  </si>
  <si>
    <t>94% high school or higher</t>
  </si>
  <si>
    <t>55.7</t>
  </si>
  <si>
    <t>70</t>
  </si>
  <si>
    <t>Body Awareness Therapy once a week in a total of 14 group sessions of 90 minutes of duration each.</t>
  </si>
  <si>
    <t>"The facilitators of BAT sessions were a physical therapist and a psychologist." "The BAT intervention was designed according to the “Func-tional Symbolic Dynamics” methodology, created by Marcia Taques Bittencourt17, which has as a major goal to bring the patient to bodily self-awareness. This intervention started with a physical evaluation by the therapist and uses several physiotherapeutic backgrounds such as calatonia, eutonia, feldenkrais, relaxing, somatic experience, spontaneous movements and dance. Petho Sándor18 established in 1974 the basis for the utilization of soft touches in specific points, which uses the high potential of the skin sensitivity, promoting a multi-sensorial experience, physical and psychological rebalancing, and leading the recipients of the intervention to pay more attention to themselves. Body relaxation is considered a psychophysiological reconditioning method. In eutonia, through attention and self-observation, using auxiliary objects, the individual can get in contact with his/her internal rhythm. The sequence of Feldenkrais slow movements will explore the patterns and limits of the body. During the sessions, some tools were used to awaken new perceptions, such as: bed linen, clay, little balls and drawings."</t>
  </si>
  <si>
    <t>Non-pharmacological intervention</t>
  </si>
  <si>
    <t>48.9</t>
  </si>
  <si>
    <t>17</t>
  </si>
  <si>
    <t>15.1</t>
  </si>
  <si>
    <t>37.1</t>
  </si>
  <si>
    <t>9.8</t>
  </si>
  <si>
    <t>Psychodynamic group therapy (PGT)</t>
  </si>
  <si>
    <t>85% high school or higher</t>
  </si>
  <si>
    <t>62.1</t>
  </si>
  <si>
    <t>75</t>
  </si>
  <si>
    <t>Psychodynamic group therapy once a week in a total of 14 group sessions of 90 minutes of duration each.</t>
  </si>
  <si>
    <t>"In the PGT group, several aspects of the caregiver roles were dealt with through the intervention program, reinforcing their resilience abilities. The most frequent aspects, usually raised spontaneously by participants (otherwise prompted by facilitators) were: loneliness and helplessness associated with the caregiver’s role, occurrence of family conflicts, and changing roles within the family dynamics. Participants were encouraged by the facilitators to get in contact with their feelings of sadness, frustration, anger and guilt, and to further name and elaborate the feelings they experience when dealing with these situations. In the first moment, the participants were asked to think about their previous relationship with the patient under their care, as it used to be before the onset of dementia, and then to update this notion to the present reality, thus enabling the elaboration of new ways to maintain an affectionate caring relationship with their relative. In a second moment, facilitators of the PGT group worked on other roles that the caregiver used to play in the family dynam-ics before the onset of the illness, and the necessary adaptations to the present time, particularly due to the necessity of performing unwanted roles and having to abandon (or at least cutback) the engagement in other competing roles. Some effort is dedicated by fa-cilitators to establish and reinforce empathy with the difficulties faced by the subject, discussing strategies to better cope with the various sources of burden of care. Towards the completion of the program, facilitators discuss the lack of recognition of the caregiver’s efforts by other family members and encourage participants to nominate their perceived and unattended rights; this “caregiver declaration of rights” usually warrants them a place of existence and gratefulness for their feelings and concerns."</t>
  </si>
  <si>
    <t>35.3</t>
  </si>
  <si>
    <t>20</t>
  </si>
  <si>
    <t>12.8</t>
  </si>
  <si>
    <t>24.0</t>
  </si>
  <si>
    <t>7.7</t>
  </si>
  <si>
    <t>Lin 2017</t>
  </si>
  <si>
    <t xml:space="preserve"> Nursing intervention </t>
  </si>
  <si>
    <t xml:space="preserve">urban, community </t>
  </si>
  <si>
    <t>66.54</t>
  </si>
  <si>
    <t>66.67</t>
  </si>
  <si>
    <t>25.64</t>
  </si>
  <si>
    <t>"Nursing intervention according to the community nurse family visit program set up in this study, including the caregiver training, issued “dementia caregivers manual’’ and telephone follow—up for period of 3 months"</t>
  </si>
  <si>
    <t xml:space="preserve">"1．2．1．1方案制定及社区护士培训 研究者在文献 查阅基础上形成初稿，经4位精神科及老年科护理领 域专家论证后，最终形成《社区失智老人居家照顾者照 护技能培训方案》及《失智症照顾者手册》。社区护士 失智症管理培训以学习讲座形式进行，由4位失智症 护理及老年护理领域专家授课，内容主要包括：①家庭 访视的方法和技巧；②认识失智症；③失智症的家庭护 理；④失智症日常康复训练；⑤照顾者自我照顾及社区 资源支持；⑥常规护理实践指导；⑦失智症日常生活照 顾实践指导等。采用体验式学习法，以情景模拟体验、 案例分析分享、小组讨论交流等多种方式进行，由授课 专家对培训护士进行理论及实践操作考核。共计5次 课程，每次3 h～4 h。 1．2．1．2人员分配及家庭访视 根据社区医护人员 课程培训结果，对培训合格的社区护士进行人员分配 及职责划分，每名护士负责3例～4例失智老人居家 照顾者的家庭访视，每2周进行1次集中讨论，讨论本 组内失智老人及其照顾者的现况并实时更新记录，如 遇不能解决的照顾问题，及时向专家求助。家庭访视 每周1次，每次1．5 h～2．0 h，具体工作可进行个体化 调整，注重理论学习与实际生活的联系，所有内容都要
针对照顾者家庭的实际情况由社区护士进行一对一指 导。首次家庭访视时主动进行自我介绍，获得照顾者 的信任和许可后，发放《失智症照顾者手册》及用以预 防失智老人走失的“黄手环”，评估失智老人的基本情 况(病人病情、日常生活能力等)及照顾者需求(疾病知 识、协助病人日常活动、环境安全设施设置等)等问题 并记录，结合手册进行失智症疾病基础知识的指导，使 照顾者意识到失智症并非是正常老化所造成的，是需 要治疗和护理的，让照顾者对失智症有一定的了解。 第2次结合“日常生活照顾指导”主题，按照家庭访视 常规流程进行，以手册为基础对照顾者进行饮食、口腔 卫生、排泄、洗澡穿衣及睡眠休息等内容的指导，如何 为失智老人提供营养丰富的三餐，运用定时如厕等方 法避免失智老人弄脏衣裤等。第3次进行“安全护理” 及“康复技能”指导，如何预防与应对异常行为、定向力 及记忆力训练等内容，引导失智老人浏览老照片、讲述 老故事以延缓记忆衰退等。第4次进行“照顾者自我 照顾”及“社区医疗资源利用”指导，引导照顾者接纳病 人，进行自我心理调适；合理安排时间，多参与健身及 娱乐活动以丰富生活，同时减轻照顾压力；多与家庭成 员交流，勇于表达自己的难处，接受外界的帮助，建立 有效的家庭支持系统；合理接纳和利用来自社区医疗 机构及心理援助组织的相关医疗支持；了解日间照护中心、“护老者之家”、喘息服务等政府养老服务资源并 学会根据自己的实际情况做出最佳的医疗服务决策。 在进行理论学习的同时，根据被访家庭的具体情况，由 社区护士为其提供个性化的支持和指导，注重与照顾 者的交流，利用倾听、共情、肢体接触等方式为照顾者 提供心理及情感支持，允许照顾者通过抱怨、哭泣等方 式进行不良情绪的发泄；将社区养老服务机构的宣传 资料发给照顾者，详细介绍社区资源的使用条件及方 法，同照顾者一起根据失智老人的健康状况及家庭条 件选择最佳的养老服务；陪照顾者检视家庭环境，排除 存在跌倒风险的居家陈设，减少青团、糕团等易诱发噎 食的食物，引导照顾者积极对待照顾活动，将所学知识 真正融人实际生活。 1．2．1．3 电话随访 家庭访视结束后，每周1次电话 随访照顾者，通过与照顾者电话沟通了解仍未解决的 问题，并予以指导，根据情况可以安排再次进行人户。 第2个月开始每两周进行1次电话随访，直至干预 结束。 "
</t>
  </si>
  <si>
    <t>Unspecified</t>
  </si>
  <si>
    <t>16.10</t>
  </si>
  <si>
    <t>33.64</t>
  </si>
  <si>
    <t>15.49</t>
  </si>
  <si>
    <t>3 months</t>
  </si>
  <si>
    <t>Routine community management (control)</t>
  </si>
  <si>
    <t>62.79</t>
  </si>
  <si>
    <t>56.41</t>
  </si>
  <si>
    <t>28.21</t>
  </si>
  <si>
    <t>Routine community management</t>
  </si>
  <si>
    <t>"接受常规社区卫生服务，依照社区精 神类疾病护理管理常规进行，照顾者根据失智老人病 情变化可随时根据需要前往社区卫生服务中心等医疗 单位就诊。 "</t>
  </si>
  <si>
    <t>community management</t>
  </si>
  <si>
    <t>9.18</t>
  </si>
  <si>
    <t>58.26</t>
  </si>
  <si>
    <t>10.60</t>
  </si>
  <si>
    <t>Quality of life</t>
  </si>
  <si>
    <t>7.83</t>
  </si>
  <si>
    <t>55.04</t>
  </si>
  <si>
    <t>5.88</t>
  </si>
  <si>
    <t>4.20</t>
  </si>
  <si>
    <t>46.77</t>
  </si>
  <si>
    <t>4.00</t>
  </si>
  <si>
    <t>Lök 2017</t>
  </si>
  <si>
    <t>"First You Should Get Stronger" caregiving programme</t>
  </si>
  <si>
    <t>Turkey</t>
  </si>
  <si>
    <t>Erenköy - a rural village (population circa 1500) in Turkey. Intervention delivered at carers homes</t>
  </si>
  <si>
    <t>Not specified</t>
  </si>
  <si>
    <t>45.0</t>
  </si>
  <si>
    <t>52.97</t>
  </si>
  <si>
    <t>70.0</t>
  </si>
  <si>
    <t>7 session home delivered bespoke caregiver information programme focused on for strengthening the caregiver, decreasing the caregiving burden and developing healthy life style behaviours</t>
  </si>
  <si>
    <t>"Visits were carried
out by the researcher once every week with each session lasting
45 min. [...] The content of the program was designed in accordance with
the relevant literature before the study was implemented entia
(Alves, Teixeira, Azevedo, Duarte, &amp; Paúl, 2015; Arango-Lasprilla
et al., 2014; Ducharme et al., 2015; Hou et al., 2013; Pinquar and
Sörensen, 2006). We sought expert opinions from four faculty
members in the psychiatric nursing department (1), public health
nursing department (2), internal medical nursing department(1)
who were specialized in working with the families of patients with
dementia. Final revisions were made in the program in accordance
with the opinions of experts. The program consists of seven
sessions for strengthening the caregiver, decreasing the caregiving
burden and developing healthy life style behaviors (Table 1). [...] Session 1 Introduction, learning about dementia and the
individual for whom care is given
Session 2 Communication with individuals with dementia
(caregiving without being derogatory)
Session 3 Defining the difficulties experienced by the
individual with dementia
Session 4 Carrying out the systematics of daily works
Session 5 Determining social support systems
Session 6 Carrying out activities for enhancing and developing
the health of the caregiver
Session 7 General evaluation and closure"</t>
  </si>
  <si>
    <t>78.3</t>
  </si>
  <si>
    <t>4.46</t>
  </si>
  <si>
    <t>67.099999999999994</t>
  </si>
  <si>
    <t>7.18</t>
  </si>
  <si>
    <t>7 weeks</t>
  </si>
  <si>
    <t>51.76</t>
  </si>
  <si>
    <t>65.0</t>
  </si>
  <si>
    <t>Appears to be no intervention</t>
  </si>
  <si>
    <t>78.45</t>
  </si>
  <si>
    <t>3.26</t>
  </si>
  <si>
    <t>3.79</t>
  </si>
  <si>
    <t>Mahdavi 2017</t>
  </si>
  <si>
    <t>Control 1</t>
  </si>
  <si>
    <t>Iran</t>
  </si>
  <si>
    <t>Family caregivers of the elderly with Alzheimer's disease registered in Iran Alzheimer's Association in 2014</t>
  </si>
  <si>
    <t>Group sessions without spiritual therapy, 45-60 minutes for 5 weeks</t>
  </si>
  <si>
    <t>"Five, 45 to 60 minute weekly sessions were held for control group one. In these sessions caregivers were meet each other in groups, with-out performing any particular interventions, and daily issues were discussed"</t>
  </si>
  <si>
    <t xml:space="preserve">Intervention for carers </t>
  </si>
  <si>
    <t>Change from baseline (within group)</t>
  </si>
  <si>
    <t>36.75</t>
  </si>
  <si>
    <t>1.35</t>
  </si>
  <si>
    <t>36.64</t>
  </si>
  <si>
    <t>1.28</t>
  </si>
  <si>
    <t>Control 2</t>
  </si>
  <si>
    <t>"Control group two received no interventions, or even the chance of meeting the caregivers in the group"</t>
  </si>
  <si>
    <t>37.58</t>
  </si>
  <si>
    <t>1.64</t>
  </si>
  <si>
    <t>37.19</t>
  </si>
  <si>
    <t>1.53</t>
  </si>
  <si>
    <t xml:space="preserve">Intervention </t>
  </si>
  <si>
    <t>Spiritual group therapy 45-60 minutes for 5 weeks</t>
  </si>
  <si>
    <t>Spiritual group therapy was held weekly
for
five weeks and each session lasted 45 to 60 min. Subjects presented
included: Introduction and formation of group solidarity in session one,
The role of reciting the Quran in personal peace in session two, The role
of recommended recitals and repeat them in personal peace in session
three, The role of reciting prayers in personal peace in session four
and Explaining the experience of spiritual care and its effects, preparing members to leave the group and take advantage of the group's achieve-
ments in session
fi
ve.</t>
  </si>
  <si>
    <t>37.159999999999997</t>
  </si>
  <si>
    <t>1.26</t>
  </si>
  <si>
    <t>32.43</t>
  </si>
  <si>
    <t>2.73</t>
  </si>
  <si>
    <t>Change from baseline (between group)</t>
  </si>
  <si>
    <t>Mercedeh 2014</t>
  </si>
  <si>
    <t>Controlled group</t>
  </si>
  <si>
    <t>Precise setting not stated but members of an Alzheimers Association and took place in urban Tehran.</t>
  </si>
  <si>
    <t>100%</t>
  </si>
  <si>
    <t>25.3</t>
  </si>
  <si>
    <t>10</t>
  </si>
  <si>
    <t>7.33</t>
  </si>
  <si>
    <t>44.7</t>
  </si>
  <si>
    <t>13.71</t>
  </si>
  <si>
    <t>Experimental group</t>
  </si>
  <si>
    <t>31.6</t>
  </si>
  <si>
    <t>16.36</t>
  </si>
  <si>
    <t>24</t>
  </si>
  <si>
    <t>14.25</t>
  </si>
  <si>
    <t>Caregiver depression</t>
  </si>
  <si>
    <t>12.7</t>
  </si>
  <si>
    <t>4.57</t>
  </si>
  <si>
    <t>19.399999999999999</t>
  </si>
  <si>
    <t>9.2100000000000009</t>
  </si>
  <si>
    <t>6.16</t>
  </si>
  <si>
    <t>6.7</t>
  </si>
  <si>
    <t>2.54</t>
  </si>
  <si>
    <t>47.61</t>
  </si>
  <si>
    <t>18.32</t>
  </si>
  <si>
    <t>37.57</t>
  </si>
  <si>
    <t>58.01</t>
  </si>
  <si>
    <t>24.01</t>
  </si>
  <si>
    <t>70.98</t>
  </si>
  <si>
    <t>11.11</t>
  </si>
  <si>
    <t>Orawan 2018</t>
  </si>
  <si>
    <t>Enhancing positive aspects of caregiving program (EPACP)</t>
  </si>
  <si>
    <t>Thailand</t>
  </si>
  <si>
    <t>participants were recruited from three secondary medical care hospitals in the central part of Thailand.</t>
  </si>
  <si>
    <t>55.11</t>
  </si>
  <si>
    <t>83.3</t>
  </si>
  <si>
    <t>EPACP plus usual care. The program consistedof six groups sessions and one individual session</t>
  </si>
  <si>
    <t>" The
EPACP was developed based on the Kramer’s twofactor adaptation model4 and designed to increase
caregiving self-efficacy, spirituality, social support,
and maintain positive caregiving experiences for
family caregiver of the person with dementia. Strategies
used included information provision and skill training;
exploring spirituality; finding positive events in their
lives; mindfulness practice; positive reappraisal
activities; and goal setting practice all conducted through
group discussions and training. Individual counseling
was also given. A dementia caregiving booklet, role
model, and video were also used. The program consisted
of six groups sessions and one individual session. Three
groups of 15 family members met once a week, for 2
hours over 6 weeks. At week 7, the PI offered the
individual sessions (see details in Table 1)."</t>
  </si>
  <si>
    <t>44.08</t>
  </si>
  <si>
    <t>36</t>
  </si>
  <si>
    <t>1.1299999999999999</t>
  </si>
  <si>
    <t>43.27</t>
  </si>
  <si>
    <t>2.4700000000000002</t>
  </si>
  <si>
    <t>12 weeks</t>
  </si>
  <si>
    <t>Usual care (Control Group)</t>
  </si>
  <si>
    <t>55.66</t>
  </si>
  <si>
    <t>72.2</t>
  </si>
  <si>
    <t>Usual care which included health education or suggestions fromnurses and other professionals at psychiatric clinicsof hospital or at home.</t>
  </si>
  <si>
    <t>"For the
control group, participants received only usual care
which included health education or suggestions from
nurses and other professionals at psychiatric clinics
of hospital or at home. "</t>
  </si>
  <si>
    <t>37.75</t>
  </si>
  <si>
    <t>3.86</t>
  </si>
  <si>
    <t>37.36</t>
  </si>
  <si>
    <t>5.89</t>
  </si>
  <si>
    <t>42.58</t>
  </si>
  <si>
    <t>3.2</t>
  </si>
  <si>
    <t>39.19</t>
  </si>
  <si>
    <t>4.5199999999999996</t>
  </si>
  <si>
    <t>20 weeks</t>
  </si>
  <si>
    <t>Subjective well-being</t>
  </si>
  <si>
    <t>79.44</t>
  </si>
  <si>
    <t>11.19</t>
  </si>
  <si>
    <t>98.61</t>
  </si>
  <si>
    <t>10.8</t>
  </si>
  <si>
    <t>79.77</t>
  </si>
  <si>
    <t>11.02</t>
  </si>
  <si>
    <t>100.11</t>
  </si>
  <si>
    <t>10.49</t>
  </si>
  <si>
    <t>98.91</t>
  </si>
  <si>
    <t>10.050000000000001</t>
  </si>
  <si>
    <t>99.8</t>
  </si>
  <si>
    <t>11.25</t>
  </si>
  <si>
    <t>100.27</t>
  </si>
  <si>
    <t>9.56</t>
  </si>
  <si>
    <t>11.23</t>
  </si>
  <si>
    <t>Pahlavanzadeh 2010</t>
  </si>
  <si>
    <t>Modares Psychiatric Hospital and Shariati Psychiatric clinic in the city of Isfahan, which are the centers for elderly with dementia</t>
  </si>
  <si>
    <t>Illiterate: 16%; Primary school: 68%; Guidance school: 8%; High school diploma: 8%; Higher education: 0%</t>
  </si>
  <si>
    <t>56</t>
  </si>
  <si>
    <t>46.56</t>
  </si>
  <si>
    <t>68</t>
  </si>
  <si>
    <t>No details</t>
  </si>
  <si>
    <t>43.28</t>
  </si>
  <si>
    <t>25</t>
  </si>
  <si>
    <t>13.08</t>
  </si>
  <si>
    <t>46.8</t>
  </si>
  <si>
    <t>3.13</t>
  </si>
  <si>
    <t>Family education program</t>
  </si>
  <si>
    <t>Illiterate: 48%; Primary school: 32%; Guidance school: 4%; High school diploma: 16%; Higher education: 0%</t>
  </si>
  <si>
    <t>44</t>
  </si>
  <si>
    <t>42.88</t>
  </si>
  <si>
    <t>84</t>
  </si>
  <si>
    <t>Family education programme for caregivers; 5 weekly group sessions for 90 minutes each, plus recordings on CD</t>
  </si>
  <si>
    <t>"Caregivers of the case group attended family educational program after signing a consent form. Patients and controls were not present in this program. The content of the program was based on an educational pamphlet prepared and edited by the researchers through reading books and articles. The content was approved by 10 psychiatrists, neurologist and faculty members of the School of Nursing and Midwifery of Isfahan University of Medical Sciences. This program included 5 weekly sessions22 using lecturing, group discussions (10-15 members in groups), and question and answer as table 1 presents. The duration of each session was 90 minutes23 and the place was Noor Hospital in Isfahan. This program was conducted under the supervision of the first researcher who has several years of experience as a university lecturer and patients and their families’ educator and also has a master degree in psychiatry. Meanwhile, CDs of all the sessions were provided to caregivers of the case group."</t>
  </si>
  <si>
    <t>Intervention for caregivers</t>
  </si>
  <si>
    <t>42</t>
  </si>
  <si>
    <t>65.17</t>
  </si>
  <si>
    <t>44.35</t>
  </si>
  <si>
    <t>65.150000000000006</t>
  </si>
  <si>
    <t>64.5</t>
  </si>
  <si>
    <t>25.13</t>
  </si>
  <si>
    <t>1 month post treatment</t>
  </si>
  <si>
    <t>56.33</t>
  </si>
  <si>
    <t>54.14</t>
  </si>
  <si>
    <t>Salamizadeh 2017</t>
  </si>
  <si>
    <t>City of Rafsanjan (Iran). Participants (family caregivers) were recruited from private neurologists' offices.</t>
  </si>
  <si>
    <t>50.57</t>
  </si>
  <si>
    <t>89.3</t>
  </si>
  <si>
    <t>Housewife: 78.6%; Other: 21.4%</t>
  </si>
  <si>
    <t>"Patients in the control group received no education about spirituality."</t>
  </si>
  <si>
    <t>Caregiver self-efficacy</t>
  </si>
  <si>
    <t>28.39</t>
  </si>
  <si>
    <t>28</t>
  </si>
  <si>
    <t>6.41</t>
  </si>
  <si>
    <t>27.85</t>
  </si>
  <si>
    <t>5.98</t>
  </si>
  <si>
    <t>Spiritual care education (intervention)</t>
  </si>
  <si>
    <t>47.38</t>
  </si>
  <si>
    <t>80.8</t>
  </si>
  <si>
    <t>Housewife: 61.5%; Other: 38.5%</t>
  </si>
  <si>
    <t>Spiritual care education sessions, 1x per week for 5 weeks</t>
  </si>
  <si>
    <t>"The  intervention  included  five  SC educational  sessions  held  weekly  for  five consecutive weeks. The length of each session ranged from 45 to 60 minutes. All sessions wereheld by the first author. The educational package had already been developed by Reyhani et al.32It includes topics such as reliance on God, seekinghelp from holy people, patience, generosity, altruism, mantra, and prayer. This package has been approved by clergies and university instructors. In sessions one to five, we explained  the roles of reliance on God, seeking help from holy people, patience,generosity, and mantra and prayer in maintaining or regaining the inner peace."</t>
  </si>
  <si>
    <t>29.8</t>
  </si>
  <si>
    <t>4.8</t>
  </si>
  <si>
    <t>32.729999999999997</t>
  </si>
  <si>
    <t>4.75</t>
  </si>
  <si>
    <t>Shata 2017</t>
  </si>
  <si>
    <t>Control (No intervention)</t>
  </si>
  <si>
    <t>Egypt</t>
  </si>
  <si>
    <t>Psychogeriatric out‑patient clinic of Al‑Maamoura Psychiatric Hospital. Alexandria (urban setting)</t>
  </si>
  <si>
    <t>47.97</t>
  </si>
  <si>
    <t>69.5</t>
  </si>
  <si>
    <t>50</t>
  </si>
  <si>
    <t>59</t>
  </si>
  <si>
    <t>12.6</t>
  </si>
  <si>
    <t>0.74</t>
  </si>
  <si>
    <t>0.84</t>
  </si>
  <si>
    <t>3 month follow-up</t>
  </si>
  <si>
    <t>Group psychosocial intervention programme</t>
  </si>
  <si>
    <t>49.35</t>
  </si>
  <si>
    <t>61.8</t>
  </si>
  <si>
    <t>8 week multi-component group psychosocial programme</t>
  </si>
  <si>
    <t>8 week multi-component group psychosocial programme. "Short‑term goalsincluded (1) improving caregivers’ knowledge aboutdementia, (2) helping caregivers to identify differentproblematic behaviors of care recipients and differentstrategies to handle such behaviors, and (3) providingsocial support for caregivers. Long‑term goals incorporated(1) acquiring the skills of handling problematic behaviors ofcare recipients, (2) enhancing caregivers’ skills and strategiesfor managing the burden of care, and (3) improvingcaregivers’ emotional status through acquiring skills ofcoping and stress management.  The program included three components: grouppsychoeducation (two sessions), brief group CBT(six sessions), and group support sessions that wereheld throughout the program covering topics similar topsychoeducation/CBT topics as illustrated in Table 1. Eachsession took 45–60 min. Training was conducted througha collaborative approach using illustrations, vignettes, roleplaying, brainstorming, group discussion, and audio‑visualaids. Different methods were used to achieve differentobjectives of the program. An intervention protocol withall details covering the above‑mentioned sessions wasprepared based on caregivers’ needs reported by them inthe early assessment phase, and on reviewing literaturefor other programs directed to caregivers’ of people withNCDs, worldwide. Culturally sensitive sessions weredesigned taking into consideration the characteristics ofparticipants. The program was implemented by the principalinvestigator (second author)."</t>
  </si>
  <si>
    <t>52.1</t>
  </si>
  <si>
    <t>55</t>
  </si>
  <si>
    <t>0.15</t>
  </si>
  <si>
    <t>-17.36</t>
  </si>
  <si>
    <t>8.34</t>
  </si>
  <si>
    <t>Söylemez 2016</t>
  </si>
  <si>
    <t>Progressively Lowered Stress Threshold-based intervention</t>
  </si>
  <si>
    <t xml:space="preserve">Western Turkey, home based. Patient lists were obtained from dementia outpatient clinics at one university hospital and the office of the Alzheimer’s Association in Izmir. </t>
  </si>
  <si>
    <t>Mild</t>
  </si>
  <si>
    <t>Primary school: 69%; High school: 14%; University: 17%</t>
  </si>
  <si>
    <t>63</t>
  </si>
  <si>
    <t>61.2</t>
  </si>
  <si>
    <t>74</t>
  </si>
  <si>
    <t>Progressively Lowered Stress Threshold-based intervention for 3 months</t>
  </si>
  <si>
    <t xml:space="preserve">"The PLST model (Hall &amp; Buckwalter, 1987) provides the foundation for a psychoeduca-tional intervention that assists formal and informal caregivers in understanding behaviors and plan-ning care for individuals with de-mentia. It has been tested widely since 1988. The model can be eas-ily understood by professional and non-professional caregivers and allows for flexible modification of the care plan based on individuals’ changing needs. The PLST model is a conceptual framework that organizes symp-toms, suggests causes of challenging behaviors, and teaches caregivers methods of modifying the envi-ronment to eliminate or minimize behavioral symptoms. The rea-sons for, or triggers of, symptoms can usually be modified in any setting, resulting in a decrease in behaviors distressing to caregiv-ers and individuals with dementia. The PLST model should empower caregivers by helping them pre-vent and manage the most difficult behaviors in Alzheimer’s disease. 
 [...] Interventions were conduct-ed at patients’ homes in their usual environment. Individuals with de-mentia and their caregivers in the experimental group were seen four times in a 6-month period. Each session lasted at least 1 hour. The intervention phase lasted 3 months. [...] The first home visit focused on understanding the behaviors of the individuals with dementia, how caregivers coped with these behav-iors, and difficulties experienced by caregivers. After 2 weeks, during the second home visit for caregivers in the experimental group, the PLST-based intervention was pro-vided and demonstrated. At the third home visit 2 months later, the care plan was reviewed, more techniques were taught, and writ-ten materials summarizing the care plan were provided. After the third home visit, follow-up telephone calls were made every 2 weeks. Ex-perimental group members also re-ceived a caregiver booklet prepared by the authors that contained a variety of educational and support materials, such as general informa-tion about the disease, common problems (e.g., sleep disturbances), how to administer medications, bathing, toileting, physical activi-ties, nutrition, and communication, as well as recommended reading for family members caring for individ-uals with dementia." </t>
  </si>
  <si>
    <t>Caregiver burden inventory</t>
  </si>
  <si>
    <t>38.020000000000003</t>
  </si>
  <si>
    <t>35</t>
  </si>
  <si>
    <t>21.49</t>
  </si>
  <si>
    <t>34.71</t>
  </si>
  <si>
    <t>18.82</t>
  </si>
  <si>
    <t>6 months (3 months post-intervention)</t>
  </si>
  <si>
    <t>Routine care (control)</t>
  </si>
  <si>
    <t>Primary school: 49%; High school: 34%; University: 17%</t>
  </si>
  <si>
    <t>54</t>
  </si>
  <si>
    <t>62.28</t>
  </si>
  <si>
    <t>71</t>
  </si>
  <si>
    <t>Routine care</t>
  </si>
  <si>
    <t>"Comparison group members received routine care. In the routine care program, following diagnosis, caregivers were informed about the disease by physicians and given leaflets. When caregivers came to the outpatient visit with the pa-tients, they had an opportunity to ask physicians questions. Fre-quency of outpatient visits varied between every 6 months and once per year. Participants in the com-parison group were seen four times in a 6-month period at their home. Each session lasted approximately 1 hour. The first home visit fo-cused on a review of the study aims and protocols, obtaining informed consent, and data collection. After 2 weeks, during the second home visit for caregivers in the compari-son group, general information about care of individuals with de-mentia was presented and updated leaflets were provided. At the third home visit 2 months later, data were collected. At the last home visit 3 months later, data were again collected. After the study was completed, participants in the comparison group were provided with the experimental group pro-tocols."</t>
  </si>
  <si>
    <t>31.19</t>
  </si>
  <si>
    <t>16.54</t>
  </si>
  <si>
    <t>35.659999999999997</t>
  </si>
  <si>
    <t>17.07</t>
  </si>
  <si>
    <t>Caregiver quality of life</t>
  </si>
  <si>
    <t>86</t>
  </si>
  <si>
    <t>9.15</t>
  </si>
  <si>
    <t>88.51</t>
  </si>
  <si>
    <t>8.2799999999999994</t>
  </si>
  <si>
    <t>87.2</t>
  </si>
  <si>
    <t>5.69</t>
  </si>
  <si>
    <t>85.23</t>
  </si>
  <si>
    <t>5.68</t>
  </si>
  <si>
    <t>SU 2012</t>
  </si>
  <si>
    <t>Comprehensive nursing intervention</t>
  </si>
  <si>
    <t xml:space="preserve">No info. </t>
  </si>
  <si>
    <t>18.36</t>
  </si>
  <si>
    <t>3.19</t>
  </si>
  <si>
    <t xml:space="preserve">9 primary school ,9 middle school and 2 bachelor degree </t>
  </si>
  <si>
    <t>Psychological care, emotional care cognitive care, daily care, home safety  and care after the discharge from hospital for 14 days</t>
  </si>
  <si>
    <t xml:space="preserve">"1.2.1 心理护理 鼓励家属多陪伴患者,加强与患者的交流, 可一起参加社会或家庭活动D 尊重患者,以诚恳的态度对待患 者,鼓励患者战胜疾病,以增强患者信心D 针对患者不同病情, 有计划地与患者交谈,消除患者的顾虑,培养乐观情绪,使患者 以较好的心理状态配合治疗D 1.2.2 情感护理 针对患者焦虑情绪,在护理时应保持病房环 境的舒适性,在适当的时间放一些轻松愉悦的音乐:针对患者抑 郁倾述,应耐心倾听患者的倾述,不强迫患者做不愿意的事,以 鼓励为主,引导患者进行适当的运动,如散步等:针对易激动情 绪,应积极分析原因,安慰患者,避免语言刺激,鼓励患者做锻 炼,以放松心情:针对淡漠情绪,可增加病房内物品摆放,比如患 者感兴趣的物品,鼓励患者加强与他人的交流D 1.2.3 认知护理 对记忆的训练:念一串数字,让患者复述,逐 渐增加难度,增强患者的瞬时记忆:让患者看数件物品后数分 钟,让患者回忆刚刚所看到的物品,以增强短时记忆D 对定向力 的训练:开始让患者记忆一些特别的日期~时间等,如生日~节 日,让患者尝试记忆亲人~护士~医生的姓名:对回忆的训练:让 患者看对其意义较大的物品,使患者回忆往事:对分析能力的训 练:让患者对物品进行分类:对口语的训练:给患者讲述一段故 事,让患者回答一些简单的问题,或者简单概括故事的情节D 1.2.4 生活护理 给予患者自我照顾的机会,对患者进行生活 能力训练,如洗漱~穿脱衣~进餐等,鼓励患者尽量自理,如完全 不能自理,设专人护理,注意翻身拍背,按摩等,防止褥疮~感染等并发症D 对药物的发放,应按时按顿,指导患者将药物全部服 下,对有幻觉的患者,应耐心劝说,详细解释D 患者认知障碍严 重时,常出现白天休息,夜间吵闹,应保持夜间病房安静,入睡前 可予温水泡脚,对伴有严重睡眠障碍者,应给予药物帮助入睡D 1.2.5 安全护理 增强病房的安全性和舒适性,对有空间~时 间定向力障碍的患者,要求有专人陪护,防止走失D 对有行动不 便的患者,增加相应的设施,如座便器~扶手等D 1.2.6 出院健康指导 老年痴呆尚无有效的治疗,以预防为 主,关键是早发现~早治疗,延缓大脑细胞更加广泛和不可逆转 的退变,以控制病情的进展,防止并发症的发生,延长生命,提高 生活质量D 护理人员对患者和家属进行相关知识培训,提高主 动性,调动积极性,共同完成护理计划D 鼓励患者家属出院后多 陪伴患者,如散步~聊天,或参加一些学习和力所能及的社会家 庭活动D 给予多方面的帮助,使其消除孤独寂寞感,感受家庭的 温馨和生活的快乐D 嘱家属保持联系,指导家属参与家庭护理, 定时电话或者上门指导患者家属护理的技巧和质疑事项"
</t>
  </si>
  <si>
    <t>Multicomponent (心理护理, 情感护理, 认知护理,  生活护理, 安全护理, 出院健康指导)</t>
  </si>
  <si>
    <t>19.579999999999998</t>
  </si>
  <si>
    <t>4.2</t>
  </si>
  <si>
    <t>3.67</t>
  </si>
  <si>
    <t xml:space="preserve">7 primary school ,10 middle school and 3 bachelor degree </t>
  </si>
  <si>
    <t>Routine caring for 14 days (Control)</t>
  </si>
  <si>
    <t>常规护理</t>
  </si>
  <si>
    <t>Routine caring</t>
  </si>
  <si>
    <t>18.559999999999999</t>
  </si>
  <si>
    <t>19.329999999999998</t>
  </si>
  <si>
    <t>4.1500000000000004</t>
  </si>
  <si>
    <t>SUN 2010</t>
  </si>
  <si>
    <t>control group</t>
  </si>
  <si>
    <t>Nursing College of Guangdong Medical College Hospital</t>
  </si>
  <si>
    <t>"平均受教育年限6.1年"</t>
  </si>
  <si>
    <t>52.63</t>
  </si>
  <si>
    <t>The control group received routine discharge guidance. No intervention was administered after discharge.</t>
  </si>
  <si>
    <t>"对照组进行常规出院指导，出院后不施加任何干预。"</t>
  </si>
  <si>
    <t xml:space="preserve">no treatment </t>
  </si>
  <si>
    <t>SF36</t>
  </si>
  <si>
    <t>450.1</t>
  </si>
  <si>
    <t>19</t>
  </si>
  <si>
    <t>151</t>
  </si>
  <si>
    <t>405.1</t>
  </si>
  <si>
    <t>146.4</t>
  </si>
  <si>
    <t>12 months post-intervention</t>
  </si>
  <si>
    <t>treatment group</t>
  </si>
  <si>
    <t>"平均受教育年限6.3年"</t>
  </si>
  <si>
    <t>47.37</t>
  </si>
  <si>
    <t>The experimental group received one-year nursing intervention on the basis of routine discharge guidance.</t>
  </si>
  <si>
    <t>"试验组除常规出院指导外，护士每周电话访问1次；每2周安排1次免费门诊护理咨询；每4周进行1次家访；每3个月举办AD病人及家属座谈会1次。干预时间为1年。干预内容包括：①对病人家属进行AD疾病及护理知识的宣教，并根据
AD病人及家属常见的护理问题编写“老年性痴呆病人健康须知”。②家居安全护理指导。针对AD病人常见的误吸、误服、跌倒、失走、热伤等居家安全问题对病人和家属进行指导，以减轻居家安全问题的发生率。③心理护理及情感支持。运用支持性心理护理技术，如倾听、解释、保证、指导和建议、疏泄、鼓励、促进自助。具体内容主要是耐心倾听病人和家属提出的问题，了解病人的个性特点，有针对性地对病人及其家属进行心理护理，同时根据病人的心理特征，采用安慰、鼓励、暗示等方法予以开导I调动家庭照顾者的真诚，给予病人充分的关注和理解。使病人感受到家庭的温暖，减轻其心理压力；鼓励病人参加一些力所能及的家庭、社会活动，如种花、养鱼、画画等以分散病人的注意力和避免不良情绪产生，使其感受到生活的乐趣和自身的存在价值。④康复训练指导。日常生活能力训练，如做饭、进食、穿衣、洗刷，沐浴、购物等日常生活能力训练，先叙述后模拟，尽量帮助其维持一种固定的生活习惯；认知训练，通过回忆和生活回顾、调动兴趣爱好、支持小组的训练方式H3；记忆训练，对于有严重记忆障碍的老人，可运用环境影响其行为[5]，如保持恒定的常规环境，多次的重复性刺激，采用背诵、帮助分析，联系概念、联系自身、听说读写并用、编故事、记日记、看图片等方法训练记
忆}思维训练，通过排列数字、物品分类，数字计算等，训练病人
综合分析、判断、推理和计算能力；逻辑思维与表达能力训练，如对病人密切相关问题的提问，并进行简单的数字计算；体能训
练．根据病人的身体状况，选择合适的体能训练，如公园散步、做老人体操、跳舞等，活动量循序渐进，以无不适为度。⑤遵医行为指导，指导和督促病人按医嘱定时、定量以正确的方式服药，告知用药的注意事项，保证用药安全。"</t>
  </si>
  <si>
    <t>Non-pharmacol</t>
  </si>
  <si>
    <t>448.1</t>
  </si>
  <si>
    <t>132.4</t>
  </si>
  <si>
    <t>570.1</t>
  </si>
  <si>
    <t>141.9</t>
  </si>
  <si>
    <t>TAN 2010</t>
  </si>
  <si>
    <t>The Third Peoplel's Hospital of Foshan City</t>
  </si>
  <si>
    <t>Yes （Intervention was implemented among carer, but outcomes were measured among patients）</t>
  </si>
  <si>
    <t>15.32</t>
  </si>
  <si>
    <t>60</t>
  </si>
  <si>
    <t>1.98</t>
  </si>
  <si>
    <t>14.07</t>
  </si>
  <si>
    <t>1.63</t>
  </si>
  <si>
    <t>no any intervention</t>
  </si>
  <si>
    <t>Intervention group (Carer training)</t>
  </si>
  <si>
    <t>2.56</t>
  </si>
  <si>
    <t>16.12</t>
  </si>
  <si>
    <t>2.84</t>
  </si>
  <si>
    <t>"文盲1l例，小学22例，初中18例，高中以上9例"</t>
  </si>
  <si>
    <t>53.33</t>
  </si>
  <si>
    <t>The caregivers of observation groups were taught of AD disease nowledge，daily care，
safe care knowledge，training and rehabilitation training guidance to improve their nursing skills</t>
  </si>
  <si>
    <t xml:space="preserve">1．2．1对观察组照顾者的干预
1．2．1．1 对照顾者进行AD相关护理知识和技巧的训练，内容
包括：①AD患者的分期和常见的表现，让照顾者了解AD患者
病情的发展。②日常生活护理。③AD患者安全护理，针对患者常
见的走失、跌倒、自我伤害、意外受伤等安全问题对照顾者进行相
关知识指导。④训练AD患者的康复技巧，根据AD患者的分期进
行认图、物品分类、计算力、理解力和记忆力等方面的训练。⑤照
顾者心理指导。尊重AD患者的人格、隐私，接纳痴呆老人的怪异
言行，鼓励照顾者寻求邻居、朋友、同事的帮助和心理支持，主动
利用社会支持，缓解照顾压力。
1．2．1．2 课题组护士电话随访1次／周，家访2次／月。我们给
照顾者留下咨询电话，随时帮助照顾者解决AD患者出现的问
题。每季度去社区举办健康教育讲座1次，并现场指导照顾者对
AD患者的康复训练，了解照顾者反馈的信息、有针对性调整讲
课内容，提高培训效果。
</t>
  </si>
  <si>
    <t>Wang 2010b</t>
  </si>
  <si>
    <t>Control group</t>
  </si>
  <si>
    <t>Community</t>
  </si>
  <si>
    <t>19.48</t>
  </si>
  <si>
    <t>40</t>
  </si>
  <si>
    <t>18.5</t>
  </si>
  <si>
    <t>3.1</t>
  </si>
  <si>
    <t xml:space="preserve">Home care as usual for a year </t>
  </si>
  <si>
    <t>Home care guidance</t>
  </si>
  <si>
    <t>19.21</t>
  </si>
  <si>
    <t>3.93</t>
  </si>
  <si>
    <t>21.02</t>
  </si>
  <si>
    <t>3.88</t>
  </si>
  <si>
    <t xml:space="preserve">Community comprehensive intervention for a year </t>
  </si>
  <si>
    <t>Phone contact weekly, Home visit monthly, for 1 year, covering the following 4 components: 1) Health Education, 2) Basic personal care, 3) Psycho-emotional support, 4) Rehabilitation training guide. "干预组开展全面、 综合的社区护理。健康知识宣教 社区护理人员根据 AD 患者及家属健康知识需求， 定期开展知识讲座， 发放 AD 患者及照顾者健康教育和康复指导手册， 并详细讲解， 使其理解掌握， 能够简单复述宣教内容； 每周电话访问 1 次， 倾听患者及家属的问题， 建立良好的护患关系， 取得患者信任； 每个月家庭访视 1 次， 现场进行健康教育宣传及护理技术指导， 为期 1 年。基础生活护理 ① 基础护理： 实施 “无缝医疗保健”［3］，社区护理人员与家属共同讨论确定患者在家中适合的照料方式。 给予患者细心的呵护， 安排合理的作息时间， 保证良好的睡眠质量； 保持皮肤清洁， 衣物洁净， 注意保暖， 预防皮肤及肺部等各系统的感染； 按时服药， 促进疾病恢复； 根据身体状况， 做适当的户外运动， 锻炼身体， 增强体质。 ② 安全护理：家里地面不宜过于光滑， 必要时在盥洗室等处安扶手， 防止患者 跌 倒； 行动困难患者如厕、 洗浴要有人陪伴， 以 防 意 外 发生； 家中锐器物品、 药品妥善放置， 避免患者自伤或误服； 易走失的患者， 随身携带与家人联系的卡片， 避免单独外出， 防止 丢 失 迷 路。 ③ 饮 食 护 理： 一日三餐定时定量， 饥 饱 适 宜，膳 食 搭 配 合 理， 以清淡营养丰富为主， 多 食 豆 类、 奶 类、 瘦肉、 蔬菜、 海鲜、 粗纤维等食物， 保证优质蛋白质、 多不饱和脂肪酸及维生素等营养素的摄取。心理情感支持 全面评估患者， 根据其性格特征， 采取个性化护理， 充分体现 “以人为本”。 定期为患者做心理情感咨询， 了解患者的心理情绪状态， 减少患者因情绪异常引起行为问题的发生。 鼓励患者参加力所能及的家庭社会活动， 如看书、 读报、 听广播、 种花、 下棋、 打球、 参加社区老人联谊会等， 以 分 散 注 意 力， 排 遣 不 良 情 绪， 增 加 交 流， 提 高 沟 通 能力， 使其感受到生活的乐趣及自身价值， 促进心理健康。 指导照顾者掌握与老年痴呆患者交流的方法， 用理解、 宽容， 诚恳的态度对待病人， 耐心听取病人的诉说， 细心观察患者的情绪变化， 尽量满足其合理要求； 成立社区老年痴呆患者照顾者病友会， 提供照顾者之间分享照顾技巧的途径， 同时有助于减轻照顾者的照顾感受压力。康 复 训 练 指 导 ① 益 智 训 练： 减 缓 记 忆、 智 能 衰 退，指导家属要经常提醒患者日期、 时间、 地址、 家中电话号码等信息， 鼓励患者对往事的回忆， 要不厌其烦， 帮助其强化近期记忆和激发远期记忆。 让患者做一些简单的数字排列和运算，识图， 折纸等活动， 每日不少于 30 min。 组织患者参加适宜的集体活动， 增强其自信心， 促进计算， 判断， 思维， 理解等认知能力及语言能力的恢复。 ② 日常生活能力训练： 根据患者自理能力， 选择力所能及的生活内容进行训练。 自理能力较好的患者， 尽量让其自己完成做饭、 吃饭、 穿衣、 洗漱、 洗澡、打扫房间等日常生活， 四肢关节经常活动能够保持手脚灵活，促进血液循环； 自理能力较差的患者， 家属协助其完成复杂的生活活动， 并做好肢体功能康复训练。"</t>
  </si>
  <si>
    <t>Multicomponent: i) non-pharmcol, ii) Interv for carers</t>
  </si>
  <si>
    <t>Wang 2012e</t>
  </si>
  <si>
    <t>Mutual support group</t>
  </si>
  <si>
    <t>"The caregivers were recruited from a list of people with dementia attending one of two dementia resources and respite care centers in Guangzhou, Guangdong Province of mainland China. The resource center provided daytime physical care, self-care and skills training for clients, respite care, social and recreational activi-ties, and care-giving resources to about 3,000 clients with dementia, and their family members. The cli-ents with dementia were received to this center from mainly three sources, including: a regional psychiat-ric center, two psychiatric outpatient departments, and Social Security and Welfare Department of The Government."</t>
  </si>
  <si>
    <t>51.3</t>
  </si>
  <si>
    <t>35.9% (18-30yr);   41% (31-50yr);      23.1% (51-70yr)</t>
  </si>
  <si>
    <t>59.0</t>
  </si>
  <si>
    <t>33.3</t>
  </si>
  <si>
    <t>25.7</t>
  </si>
  <si>
    <t>Peer-led mutual support group sessions, 1.5 hours every two weeks over a 24-week period, in addition to usual care</t>
  </si>
  <si>
    <t>"The peer-led mutual support group met bi-weekly, for a total of 12 1.5-hour sessions. All group sessions mainly consisted of information giving, sharing and discussion, psychological support, and problem solving; and a group protocol was spe-cifi cally designed for this study, based on evidence from other mutual support group intervention studies (Almberg et al., 1997; Fung &amp; Chien 2002; Toseland et al., 1989). Seven major themes of fam-ily support groups formed the basis for group members’ interactions and purposive activities in each session, including: (1) information about cli-ent’s condition; (2) development of group as a sup-port system; (3) emotional impact of care-giving; (4) learning about self-care; (5) improvement of interpersonal relationships; (6) establishing sup-port outside the group; and (7) improvement of home care skills. The protocol of the mutual sup-port group is presented in Table 1.To foster the use of problem-solving strategy within the group, at least one group members shared personal care-giving problems with other members in each session and these problems were worked on using a six-step model suggested by Zarit, Orr, and Zarit (1985). These six steps consisted of defi ning the problem, generation of alternatives, examining and evaluating each alternative, cognitive rehearsal of action plan, execution of the plan as homework, and evaluation of agreed outcomes.An advanced practice psychiatric nurse, who had more than 5 years of experience in dementia care and community mental health services and had experienced group facilitation, was chosen as facilitator for the supportive group. This nurse attended a 2-day training workshop organized by the research team on facilitation of a mutual sup-port group before the study was started. During the 24-week group intervention, the audio-taped group sessions were reviewed by the facilitator, together with the research team, to monitor treat-ment integrity, adherence to the protocol and any questions from group members.One to two peer leaders, elected by the group members, agreed to coordinate and plan the group sessions with the facilitator’s consultation, as suggested by Chien et al. (2006) and Toseland et al. (1989). The elected leaders were experienced in family and dementia care and received three 4-hour training sessions on planning and leading a mutual support group, using the protocol."</t>
  </si>
  <si>
    <t>97.89</t>
  </si>
  <si>
    <t>39</t>
  </si>
  <si>
    <t>14.11</t>
  </si>
  <si>
    <t>114.02</t>
  </si>
  <si>
    <t>13.98</t>
  </si>
  <si>
    <t>1 month after 24-week intervention</t>
  </si>
  <si>
    <t>Routine care group (control)</t>
  </si>
  <si>
    <t>33.3% (18-30yr);    43.6% (31-50yr);    23.1% (51.70yr)</t>
  </si>
  <si>
    <t>64.1</t>
  </si>
  <si>
    <t>25.6</t>
  </si>
  <si>
    <t>Conventional family services provided by dementia centers, including medical consultation, financial and social services advice, educational talks on dementia care, and referals and advice on medical and social services</t>
  </si>
  <si>
    <t>"The control group received the conventional family services provided by the dementia centers. Similar to the other big cities in Guangdong and other Provinces of mainland China, the services included: (1) medical consultation of client and advice to family on client’s illness condition,  treatment plan and effects of med-ications provided on monthly basis by two visiting doctors; (2) advice and referrals of fi nancial aids and social welfare services provided by a social worker; (3) educational talk or seminars in dementia care conducted by registered general nurses; and (4) refer-rals and advices on medical and social services by the center staff. In other developing cities and sub-urban or remote areas, there is not any dementia care cen-ter and the only health care service that those fami-lies can obtain is the medical consultation by visiting doctors and their referrals to hospital care whenever necessary.Participants in the control group were informed about community supporting ser-vices for dementia care and referral to appropri-ate agencies for respite could be obtained from staff in the dementia center. After post-test, the research assistant asked them whether they would like to participate in a mutual support group spe-cifi cally organized for them."</t>
  </si>
  <si>
    <t>103.71</t>
  </si>
  <si>
    <t>9.2799999999999994</t>
  </si>
  <si>
    <t>88.19</t>
  </si>
  <si>
    <t>7.56</t>
  </si>
  <si>
    <t>Wang 2014a</t>
  </si>
  <si>
    <t>retried cadre's sanitarium</t>
  </si>
  <si>
    <t>14.12</t>
  </si>
  <si>
    <t>61</t>
  </si>
  <si>
    <t>3.12</t>
  </si>
  <si>
    <t>11.99</t>
  </si>
  <si>
    <t>6.39</t>
  </si>
  <si>
    <t>Memantine + Aricept + Usual community healthcare service and personal care for 1 year</t>
  </si>
  <si>
    <t>"对照组只给予一般
的社区卫生服务和生活护理，未进行居家护理干预"</t>
  </si>
  <si>
    <t>Multicoponent: Pharmaceutical, Non-pharmacol</t>
  </si>
  <si>
    <t>14.19</t>
  </si>
  <si>
    <t>62</t>
  </si>
  <si>
    <t>15.98</t>
  </si>
  <si>
    <t>5.49</t>
  </si>
  <si>
    <t>Memantine + Aricept + Standardised home care intervention, incl. carer training on personl care, psychosocial support, safety, rehabilitation, and regular home visit; for 1 year</t>
  </si>
  <si>
    <t>"所有患者均由神经内科专科医生处方给药，主要为安理申和美金刚，均坚持服药治疗。试验组采用规范的居家护理干预模式进行为期 员 年的规范干预。"</t>
  </si>
  <si>
    <t>Multicoponent: Pharmaceutical, Non-pharmacol, Interv. for carers</t>
  </si>
  <si>
    <t>Wang 2017c</t>
  </si>
  <si>
    <t>Dementia-specific training</t>
  </si>
  <si>
    <t>Training and education for professional carers</t>
  </si>
  <si>
    <t>Primary care setting in Chongqing, China. Study was conducted in four community health services centers (CHSC). "The CHSC functions as primary in-stitutions offering basic medical and public health services in China(Pan, Dib, Wang, &amp; Zhang, 2006). Four CHSCs were randomly selected from a pool of 23 that provide services to 29 communities with a total population of 216,000."</t>
  </si>
  <si>
    <t>Yes (paid carers: registered nurses)</t>
  </si>
  <si>
    <t>28.8</t>
  </si>
  <si>
    <t>93.4</t>
  </si>
  <si>
    <t>26.2</t>
  </si>
  <si>
    <t>73.8</t>
  </si>
  <si>
    <t>WeChat-based dementia-specific training programme for 3 months</t>
  </si>
  <si>
    <t>"Participants in the IG received dementia-specific training. Nurses initially received 2-weekly lectures lasting three-hours each with a face-to-face discussion, which was delivered by a geriatric nurse specialist with training slides and handouts given to participants for reference.Thereafter, they were enrolled a WeChat group online interaction,which continued for three months and comprised videos, case studies,readings, and so on. Nurses discussed the materials and the geriatric specialist facilitated the discussions. [...] 2.1. The dementia-specific training program for primary care settings. The authors of this study designed the training program for primary care nurses. We applied a 3-factor education intervention model(Green, Kreuter, &amp; Deeds, 1980). This model emphasises (1) the use of lectures and written materials to disseminate learning content to learners; (2) developing resources to support learners to implement new skills and (3) reinforcing new skills by providing timely feedback and peer support (Aylward, Stolee, Keat, &amp; Johncox, 2003). The learning content we developed was based on the analysis of learning needs of participants in the program through our discussions with nurse managers. We also analysed and incorporated the latest development of dementia care knowledge, skills, competencies and guidelines reported in the literature (Alzheimer's Disease International, 2011; Alzheimer's Disease International, 2012; Alzheimer's Disease International, 2014; Annear et al., 2015). The program included both lectures and WeChat learning interactions with educators and peers and self-directed learning activities. The lectures consisted of two modules focused on overall dementia understanding, early detection, and quality care strategies (Table 1). Module 1 included topics of‘understanding dementia’, etiologies, types of dementia, clinical manifestation, risk factors and early detection. Module 2 included person-centred dementia care, cognitive function assessment and management of dementia associated symptoms and behaviours and support caregivers. The We-Chat-based interaction provides an in-depth knowledge covered at lectures, which is enforced by online peer discussion. 2.2. The process to implement the program. The program team included a geriatric nursing specialist and three academic members who specialized in dementia care and psychology from a university in China. A 2-day workshop was conducted to review and discuss the preliminary topics based on the discussions with com-munities' nurse managers. The program included on-site lectures and WeChat online interactions. Nurse managers in CHSCs were invited to develop a timetable for the program to maximize nurses' attendance rates. Participants then received 2-weekly lectures provided by the three academic members in the team and each lecture lasted 3 h. The lecture slides were available online for participants to access when needed. The interactive learning via WeChat lasted 3 months and was facilitated by the geriatric nursing specialist. Learning activities via the Wechat included group discussions on how to apply knowledge to own practice, sharing experiences in dementia care and in overcoming barriers and difficulties in practice. The research team members pro-vided ongoing support for the geriatric nursing specialist to deliver the WeChat-based learning activities though WeChat videos and telephone during the program implementation phase."</t>
  </si>
  <si>
    <t>Usual geriatric nursing training (control)</t>
  </si>
  <si>
    <t>31.9</t>
  </si>
  <si>
    <t>94.4</t>
  </si>
  <si>
    <t>66.7</t>
  </si>
  <si>
    <t>Usual geriatric training for the care of older people with disability</t>
  </si>
  <si>
    <t>"Nurses in the CG received training for the care of older people with disability. They received 2-weekly lectures lasting three-hours each with a face-to-face discussion. A geriatric nurse specialist delivered the lectures and handouts and slides were given to participants. The CG also received the dementia-specific training following the completion of research participation."</t>
  </si>
  <si>
    <t>Wang 2017e</t>
  </si>
  <si>
    <t>14 community health centres in a province in China</t>
  </si>
  <si>
    <t>College: 69.4%, Bachelor 30.6%</t>
  </si>
  <si>
    <t>83.5</t>
  </si>
  <si>
    <t>The Dementia Education and Knowledge Translation Programme</t>
  </si>
  <si>
    <t>College: 67.1%, Bachelor 32.9%</t>
  </si>
  <si>
    <t>82.4</t>
  </si>
  <si>
    <t>nurse-led dementia education and knowledge translation programme
for health professionals in primary care. Training the trainer workshop over 3 days targeted at GPs and nurses in community health centres</t>
  </si>
  <si>
    <t>Each community health service centre appointed a RN and a GP as
trainers in the programme. The project team delivered 10 modules to
these trainers in a 3-day face-to-face education workshop. Teaching
and learning resources for the trainers included a workbook and four
DVDs. The project team provided ongoing support for the trainers
through email, telephone and site visits during the programme implementation phase. Trainers in the intervention group delivered the education programme to their peers in their centres using weekly in-service education hours. Participants were also required to undertake self-study to
complete the required readings. The trainers provided learning support
to reinforce knowledge and skills using newsletters and messages on
the notice board. The trainers in the control group agreed to deliver the education programme after the data collection</t>
  </si>
  <si>
    <t>Yang 2017a</t>
  </si>
  <si>
    <t xml:space="preserve">Community </t>
  </si>
  <si>
    <t xml:space="preserve">No Info. </t>
  </si>
  <si>
    <t>10.99</t>
  </si>
  <si>
    <t>54.3</t>
  </si>
  <si>
    <t>Regular medicine and Psychological Health Promotion for 12 months</t>
  </si>
  <si>
    <t>"只给予药物治疗 和一般的心理健康知识宣传（即指通过各类媒体、各种方 式开展的心理健康知识宣传，如心理健康知识的宣传板 报、宣传册、进社区的心理卫生知识讲座、心理健康义 诊等） "</t>
  </si>
  <si>
    <t>Medicine + Psychological Health Promotion</t>
  </si>
  <si>
    <t>干预组</t>
  </si>
  <si>
    <t>Community-based interventions</t>
  </si>
  <si>
    <t>Mean: 11.06 year; SD: 6.30 years</t>
  </si>
  <si>
    <t>56.3</t>
  </si>
  <si>
    <t xml:space="preserve">Medicine, Psychosocial and non-pharmacy in-home intervention for 12 months </t>
  </si>
  <si>
    <t xml:space="preserve">"1.2.1 家庭医疗工作模式 精神科医师上门服务同时整 合多学科团队成员（疾控精神卫生分中心工作人员、心理 治疗师、康复治疗师、老年护理师等） ，对照料者、社区 家庭医生、社会工作者等进行痴呆卫生宣教，利用社区的 家庭医生制工作模式，争取各居委会和社区卫生服务中心 的支持，同时对患者和照料者实施心理社会干预。 1.2.2 心理社会干预内容 ①对痴呆照料者培训，内容包 括什么是痴呆及 BPSD，其疾病进程的一般规律，有效的 治疗方法和时机，护理要点、护理技巧和注意事项，患者 生活环境的布置，同患者交流的技巧等，以提高患者的服 药依从性，减少并发症，并接受照料者的倾诉，指导其放 松，加强心理支持和辅导。对患者灵活采用行为干预，如 日常生活能力训练、音乐疗法、怀旧和人生回顾、记忆训 练等 [2-3]，并调整其居住环境的布置。②在患者急性期每周 家访，调整药物，听取照料者及家属的意见，提出合理建 议。③待病情稳定后，采取每周电话随访、每月上门随访 方式，针对存在严重疾病或行动不便者给予更高程度的关 注，适当增加探访频率以降低其风险概率。 1.2.3 干预形式 ①对社区相关人员进行培训，发放相关 宣传材料500 份。②建立老年痴呆家庭的自助互助小组， 互相分享讨论心得体会，举办家庭成员活动。③开展每半 年 1 次的相关人员座谈协调会，讨论干预过程中遇到的问 题及解决方案。"
</t>
  </si>
  <si>
    <t>Medicine +Psychosocial intervention</t>
  </si>
  <si>
    <t>ZHAO 2010</t>
  </si>
  <si>
    <t>Comprehensive nursing intervention （treatment）</t>
  </si>
  <si>
    <t>Comprehensive nursing intervention (home visit and health education)for a year.</t>
  </si>
  <si>
    <t xml:space="preserve">家庭护理是以家庭为单位的整体护理模 式，通过对患者家属实施健康教育，对患者生理、家庭和社会 状况提出潜在的护理问题，进行护理干预. 观察组除进行常规出院指导外，护士每周电话随 访1次，每月家访2次，每季去社区举办健康教育讲座1次，并现场指导。2干预内容1)疾病知识：向患者家属详细讲解AD的 病因、症状、治疗及护理，将自制的AD患者健康教育手册和 AD患者护理技巧手册发放给患者及照顾者，并耐心仔细地 逐一讲解，直到患者和照顾人满意为止。2)心理护理：耐一U倾
听AD患者及照顾者存在问题，全面评估患者状况，给予鼓 励，恰当地运用沟通技巧，做好心理疏导工作，动员老年人多 与外界接触，与人交流，多参与社会活动，保持良好的社会互 动。同时尊重老年人的意愿，让其独立去做自己力所能及的 事情，以唤起患者对生活的信心，感受到自身存在的价值。另 外鼓励子女多与老人沟通，加强邻居、亲戚、朋友间的相互走 动，排解心中的孤独、寂寞，保持良好的心理健康水平H]。3)家居安全护理：AD患者自我保护能力差以及在情绪激惹、抑 郁或意识模糊状态下可发生各种意外，如自伤、伤人、烫伤、跌 倒，误吸(服)、走失等。因此，一定要严加看护、防范，所居住 的家庭环境，要舒适、安静、整洁、安全，室内严禁放置危险物 品，如剪刀、火柴等。在患者的衣服口袋内放一张联系卡片， 上面写明患者的姓名、住址、联系电话等，以便患者迷路时方 便社会或他人及时关照。4)康复训练：①El常生活能力训练： 鼓励患者做一些力所能及的家务，如扫地、擦桌子。看护者尽 量让患者自己多做事。如洗澡，可帮助患者调好水温，然后提 醒患者做下一步动作，如脱衣裤等，若实在无法自己完成才去 帮助他，以锻炼和维持自理能力，减少对他人的依赖。②记忆 训练：包括回忆往事，实物定位、再激发，选一物品，如图片、旧 照片、花、食品、衣物等让患者认。感觉，鼓励他们谈论与手中 物品有关的经历。让他们回忆以前工作经历、癖好或消遣，通 过唱歌，阅读旧杂志、报纸等激发记忆。③体育锻炼：要指导 和鼓励老年人根据个体状况选择强度适当的体育运动，不但 可以增强体力，而且还能够提高大脑皮质活动的强度、均衡性 和灵活性，提高分析和综合能力，从而改善其认知功能。如有 氧健身运动(慢跑、散步、太极拳等)和有氧健脑运动(深呼吸运动、冥想、手指操等)。
</t>
  </si>
  <si>
    <t>Multicomponent</t>
  </si>
  <si>
    <t>Nursing visit （control）</t>
  </si>
  <si>
    <t>Routine Nursing Assistant for a year.</t>
  </si>
  <si>
    <t>常规出院指导，并解答患者和家属的疑问，出院后不进行任何 护理干预</t>
  </si>
  <si>
    <t>Routine Nursing Assistant</t>
  </si>
  <si>
    <t>Patient activities of daily life</t>
  </si>
  <si>
    <t>IADL</t>
  </si>
  <si>
    <t xml:space="preserve">Patient activities of daily life </t>
  </si>
  <si>
    <t>13.23</t>
  </si>
  <si>
    <t>4.49</t>
  </si>
  <si>
    <t>14.29</t>
  </si>
  <si>
    <t>4.41</t>
  </si>
  <si>
    <t>34.21</t>
  </si>
  <si>
    <t>5.74</t>
  </si>
  <si>
    <t>44.53</t>
  </si>
  <si>
    <t>34.14</t>
  </si>
  <si>
    <t>5.35</t>
  </si>
  <si>
    <t>32.99</t>
  </si>
  <si>
    <t>6.35</t>
  </si>
  <si>
    <t>38.950000000000003</t>
  </si>
  <si>
    <t>6.57</t>
  </si>
  <si>
    <t>33.159999999999997</t>
  </si>
  <si>
    <t>5.29</t>
  </si>
  <si>
    <t>Not a study measuring caregiver burden or patient outcomes but rather a study of caregiver knowledge and approach of care</t>
  </si>
  <si>
    <t>Positive Aspects of Caregiving Questionnaire (PACQ)</t>
  </si>
  <si>
    <t>Caregiver's positive  experience</t>
  </si>
  <si>
    <t>Robinson's Caregiver Strain Index</t>
  </si>
  <si>
    <t>Ham-D</t>
  </si>
  <si>
    <t>8 weekly sessions</t>
  </si>
  <si>
    <t>After intervention (14 weekly sessions)</t>
  </si>
  <si>
    <t>post-intervention (5 weeks)</t>
  </si>
  <si>
    <t>post-intervention (8 weekly sessions)</t>
  </si>
  <si>
    <t>End of intervention (5 weekly sessions)</t>
  </si>
  <si>
    <t>3 weeks post-intervention (5 weekly sessions)</t>
  </si>
  <si>
    <t>6 month post-treatment (14-day hospitalisation)</t>
  </si>
  <si>
    <t>Measurement points (days from start)</t>
  </si>
  <si>
    <t xml:space="preserve">Training and education for unpaid carers, training for sleep disorder </t>
  </si>
  <si>
    <t>Unclear</t>
  </si>
  <si>
    <t>Treatment duration (days from start)</t>
  </si>
  <si>
    <t>6 months (5 weekly session intervention)</t>
  </si>
  <si>
    <t>Hinton 2020</t>
  </si>
  <si>
    <t>REACH VN</t>
  </si>
  <si>
    <t>Soc Son, a semi-rural district in Hanoi with a longstanding history of collaboration with the NGH. Soc Son is more economically advantaged compared with many other semirural areas due to its proximity to Hanoi and location near the international airport, an area undergoing considerable economic development. A convenience sample of 12 clusters was chosen based on their proximity to NGH, their participation in the NGH dementia registry, and history of successfully participating in prior research projects and initiatives.</t>
  </si>
  <si>
    <t>Mild to Severe Alzheimer’s Disease (CDR &gt; 1)</t>
  </si>
  <si>
    <t>Alzheimer’s Disease</t>
  </si>
  <si>
    <t>Mild to Severe</t>
  </si>
  <si>
    <t>Enhanced control</t>
  </si>
  <si>
    <t>Chen 2020</t>
  </si>
  <si>
    <t>Observation group</t>
  </si>
  <si>
    <t>Patients with moderate and severe AD admitted to the People’s Hospital of Nanjing Medical University from February 2016 to March 2018</t>
  </si>
  <si>
    <t>Moderate to Severe Alzheimer's Disease</t>
  </si>
  <si>
    <t>Moderate to Severe</t>
  </si>
  <si>
    <t>Yes (Intervention was implemented among carer, but outcomes were measured among patients)</t>
  </si>
  <si>
    <t>Uyar 2019</t>
  </si>
  <si>
    <t>Urban, Manisa Celal Bayar University (MCBU) Hafsa Sultan Hospital Dementia Outpatient Clinic in Manisa</t>
  </si>
  <si>
    <t>Mild to Severe Alzheimer’s Disease</t>
  </si>
  <si>
    <t>Mild to Severe </t>
  </si>
  <si>
    <t>Govindakumari 2020</t>
  </si>
  <si>
    <t>selected community settings of Puducherry</t>
  </si>
  <si>
    <t>Mild dementia</t>
  </si>
  <si>
    <t>Mild dementia </t>
  </si>
  <si>
    <t>Some concerns</t>
  </si>
  <si>
    <t>Ghaffari 2019</t>
  </si>
  <si>
    <t>The study population consisted of family caregivers of elderly Alzheimer’s patients who referred to hospitals and neurologists’ offices located in the western cities of Mazandaran province, Iran (Ghaemshahr Razi Hospital; Ramsar, Tonekabon, and Ghaemshahr neurologists’ offices)</t>
  </si>
  <si>
    <t>Mild cognitive impairment.</t>
  </si>
  <si>
    <t>Mild cognitive impairment</t>
  </si>
  <si>
    <t>Pan 2019</t>
  </si>
  <si>
    <t>Family caregivers were recruited via resident and staff referrals from community health centers and neurological units of a tertiary hospital of a city in southeast China.</t>
  </si>
  <si>
    <t>Moderate to Severe dementia (MMSE ≤17)</t>
  </si>
  <si>
    <t>Zarepour 2020</t>
  </si>
  <si>
    <t>Geriatric clinic in Imam Reza and other neurology clinics affiliated to Shiraz University of Medical Sciences, Shiraz, Iran. The target population included family caregivers of the elderly people with dementia living in Shiraz.</t>
  </si>
  <si>
    <t>8/30 illiterate, 3/30 literate, 15/30 primary school, 1/30 middle school, 2/30 high school, 1/30 university</t>
  </si>
  <si>
    <t>4/31 illiterate, 9/31 literate, 9/31 primary school, 3/31 middle school, 3/31 high school, 3/30 university</t>
  </si>
  <si>
    <t>3/25 primary education, 8/25 high school diploma, 14/25 university education</t>
  </si>
  <si>
    <t>9/25 primary education, 11/25 high school diploma, 5/25 university education</t>
  </si>
  <si>
    <t>59.0 ± 10.4 years</t>
  </si>
  <si>
    <t>58.7 ± 13.9 years</t>
  </si>
  <si>
    <t>&gt; 53 years: 40% (12/30)</t>
  </si>
  <si>
    <t>&gt; 53 years: 58% (18/31)</t>
  </si>
  <si>
    <t>42.6 ± 6.2 years</t>
  </si>
  <si>
    <t>43.4 ± 6.3 years</t>
  </si>
  <si>
    <t>63.27 ± 11.22</t>
  </si>
  <si>
    <t>62.09 ± 10.56</t>
  </si>
  <si>
    <t>REACH VA is based on REACH II and consists of four “core” training sessions on problem solving, mood management/cognitive restructuring, stress management (eg, signal breath, pleasant event scheduling), and communication, plus up to two additional sessions based on caregiver’s needs and clinical judgment. In REACH VA, the sessions last 1 hour and are delivered by a trained interventionist by telephone, telehealth, or face-to-face. Our culturally adapted and manualized intervention, REACH VN, is based on the REACH VA intervention, with modifications to make it suitable for the context of a semi-rural area in Vietnam. We used a multi-step cultural adaptation process guided by existing frameworks commonly used in global health. Participants assigned to the enhanced control condition received a single face-to-face session at the time of enrollment in the caregiver’s home (or another place of their choosing) that focused on education about the nature of dementia and included the provision of written educational materials. In addition, any safety issues identified during the single home visit were addressed by research staff.</t>
  </si>
  <si>
    <t>Participants assigned to the enhanced control condition received a single face-to-face session at the time of enrollment in the caregiver’s home (or another place of their choosing) that focused on education about the nature of dementia and included the provision of written educational materials. In addition, any safety issues identified during the single home visit were addressed by research staff.</t>
  </si>
  <si>
    <t>Implementation of discharge guidance plan, establishment of Wechat group for the discharged patients, opening of hotline, online provision of AD rehabilitation, nursing and medication guidance. The Wechat group and hotline mainly have the following functions, inquiry function. After the patients release or call to raise nursing and medication issues within the group, the designated nursing team members should reply within 1 d and organize appropriate case extension analysis and discussion within the Wechat group. For privacy problems of the individual patients and nursing staff, Wechat private chat or telephone contact was used. When the problems could not be solved remotely, the patients were required to return to the hospital for further consultation. The control group received routine health education and nursing guidance after discharge, while the observation group received additional extended nursing scheme for 1 y, including daily living ability training, body function training, language training, memory training, music therapy, psychological nursing support and offline collective activities of patients. ​ ​</t>
  </si>
  <si>
    <t>The group received group training and support, home visits and individual support through telephonic interviews. Caregivers were unable to attend group training when they could not find anyone to leave their patients. This handicap was tried to be overcome with the WhatsApp group and house visits. WhatsApp group was set up to make caregivers communicate and interact with each other and researchers. During 16 weeks, caregivers were interviewed routinely per month; four face-to-face interviews were conducted with each patient–caregiver dyad. We interviewed the CG (n = 31) two times during the data collection process. The group received just routine hospital care. At the end of 16 weeks, the programme was provided to this group too.</t>
  </si>
  <si>
    <t>The group received just routine hospital care. At the end of 16 weeks, the programme was provided to this group too.</t>
  </si>
  <si>
    <t>Cognitive training was given to all eligible subjects individually two sessions weekly continuously for a period of 1 month i.e. a total of 8 sessions. Each session will take approximately 1 hour.</t>
  </si>
  <si>
    <t>None stated</t>
  </si>
  <si>
    <t>The intervention was administered as a training program that aimed to promote resilience development through PowerPoint presentations and educational pamphlets. These were supplied through a lecture for the intervention group. The program was based on HendersonMilstein and Kravets’ resilience education projects, as presented in Table 1 (11, 12).</t>
  </si>
  <si>
    <t>There was no intervention designed for the control group and the participants in this group received routine care, such as education on medicinal and non-medicinal care for their patients.</t>
  </si>
  <si>
    <t>This NLCBI comprised five monthly 60-minute individual sessions conducted at caregivers’ homes at the beginning of each month by appointment, with a 20- to 30-minute consultation call in the middle of the month. Duration of the intervention and follow up was determined based on the time of an interventional effect and retention of respondents. Five RNs were trained on the intervention protocol and psychosocial communication techniques. Although nurses were instructed to follow the protocol, minimal flexibility was allowed to adapt to individual caregivers. A discussion group in an E-chat room using WeChat software was set up for communication among nurse interventionists to ensure consistency in the intervention. At the initial session, caregivers agreed to make up a session within a few days after a missed appointment.</t>
  </si>
  <si>
    <t>Caregivers in the control group were provided with five monthly, short (5 to 10 minutes), general conversations with a nurse interventionist at the beginning of each month either at caregivers’ homes, at the hospital, or via telephone as convenient. No in-depth instructions were given; conversations were casual chats on caregivers’ daily lives and health.</t>
  </si>
  <si>
    <t>The intervention group was provided with educational intervention and a scientifically valid educational book approved by faculty members in Shiraz University of Medical Sciences.</t>
  </si>
  <si>
    <t>The control group did not receive any formal education regarding the care of the elderly with dementia, during the study. In order to have ethical considerations in the research, after conducting the study, the educational programs were carried out and also, a book was provided for them.</t>
  </si>
  <si>
    <t>Vietnam</t>
  </si>
  <si>
    <t>16 weeks</t>
  </si>
  <si>
    <t>1 month</t>
  </si>
  <si>
    <t>PHQ-4</t>
  </si>
  <si>
    <t>Caregiver mental health</t>
  </si>
  <si>
    <t>MoCA</t>
  </si>
  <si>
    <t>Patient neuropsychiatric symptoms</t>
  </si>
  <si>
    <t>BEHAVE-AD</t>
  </si>
  <si>
    <t>BADL</t>
  </si>
  <si>
    <t>GHQ-28</t>
  </si>
  <si>
    <t>Caregiver anxiety/insomnia</t>
  </si>
  <si>
    <t>Overall quality of life</t>
  </si>
  <si>
    <t>SF36 Physical health</t>
  </si>
  <si>
    <t xml:space="preserve">Caregiver physical Quality of life </t>
  </si>
  <si>
    <t>NPI-D</t>
  </si>
  <si>
    <t>BDI</t>
  </si>
  <si>
    <t>BAI</t>
  </si>
  <si>
    <t>CES-D</t>
  </si>
  <si>
    <t>Caregiver anxiety</t>
  </si>
  <si>
    <t>Caregiver phychological quality of life</t>
  </si>
  <si>
    <t>QoL-Ada</t>
  </si>
  <si>
    <t>NPI-S</t>
  </si>
  <si>
    <t>Spielberger questionnaires</t>
  </si>
  <si>
    <t>1 month post intervention</t>
  </si>
  <si>
    <t>3 months post intervention</t>
  </si>
  <si>
    <t>five monthly in-home nurse-led cognitive behavioral sessions and consultation calls after each session</t>
  </si>
  <si>
    <t>2 month follow-up</t>
  </si>
  <si>
    <t>8 weekly sessions (The GHQ was completed before and 35 - 40 days after the intervention in both groups)</t>
  </si>
  <si>
    <t>Caregiver positive experience</t>
  </si>
  <si>
    <t>NPI-Q distress</t>
  </si>
  <si>
    <t>General Self Efficacy scale (GSE-10)</t>
  </si>
  <si>
    <t>SF36 mental health</t>
  </si>
  <si>
    <t>Count of Study.Identifier</t>
  </si>
  <si>
    <t>Row Labels</t>
  </si>
  <si>
    <t>Grand Total</t>
  </si>
  <si>
    <t>year</t>
  </si>
  <si>
    <t>number of studies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</si>
</sst>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rgb="FF000000"/>
      <name val="Calibri"/>
      <family val="2"/>
      <scheme val="minor"/>
    </font>
    <font>
      <sz val="8"/>
      <name val="Calibri"/>
      <family val="2"/>
      <scheme val="minor"/>
    </font>
    <font>
      <sz val="11"/>
      <color rgb="FFFF0000"/>
      <name val="Calibri"/>
      <family val="2"/>
      <scheme val="minor"/>
    </font>
    <font>
      <sz val="11"/>
      <name val="Calibri (Body)"/>
    </font>
    <font>
      <sz val="11"/>
      <name val="Calibri"/>
      <family val="2"/>
      <scheme val="minor"/>
    </font>
    <font>
      <b/>
      <sz val="11"/>
      <color theme="1"/>
      <name val="Calibri"/>
      <family val="2"/>
      <scheme val="minor"/>
    </font>
  </fonts>
  <fills count="10">
    <fill>
      <patternFill patternType="none"/>
    </fill>
    <fill>
      <patternFill patternType="gray125"/>
    </fill>
    <fill>
      <patternFill patternType="solid">
        <fgColor theme="4" tint="0.79998168889431442"/>
        <bgColor indexed="64"/>
      </patternFill>
    </fill>
    <fill>
      <patternFill patternType="solid">
        <fgColor theme="3" tint="0.79998168889431442"/>
        <bgColor indexed="64"/>
      </patternFill>
    </fill>
    <fill>
      <patternFill patternType="solid">
        <fgColor theme="0" tint="-0.14999847407452621"/>
        <bgColor indexed="64"/>
      </patternFill>
    </fill>
    <fill>
      <patternFill patternType="solid">
        <fgColor rgb="FFDCE6F1"/>
        <bgColor rgb="FF000000"/>
      </patternFill>
    </fill>
    <fill>
      <patternFill patternType="solid">
        <fgColor theme="4" tint="0.79998168889431442"/>
        <bgColor theme="4" tint="0.79998168889431442"/>
      </patternFill>
    </fill>
    <fill>
      <patternFill patternType="solid">
        <fgColor theme="8" tint="0.79998168889431442"/>
        <bgColor indexed="64"/>
      </patternFill>
    </fill>
    <fill>
      <patternFill patternType="solid">
        <fgColor theme="5" tint="0.79998168889431442"/>
        <bgColor indexed="64"/>
      </patternFill>
    </fill>
    <fill>
      <patternFill patternType="solid">
        <fgColor theme="9" tint="0.79998168889431442"/>
        <bgColor indexed="64"/>
      </patternFill>
    </fill>
  </fills>
  <borders count="2">
    <border>
      <left/>
      <right/>
      <top/>
      <bottom/>
      <diagonal/>
    </border>
    <border>
      <left/>
      <right/>
      <top/>
      <bottom style="thin">
        <color theme="4" tint="0.39997558519241921"/>
      </bottom>
      <diagonal/>
    </border>
  </borders>
  <cellStyleXfs count="1">
    <xf numFmtId="0" fontId="0" fillId="0" borderId="0"/>
  </cellStyleXfs>
  <cellXfs count="28">
    <xf numFmtId="0" fontId="0" fillId="0" borderId="0" xfId="0"/>
    <xf numFmtId="0" fontId="0" fillId="2" borderId="0" xfId="0" applyFill="1"/>
    <xf numFmtId="0" fontId="0" fillId="3" borderId="0" xfId="0" applyFill="1"/>
    <xf numFmtId="0" fontId="0" fillId="4" borderId="0" xfId="0" applyFill="1"/>
    <xf numFmtId="2" fontId="0" fillId="2" borderId="0" xfId="0" applyNumberFormat="1" applyFill="1"/>
    <xf numFmtId="2" fontId="0" fillId="3" borderId="0" xfId="0" applyNumberFormat="1" applyFill="1"/>
    <xf numFmtId="2" fontId="0" fillId="0" borderId="0" xfId="0" applyNumberFormat="1"/>
    <xf numFmtId="0" fontId="2" fillId="2" borderId="0" xfId="0" applyFont="1" applyFill="1"/>
    <xf numFmtId="0" fontId="3" fillId="0" borderId="0" xfId="0" applyFont="1"/>
    <xf numFmtId="9" fontId="3" fillId="0" borderId="0" xfId="0" applyNumberFormat="1" applyFont="1"/>
    <xf numFmtId="10" fontId="3" fillId="0" borderId="0" xfId="0" applyNumberFormat="1" applyFont="1"/>
    <xf numFmtId="0" fontId="3" fillId="4" borderId="0" xfId="0" applyFont="1" applyFill="1"/>
    <xf numFmtId="2" fontId="3" fillId="2" borderId="0" xfId="0" applyNumberFormat="1" applyFont="1" applyFill="1"/>
    <xf numFmtId="0" fontId="3" fillId="2" borderId="0" xfId="0" applyFont="1" applyFill="1"/>
    <xf numFmtId="2" fontId="3" fillId="3" borderId="0" xfId="0" applyNumberFormat="1" applyFont="1" applyFill="1"/>
    <xf numFmtId="0" fontId="3" fillId="3" borderId="0" xfId="0" applyFont="1" applyFill="1"/>
    <xf numFmtId="0" fontId="2" fillId="5" borderId="0" xfId="0" applyFont="1" applyFill="1"/>
    <xf numFmtId="0" fontId="4" fillId="0" borderId="0" xfId="0" applyFont="1"/>
    <xf numFmtId="2" fontId="4" fillId="0" borderId="0" xfId="0" applyNumberFormat="1" applyFont="1"/>
    <xf numFmtId="0" fontId="0" fillId="0" borderId="0" xfId="0" pivotButton="1"/>
    <xf numFmtId="0" fontId="0" fillId="0" borderId="0" xfId="0" applyAlignment="1">
      <alignment horizontal="left"/>
    </xf>
    <xf numFmtId="0" fontId="5" fillId="6" borderId="1" xfId="0" applyFont="1" applyFill="1" applyBorder="1"/>
    <xf numFmtId="0" fontId="4" fillId="7" borderId="0" xfId="0" applyFont="1" applyFill="1"/>
    <xf numFmtId="0" fontId="4" fillId="8" borderId="0" xfId="0" applyFont="1" applyFill="1"/>
    <xf numFmtId="0" fontId="4" fillId="9" borderId="0" xfId="0" applyFont="1" applyFill="1"/>
    <xf numFmtId="0" fontId="0" fillId="0" borderId="0" xfId="0" applyNumberFormat="1"/>
    <xf numFmtId="0" fontId="3" fillId="8" borderId="0" xfId="0" applyFont="1" applyFill="1"/>
    <xf numFmtId="0" fontId="0" fillId="8"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[Dataset_plotting.xlsx]studies by country!PivotTable16</c:name>
    <c:fmtId val="0"/>
  </c:pivotSource>
  <c:chart>
    <c:autoTitleDeleted val="1"/>
    <c:pivotFmts>
      <c:pivotFmt>
        <c:idx val="0"/>
        <c:spPr>
          <a:solidFill>
            <a:schemeClr val="accent2"/>
          </a:solidFill>
          <a:ln>
            <a:noFill/>
          </a:ln>
          <a:effectLst>
            <a:outerShdw blurRad="50800" dist="38100" dir="2700000" algn="tl" rotWithShape="0">
              <a:prstClr val="black">
                <a:alpha val="40000"/>
              </a:prstClr>
            </a:outerShdw>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2">
              <a:lumMod val="60000"/>
            </a:schemeClr>
          </a:solidFill>
          <a:ln>
            <a:noFill/>
          </a:ln>
          <a:effectLst>
            <a:outerShdw blurRad="50800" dist="38100" dir="2700000" algn="tl" rotWithShape="0">
              <a:prstClr val="black">
                <a:alpha val="40000"/>
              </a:prstClr>
            </a:outerShdw>
          </a:effectLst>
        </c:spPr>
        <c:dLbl>
          <c:idx val="0"/>
          <c:layout>
            <c:manualLayout>
              <c:x val="0.10944807109577874"/>
              <c:y val="2.3734025072703149E-3"/>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8BE7127D-F51A-5247-BE7F-1ED6AB6BAA82}" type="CATEGORYNAME">
                  <a:rPr lang="en-US"/>
                  <a:pPr>
                    <a:defRPr/>
                  </a:pPr>
                  <a:t>[CATEGORY NAME]</a:t>
                </a:fld>
                <a:r>
                  <a:rPr lang="en-US" baseline="0"/>
                  <a:t>
</a:t>
                </a:r>
                <a:r>
                  <a:rPr lang="en-US" altLang="zh-CN" baseline="0"/>
                  <a:t>6 (</a:t>
                </a:r>
                <a:fld id="{0A572D4F-B6A5-5143-B8F4-31A950CCF57F}" type="PERCENTAGE">
                  <a:rPr lang="en-US" baseline="0"/>
                  <a:pPr>
                    <a:defRPr/>
                  </a:pPr>
                  <a:t>[PERCENTAGE]</a:t>
                </a:fld>
                <a:r>
                  <a:rPr lang="en-US" altLang="zh-CN" baseline="0"/>
                  <a:t>)</a:t>
                </a:r>
              </a:p>
            </c:rich>
          </c:tx>
          <c:spPr>
            <a:solidFill>
              <a:sysClr val="window" lastClr="FFFFFF"/>
            </a:solidFill>
            <a:ln w="9525" cap="flat" cmpd="sng" algn="ctr">
              <a:solidFill>
                <a:sysClr val="windowText" lastClr="000000">
                  <a:lumMod val="25000"/>
                  <a:lumOff val="75000"/>
                </a:sys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35818"/>
                    <a:gd name="adj2" fmla="val 63341"/>
                  </a:avLst>
                </a:prstGeom>
                <a:noFill/>
                <a:ln>
                  <a:noFill/>
                </a:ln>
              </c15:spPr>
              <c15:dlblFieldTable/>
              <c15:showDataLabelsRange val="0"/>
            </c:ext>
          </c:extLst>
        </c:dLbl>
      </c:pivotFmt>
      <c:pivotFmt>
        <c:idx val="2"/>
        <c:spPr>
          <a:solidFill>
            <a:schemeClr val="accent2"/>
          </a:solidFill>
          <a:ln>
            <a:noFill/>
          </a:ln>
          <a:effectLst>
            <a:outerShdw blurRad="50800" dist="38100" dir="2700000" algn="tl" rotWithShape="0">
              <a:prstClr val="black">
                <a:alpha val="40000"/>
              </a:prstClr>
            </a:outerShdw>
          </a:effectLst>
        </c:spPr>
        <c:dLbl>
          <c:idx val="0"/>
          <c:layout>
            <c:manualLayout>
              <c:x val="-0.12505535723505429"/>
              <c:y val="-0.147953841781713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4F9257EC-BB4B-8542-A335-44724140D1DF}" type="CATEGORYNAME">
                  <a:rPr lang="en-US"/>
                  <a:pPr>
                    <a:defRPr/>
                  </a:pPr>
                  <a:t>[CATEGORY NAME]</a:t>
                </a:fld>
                <a:r>
                  <a:rPr lang="en-US" baseline="0"/>
                  <a:t>
</a:t>
                </a:r>
                <a:r>
                  <a:rPr lang="en-US" altLang="zh-CN" baseline="0"/>
                  <a:t>12 (</a:t>
                </a:r>
                <a:fld id="{9167A801-EF5B-0047-A922-17CE0A717E14}" type="PERCENTAGE">
                  <a:rPr lang="en-US" baseline="0"/>
                  <a:pPr>
                    <a:defRPr/>
                  </a:pPr>
                  <a:t>[PERCENTAGE]</a:t>
                </a:fld>
                <a:r>
                  <a:rPr lang="en-US" altLang="zh-CN" baseline="0"/>
                  <a:t>)</a:t>
                </a:r>
              </a:p>
            </c:rich>
          </c:tx>
          <c:spPr>
            <a:solidFill>
              <a:sysClr val="window" lastClr="FFFFFF"/>
            </a:solidFill>
            <a:ln w="9525" cap="flat" cmpd="sng" algn="ctr">
              <a:solidFill>
                <a:sysClr val="windowText" lastClr="000000">
                  <a:lumMod val="25000"/>
                  <a:lumOff val="75000"/>
                </a:sys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75815"/>
                    <a:gd name="adj2" fmla="val -33754"/>
                  </a:avLst>
                </a:prstGeom>
                <a:noFill/>
                <a:ln>
                  <a:noFill/>
                </a:ln>
              </c15:spPr>
              <c15:dlblFieldTable/>
              <c15:showDataLabelsRange val="0"/>
            </c:ext>
          </c:extLst>
        </c:dLbl>
      </c:pivotFmt>
      <c:pivotFmt>
        <c:idx val="3"/>
        <c:spPr>
          <a:solidFill>
            <a:schemeClr val="accent4">
              <a:lumMod val="60000"/>
            </a:schemeClr>
          </a:solidFill>
          <a:ln>
            <a:noFill/>
          </a:ln>
          <a:effectLst>
            <a:outerShdw blurRad="50800" dist="38100" dir="2700000" algn="tl" rotWithShape="0">
              <a:prstClr val="black">
                <a:alpha val="40000"/>
              </a:prstClr>
            </a:outerShdw>
          </a:effectLst>
        </c:spPr>
        <c:dLbl>
          <c:idx val="0"/>
          <c:layout>
            <c:manualLayout>
              <c:x val="8.8759917944034109E-2"/>
              <c:y val="-7.9373032848360781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A8510C2B-3D3A-BD42-9065-B19E86AADDA1}" type="CATEGORYNAME">
                  <a:rPr lang="en-US"/>
                  <a:pPr>
                    <a:defRPr/>
                  </a:pPr>
                  <a:t>[CATEGORY NAME]</a:t>
                </a:fld>
                <a:r>
                  <a:rPr lang="en-US" baseline="0"/>
                  <a:t>
</a:t>
                </a:r>
                <a:r>
                  <a:rPr lang="en-US" altLang="zh-CN" baseline="0"/>
                  <a:t>1 (</a:t>
                </a:r>
                <a:fld id="{5890A6BE-8ED2-E142-9226-D48CDE287105}" type="PERCENTAGE">
                  <a:rPr lang="en-US" baseline="0"/>
                  <a:pPr>
                    <a:defRPr/>
                  </a:pPr>
                  <a:t>[PERCENTAGE]</a:t>
                </a:fld>
                <a:r>
                  <a:rPr lang="en-US" altLang="zh-CN" baseline="0"/>
                  <a:t>)</a:t>
                </a:r>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4"/>
        <c:spPr>
          <a:solidFill>
            <a:schemeClr val="accent6">
              <a:lumMod val="60000"/>
            </a:schemeClr>
          </a:solidFill>
          <a:ln>
            <a:noFill/>
          </a:ln>
          <a:effectLst>
            <a:outerShdw blurRad="50800" dist="38100" dir="2700000" algn="tl" rotWithShape="0">
              <a:prstClr val="black">
                <a:alpha val="40000"/>
              </a:prstClr>
            </a:outerShdw>
          </a:effectLst>
        </c:spPr>
        <c:dLbl>
          <c:idx val="0"/>
          <c:layout>
            <c:manualLayout>
              <c:x val="4.7201087292451274E-2"/>
              <c:y val="4.2944002017098325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D85065A4-E3D4-574C-9718-325D9CD570BC}" type="CATEGORYNAME">
                  <a:rPr lang="en-US"/>
                  <a:pPr>
                    <a:defRPr/>
                  </a:pPr>
                  <a:t>[CATEGORY NAME]</a:t>
                </a:fld>
                <a:r>
                  <a:rPr lang="en-US" baseline="0"/>
                  <a:t>
</a:t>
                </a:r>
                <a:r>
                  <a:rPr lang="en-US" altLang="zh-CN" baseline="0"/>
                  <a:t>1 (</a:t>
                </a:r>
                <a:fld id="{64190643-3F9C-5E4A-88EE-F157D32ECEAB}" type="PERCENTAGE">
                  <a:rPr lang="en-US" baseline="0"/>
                  <a:pPr>
                    <a:defRPr/>
                  </a:pPr>
                  <a:t>[PERCENTAGE]</a:t>
                </a:fld>
                <a:r>
                  <a:rPr lang="en-US" altLang="zh-CN" baseline="0"/>
                  <a:t>)</a:t>
                </a:r>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5"/>
        <c:spPr>
          <a:solidFill>
            <a:schemeClr val="accent2">
              <a:lumMod val="80000"/>
              <a:lumOff val="20000"/>
            </a:schemeClr>
          </a:solidFill>
          <a:ln>
            <a:noFill/>
          </a:ln>
          <a:effectLst>
            <a:outerShdw blurRad="50800" dist="38100" dir="2700000" algn="tl" rotWithShape="0">
              <a:prstClr val="black">
                <a:alpha val="40000"/>
              </a:prstClr>
            </a:outerShdw>
          </a:effectLst>
        </c:spPr>
        <c:dLbl>
          <c:idx val="0"/>
          <c:layout>
            <c:manualLayout>
              <c:x val="3.2365711892224827E-2"/>
              <c:y val="0.10291608529078042"/>
            </c:manualLayout>
          </c:layout>
          <c:tx>
            <c:rich>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fld id="{20FBA291-EB39-6541-A8A2-8C66A0922F77}" type="CATEGORYNAME">
                  <a:rPr lang="en-US"/>
                  <a:pPr>
                    <a:defRPr/>
                  </a:pPr>
                  <a:t>[CATEGORY NAME]</a:t>
                </a:fld>
                <a:r>
                  <a:rPr lang="en-US" baseline="0"/>
                  <a:t>
</a:t>
                </a:r>
                <a:r>
                  <a:rPr lang="en-US" altLang="zh-CN" baseline="0"/>
                  <a:t>3 (</a:t>
                </a:r>
                <a:fld id="{D90AF9E4-3140-3249-ABE0-22E68AE852B9}" type="PERCENTAGE">
                  <a:rPr lang="en-US" baseline="0"/>
                  <a:pPr>
                    <a:defRPr/>
                  </a:pPr>
                  <a:t>[PERCENTAGE]</a:t>
                </a:fld>
                <a:r>
                  <a:rPr lang="en-US" altLang="zh-CN" baseline="0"/>
                  <a:t>)</a:t>
                </a:r>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7170814429458703"/>
                  <c:h val="0.20275043322742139"/>
                </c:manualLayout>
              </c15:layout>
              <c15:dlblFieldTable/>
              <c15:showDataLabelsRange val="0"/>
            </c:ext>
          </c:extLst>
        </c:dLbl>
      </c:pivotFmt>
      <c:pivotFmt>
        <c:idx val="6"/>
        <c:spPr>
          <a:solidFill>
            <a:schemeClr val="accent4">
              <a:lumMod val="80000"/>
              <a:lumOff val="20000"/>
            </a:schemeClr>
          </a:solidFill>
          <a:ln>
            <a:noFill/>
          </a:ln>
          <a:effectLst>
            <a:outerShdw blurRad="50800" dist="38100" dir="2700000" algn="tl" rotWithShape="0">
              <a:prstClr val="black">
                <a:alpha val="40000"/>
              </a:prstClr>
            </a:outerShdw>
          </a:effectLst>
        </c:spPr>
        <c:dLbl>
          <c:idx val="0"/>
          <c:layout>
            <c:manualLayout>
              <c:x val="-3.6941182801406965E-2"/>
              <c:y val="0.10854724048555647"/>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319DB905-01E6-B54A-8527-20CFDB3143C2}" type="CATEGORYNAME">
                  <a:rPr lang="en-US"/>
                  <a:pPr>
                    <a:defRPr/>
                  </a:pPr>
                  <a:t>[CATEGORY NAME]</a:t>
                </a:fld>
                <a:r>
                  <a:rPr lang="en-US" baseline="0"/>
                  <a:t>
</a:t>
                </a:r>
                <a:r>
                  <a:rPr lang="en-US" altLang="zh-CN" baseline="0"/>
                  <a:t>1 (</a:t>
                </a:r>
                <a:fld id="{84837D17-9A11-1A49-9D2D-2B8F981B1029}" type="PERCENTAGE">
                  <a:rPr lang="en-US" baseline="0"/>
                  <a:pPr>
                    <a:defRPr/>
                  </a:pPr>
                  <a:t>[PERCENTAGE]</a:t>
                </a:fld>
                <a:r>
                  <a:rPr lang="en-US" altLang="zh-CN" baseline="0"/>
                  <a:t>)</a:t>
                </a:r>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7"/>
        <c:spPr>
          <a:solidFill>
            <a:schemeClr val="accent4"/>
          </a:solidFill>
          <a:ln>
            <a:noFill/>
          </a:ln>
          <a:effectLst>
            <a:outerShdw blurRad="50800" dist="38100" dir="2700000" algn="tl" rotWithShape="0">
              <a:prstClr val="black">
                <a:alpha val="40000"/>
              </a:prstClr>
            </a:outerShdw>
          </a:effectLst>
        </c:spPr>
        <c:dLbl>
          <c:idx val="0"/>
          <c:layout>
            <c:manualLayout>
              <c:x val="-5.0794126351934574E-2"/>
              <c:y val="4.0705215182083719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C768DFF1-2AF7-DC45-9E7C-023F1F365657}" type="CATEGORYNAME">
                  <a:rPr lang="en-US"/>
                  <a:pPr>
                    <a:defRPr/>
                  </a:pPr>
                  <a:t>[CATEGORY NAME]</a:t>
                </a:fld>
                <a:r>
                  <a:rPr lang="en-US" baseline="0"/>
                  <a:t>
</a:t>
                </a:r>
                <a:r>
                  <a:rPr lang="en-US" altLang="zh-CN" baseline="0"/>
                  <a:t>1 (</a:t>
                </a:r>
                <a:fld id="{50F7E026-209C-3E4A-9158-8A90FE413080}" type="PERCENTAGE">
                  <a:rPr lang="en-US" baseline="0"/>
                  <a:pPr>
                    <a:defRPr/>
                  </a:pPr>
                  <a:t>[PERCENTAGE]</a:t>
                </a:fld>
                <a:r>
                  <a:rPr lang="en-US" altLang="zh-CN" baseline="0"/>
                  <a:t>)</a:t>
                </a:r>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8"/>
        <c:spPr>
          <a:solidFill>
            <a:schemeClr val="accent6"/>
          </a:solidFill>
          <a:ln>
            <a:noFill/>
          </a:ln>
          <a:effectLst>
            <a:outerShdw blurRad="50800" dist="38100" dir="2700000" algn="tl" rotWithShape="0">
              <a:prstClr val="black">
                <a:alpha val="40000"/>
              </a:prstClr>
            </a:outerShdw>
          </a:effectLst>
        </c:spPr>
        <c:dLbl>
          <c:idx val="0"/>
          <c:layout>
            <c:manualLayout>
              <c:x val="-3.6941182801406944E-2"/>
              <c:y val="-6.7842025303472874E-3"/>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7FDDA74D-F79F-E54E-9F2B-13C28F4C6F3F}" type="CATEGORYNAME">
                  <a:rPr lang="en-US"/>
                  <a:pPr>
                    <a:defRPr/>
                  </a:pPr>
                  <a:t>[CATEGORY NAME]</a:t>
                </a:fld>
                <a:r>
                  <a:rPr lang="en-US" baseline="0"/>
                  <a:t>
</a:t>
                </a:r>
                <a:r>
                  <a:rPr lang="en-US" altLang="zh-CN" baseline="0"/>
                  <a:t>2 (</a:t>
                </a:r>
                <a:fld id="{F26885D9-78D0-F343-8D4C-67176F82DC99}" type="PERCENTAGE">
                  <a:rPr lang="en-US" baseline="0"/>
                  <a:pPr>
                    <a:defRPr/>
                  </a:pPr>
                  <a:t>[PERCENTAGE]</a:t>
                </a:fld>
                <a:r>
                  <a:rPr lang="en-US" altLang="zh-CN" baseline="0"/>
                  <a:t>)</a:t>
                </a:r>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s>
    <c:plotArea>
      <c:layout/>
      <c:pieChart>
        <c:varyColors val="1"/>
        <c:ser>
          <c:idx val="0"/>
          <c:order val="0"/>
          <c:tx>
            <c:strRef>
              <c:f>'studies by country'!$B$1</c:f>
              <c:strCache>
                <c:ptCount val="1"/>
                <c:pt idx="0">
                  <c:v>Total</c:v>
                </c:pt>
              </c:strCache>
            </c:strRef>
          </c:tx>
          <c:spPr>
            <a:effectLst>
              <a:outerShdw blurRad="50800" dist="38100" dir="2700000" algn="tl" rotWithShape="0">
                <a:prstClr val="black">
                  <a:alpha val="40000"/>
                </a:prstClr>
              </a:outerShdw>
            </a:effectLst>
          </c:spPr>
          <c:explosion val="11"/>
          <c:dPt>
            <c:idx val="0"/>
            <c:bubble3D val="0"/>
            <c:spPr>
              <a:solidFill>
                <a:schemeClr val="accent2"/>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3-A572-0C49-825E-5234687F29AD}"/>
              </c:ext>
            </c:extLst>
          </c:dPt>
          <c:dPt>
            <c:idx val="1"/>
            <c:bubble3D val="0"/>
            <c:spPr>
              <a:solidFill>
                <a:schemeClr val="accent4"/>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8-A572-0C49-825E-5234687F29AD}"/>
              </c:ext>
            </c:extLst>
          </c:dPt>
          <c:dPt>
            <c:idx val="2"/>
            <c:bubble3D val="0"/>
            <c:spPr>
              <a:solidFill>
                <a:schemeClr val="accent6"/>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9-A572-0C49-825E-5234687F29AD}"/>
              </c:ext>
            </c:extLst>
          </c:dPt>
          <c:dPt>
            <c:idx val="3"/>
            <c:bubble3D val="0"/>
            <c:spPr>
              <a:solidFill>
                <a:schemeClr val="accent2">
                  <a:lumMod val="60000"/>
                </a:schemeClr>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2-A572-0C49-825E-5234687F29AD}"/>
              </c:ext>
            </c:extLst>
          </c:dPt>
          <c:dPt>
            <c:idx val="4"/>
            <c:bubble3D val="0"/>
            <c:spPr>
              <a:solidFill>
                <a:schemeClr val="accent4">
                  <a:lumMod val="60000"/>
                </a:schemeClr>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4-A572-0C49-825E-5234687F29AD}"/>
              </c:ext>
            </c:extLst>
          </c:dPt>
          <c:dPt>
            <c:idx val="5"/>
            <c:bubble3D val="0"/>
            <c:spPr>
              <a:solidFill>
                <a:schemeClr val="accent6">
                  <a:lumMod val="60000"/>
                </a:schemeClr>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5-A572-0C49-825E-5234687F29AD}"/>
              </c:ext>
            </c:extLst>
          </c:dPt>
          <c:dPt>
            <c:idx val="6"/>
            <c:bubble3D val="0"/>
            <c:spPr>
              <a:solidFill>
                <a:schemeClr val="accent2">
                  <a:lumMod val="80000"/>
                  <a:lumOff val="20000"/>
                </a:schemeClr>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6-A572-0C49-825E-5234687F29AD}"/>
              </c:ext>
            </c:extLst>
          </c:dPt>
          <c:dPt>
            <c:idx val="7"/>
            <c:bubble3D val="0"/>
            <c:spPr>
              <a:solidFill>
                <a:schemeClr val="accent4">
                  <a:lumMod val="80000"/>
                  <a:lumOff val="20000"/>
                </a:schemeClr>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7-A572-0C49-825E-5234687F29AD}"/>
              </c:ext>
            </c:extLst>
          </c:dPt>
          <c:dLbls>
            <c:dLbl>
              <c:idx val="0"/>
              <c:layout>
                <c:manualLayout>
                  <c:x val="-0.12505535723505429"/>
                  <c:y val="-0.147953841781713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4F9257EC-BB4B-8542-A335-44724140D1DF}" type="CATEGORYNAME">
                      <a:rPr lang="en-US"/>
                      <a:pPr>
                        <a:defRPr/>
                      </a:pPr>
                      <a:t>[CATEGORY NAME]</a:t>
                    </a:fld>
                    <a:r>
                      <a:rPr lang="en-US" baseline="0"/>
                      <a:t>
</a:t>
                    </a:r>
                    <a:r>
                      <a:rPr lang="en-US" altLang="zh-CN" baseline="0"/>
                      <a:t>12 (</a:t>
                    </a:r>
                    <a:fld id="{9167A801-EF5B-0047-A922-17CE0A717E14}" type="PERCENTAGE">
                      <a:rPr lang="en-US" baseline="0"/>
                      <a:pPr>
                        <a:defRPr/>
                      </a:pPr>
                      <a:t>[PERCENTAGE]</a:t>
                    </a:fld>
                    <a:r>
                      <a:rPr lang="en-US" altLang="zh-CN" baseline="0"/>
                      <a:t>)</a:t>
                    </a:r>
                  </a:p>
                </c:rich>
              </c:tx>
              <c:spPr>
                <a:solidFill>
                  <a:sysClr val="window" lastClr="FFFFFF"/>
                </a:solidFill>
                <a:ln w="9525" cap="flat" cmpd="sng" algn="ctr">
                  <a:solidFill>
                    <a:sysClr val="windowText" lastClr="000000">
                      <a:lumMod val="25000"/>
                      <a:lumOff val="75000"/>
                    </a:sys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75815"/>
                        <a:gd name="adj2" fmla="val -33754"/>
                      </a:avLst>
                    </a:prstGeom>
                    <a:noFill/>
                    <a:ln>
                      <a:noFill/>
                    </a:ln>
                  </c15:spPr>
                  <c15:dlblFieldTable/>
                  <c15:showDataLabelsRange val="0"/>
                </c:ext>
                <c:ext xmlns:c16="http://schemas.microsoft.com/office/drawing/2014/chart" uri="{C3380CC4-5D6E-409C-BE32-E72D297353CC}">
                  <c16:uniqueId val="{00000003-A572-0C49-825E-5234687F29AD}"/>
                </c:ext>
              </c:extLst>
            </c:dLbl>
            <c:dLbl>
              <c:idx val="1"/>
              <c:layout>
                <c:manualLayout>
                  <c:x val="-5.0794126351934574E-2"/>
                  <c:y val="4.0705215182083719E-2"/>
                </c:manualLayout>
              </c:layout>
              <c:tx>
                <c:rich>
                  <a:bodyPr/>
                  <a:lstStyle/>
                  <a:p>
                    <a:fld id="{C768DFF1-2AF7-DC45-9E7C-023F1F365657}" type="CATEGORYNAME">
                      <a:rPr lang="en-US"/>
                      <a:pPr/>
                      <a:t>[CATEGORY NAME]</a:t>
                    </a:fld>
                    <a:r>
                      <a:rPr lang="en-US" baseline="0"/>
                      <a:t>
</a:t>
                    </a:r>
                    <a:r>
                      <a:rPr lang="en-US" altLang="zh-CN" baseline="0"/>
                      <a:t>1 (</a:t>
                    </a:r>
                    <a:fld id="{50F7E026-209C-3E4A-9158-8A90FE413080}" type="PERCENTAGE">
                      <a:rPr lang="en-US" baseline="0"/>
                      <a:pPr/>
                      <a:t>[PERCENTAGE]</a:t>
                    </a:fld>
                    <a:r>
                      <a:rPr lang="en-US" altLang="zh-CN" baseline="0"/>
                      <a:t>)</a:t>
                    </a:r>
                  </a:p>
                </c:rich>
              </c:tx>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8-A572-0C49-825E-5234687F29AD}"/>
                </c:ext>
              </c:extLst>
            </c:dLbl>
            <c:dLbl>
              <c:idx val="2"/>
              <c:layout>
                <c:manualLayout>
                  <c:x val="-3.6941182801406944E-2"/>
                  <c:y val="-6.7842025303472874E-3"/>
                </c:manualLayout>
              </c:layout>
              <c:tx>
                <c:rich>
                  <a:bodyPr/>
                  <a:lstStyle/>
                  <a:p>
                    <a:fld id="{7FDDA74D-F79F-E54E-9F2B-13C28F4C6F3F}" type="CATEGORYNAME">
                      <a:rPr lang="en-US"/>
                      <a:pPr/>
                      <a:t>[CATEGORY NAME]</a:t>
                    </a:fld>
                    <a:r>
                      <a:rPr lang="en-US" baseline="0"/>
                      <a:t>
</a:t>
                    </a:r>
                    <a:r>
                      <a:rPr lang="en-US" altLang="zh-CN" baseline="0"/>
                      <a:t>2 (</a:t>
                    </a:r>
                    <a:fld id="{F26885D9-78D0-F343-8D4C-67176F82DC99}" type="PERCENTAGE">
                      <a:rPr lang="en-US" baseline="0"/>
                      <a:pPr/>
                      <a:t>[PERCENTAGE]</a:t>
                    </a:fld>
                    <a:r>
                      <a:rPr lang="en-US" altLang="zh-CN" baseline="0"/>
                      <a:t>)</a:t>
                    </a:r>
                  </a:p>
                </c:rich>
              </c:tx>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9-A572-0C49-825E-5234687F29AD}"/>
                </c:ext>
              </c:extLst>
            </c:dLbl>
            <c:dLbl>
              <c:idx val="3"/>
              <c:layout>
                <c:manualLayout>
                  <c:x val="0.10944807109577874"/>
                  <c:y val="2.3734025072703149E-3"/>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8BE7127D-F51A-5247-BE7F-1ED6AB6BAA82}" type="CATEGORYNAME">
                      <a:rPr lang="en-US"/>
                      <a:pPr>
                        <a:defRPr/>
                      </a:pPr>
                      <a:t>[CATEGORY NAME]</a:t>
                    </a:fld>
                    <a:r>
                      <a:rPr lang="en-US" baseline="0"/>
                      <a:t>
</a:t>
                    </a:r>
                    <a:r>
                      <a:rPr lang="en-US" altLang="zh-CN" baseline="0"/>
                      <a:t>6 (</a:t>
                    </a:r>
                    <a:fld id="{0A572D4F-B6A5-5143-B8F4-31A950CCF57F}" type="PERCENTAGE">
                      <a:rPr lang="en-US" baseline="0"/>
                      <a:pPr>
                        <a:defRPr/>
                      </a:pPr>
                      <a:t>[PERCENTAGE]</a:t>
                    </a:fld>
                    <a:r>
                      <a:rPr lang="en-US" altLang="zh-CN" baseline="0"/>
                      <a:t>)</a:t>
                    </a:r>
                  </a:p>
                </c:rich>
              </c:tx>
              <c:spPr>
                <a:solidFill>
                  <a:sysClr val="window" lastClr="FFFFFF"/>
                </a:solidFill>
                <a:ln w="9525" cap="flat" cmpd="sng" algn="ctr">
                  <a:solidFill>
                    <a:sysClr val="windowText" lastClr="000000">
                      <a:lumMod val="25000"/>
                      <a:lumOff val="75000"/>
                    </a:sys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35818"/>
                        <a:gd name="adj2" fmla="val 63341"/>
                      </a:avLst>
                    </a:prstGeom>
                    <a:noFill/>
                    <a:ln>
                      <a:noFill/>
                    </a:ln>
                  </c15:spPr>
                  <c15:dlblFieldTable/>
                  <c15:showDataLabelsRange val="0"/>
                </c:ext>
                <c:ext xmlns:c16="http://schemas.microsoft.com/office/drawing/2014/chart" uri="{C3380CC4-5D6E-409C-BE32-E72D297353CC}">
                  <c16:uniqueId val="{00000002-A572-0C49-825E-5234687F29AD}"/>
                </c:ext>
              </c:extLst>
            </c:dLbl>
            <c:dLbl>
              <c:idx val="4"/>
              <c:layout>
                <c:manualLayout>
                  <c:x val="8.8759917944034109E-2"/>
                  <c:y val="-7.9373032848360781E-2"/>
                </c:manualLayout>
              </c:layout>
              <c:tx>
                <c:rich>
                  <a:bodyPr/>
                  <a:lstStyle/>
                  <a:p>
                    <a:fld id="{A8510C2B-3D3A-BD42-9065-B19E86AADDA1}" type="CATEGORYNAME">
                      <a:rPr lang="en-US"/>
                      <a:pPr/>
                      <a:t>[CATEGORY NAME]</a:t>
                    </a:fld>
                    <a:r>
                      <a:rPr lang="en-US" baseline="0"/>
                      <a:t>
</a:t>
                    </a:r>
                    <a:r>
                      <a:rPr lang="en-US" altLang="zh-CN" baseline="0"/>
                      <a:t>1 (</a:t>
                    </a:r>
                    <a:fld id="{5890A6BE-8ED2-E142-9226-D48CDE287105}" type="PERCENTAGE">
                      <a:rPr lang="en-US" baseline="0"/>
                      <a:pPr/>
                      <a:t>[PERCENTAGE]</a:t>
                    </a:fld>
                    <a:r>
                      <a:rPr lang="en-US" altLang="zh-CN" baseline="0"/>
                      <a:t>)</a:t>
                    </a:r>
                  </a:p>
                </c:rich>
              </c:tx>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4-A572-0C49-825E-5234687F29AD}"/>
                </c:ext>
              </c:extLst>
            </c:dLbl>
            <c:dLbl>
              <c:idx val="5"/>
              <c:layout>
                <c:manualLayout>
                  <c:x val="4.7201087292451274E-2"/>
                  <c:y val="4.2944002017098325E-2"/>
                </c:manualLayout>
              </c:layout>
              <c:tx>
                <c:rich>
                  <a:bodyPr/>
                  <a:lstStyle/>
                  <a:p>
                    <a:fld id="{D85065A4-E3D4-574C-9718-325D9CD570BC}" type="CATEGORYNAME">
                      <a:rPr lang="en-US"/>
                      <a:pPr/>
                      <a:t>[CATEGORY NAME]</a:t>
                    </a:fld>
                    <a:r>
                      <a:rPr lang="en-US" baseline="0"/>
                      <a:t>
</a:t>
                    </a:r>
                    <a:r>
                      <a:rPr lang="en-US" altLang="zh-CN" baseline="0"/>
                      <a:t>1 (</a:t>
                    </a:r>
                    <a:fld id="{64190643-3F9C-5E4A-88EE-F157D32ECEAB}" type="PERCENTAGE">
                      <a:rPr lang="en-US" baseline="0"/>
                      <a:pPr/>
                      <a:t>[PERCENTAGE]</a:t>
                    </a:fld>
                    <a:r>
                      <a:rPr lang="en-US" altLang="zh-CN" baseline="0"/>
                      <a:t>)</a:t>
                    </a:r>
                  </a:p>
                </c:rich>
              </c:tx>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A572-0C49-825E-5234687F29AD}"/>
                </c:ext>
              </c:extLst>
            </c:dLbl>
            <c:dLbl>
              <c:idx val="6"/>
              <c:layout>
                <c:manualLayout>
                  <c:x val="3.2365711892224827E-2"/>
                  <c:y val="0.10291608529078042"/>
                </c:manualLayout>
              </c:layout>
              <c:tx>
                <c:rich>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fld id="{20FBA291-EB39-6541-A8A2-8C66A0922F77}" type="CATEGORYNAME">
                      <a:rPr lang="en-US"/>
                      <a:pPr>
                        <a:defRPr/>
                      </a:pPr>
                      <a:t>[CATEGORY NAME]</a:t>
                    </a:fld>
                    <a:r>
                      <a:rPr lang="en-US" baseline="0"/>
                      <a:t>
</a:t>
                    </a:r>
                    <a:r>
                      <a:rPr lang="en-US" altLang="zh-CN" baseline="0"/>
                      <a:t>3 (</a:t>
                    </a:r>
                    <a:fld id="{D90AF9E4-3140-3249-ABE0-22E68AE852B9}" type="PERCENTAGE">
                      <a:rPr lang="en-US" baseline="0"/>
                      <a:pPr>
                        <a:defRPr/>
                      </a:pPr>
                      <a:t>[PERCENTAGE]</a:t>
                    </a:fld>
                    <a:r>
                      <a:rPr lang="en-US" altLang="zh-CN" baseline="0"/>
                      <a:t>)</a:t>
                    </a:r>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7170814429458703"/>
                      <c:h val="0.20275043322742139"/>
                    </c:manualLayout>
                  </c15:layout>
                  <c15:dlblFieldTable/>
                  <c15:showDataLabelsRange val="0"/>
                </c:ext>
                <c:ext xmlns:c16="http://schemas.microsoft.com/office/drawing/2014/chart" uri="{C3380CC4-5D6E-409C-BE32-E72D297353CC}">
                  <c16:uniqueId val="{00000006-A572-0C49-825E-5234687F29AD}"/>
                </c:ext>
              </c:extLst>
            </c:dLbl>
            <c:dLbl>
              <c:idx val="7"/>
              <c:layout>
                <c:manualLayout>
                  <c:x val="-3.6941182801406965E-2"/>
                  <c:y val="0.10854724048555647"/>
                </c:manualLayout>
              </c:layout>
              <c:tx>
                <c:rich>
                  <a:bodyPr/>
                  <a:lstStyle/>
                  <a:p>
                    <a:fld id="{319DB905-01E6-B54A-8527-20CFDB3143C2}" type="CATEGORYNAME">
                      <a:rPr lang="en-US"/>
                      <a:pPr/>
                      <a:t>[CATEGORY NAME]</a:t>
                    </a:fld>
                    <a:r>
                      <a:rPr lang="en-US" baseline="0"/>
                      <a:t>
</a:t>
                    </a:r>
                    <a:r>
                      <a:rPr lang="en-US" altLang="zh-CN" baseline="0"/>
                      <a:t>1 (</a:t>
                    </a:r>
                    <a:fld id="{84837D17-9A11-1A49-9D2D-2B8F981B1029}" type="PERCENTAGE">
                      <a:rPr lang="en-US" baseline="0"/>
                      <a:pPr/>
                      <a:t>[PERCENTAGE]</a:t>
                    </a:fld>
                    <a:r>
                      <a:rPr lang="en-US" altLang="zh-CN" baseline="0"/>
                      <a:t>)</a:t>
                    </a:r>
                  </a:p>
                </c:rich>
              </c:tx>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7-A572-0C49-825E-5234687F29AD}"/>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'studies by country'!$A$2:$A$10</c:f>
              <c:strCache>
                <c:ptCount val="8"/>
                <c:pt idx="0">
                  <c:v>China</c:v>
                </c:pt>
                <c:pt idx="1">
                  <c:v>Egypt</c:v>
                </c:pt>
                <c:pt idx="2">
                  <c:v>India</c:v>
                </c:pt>
                <c:pt idx="3">
                  <c:v>Iran</c:v>
                </c:pt>
                <c:pt idx="4">
                  <c:v>Peru</c:v>
                </c:pt>
                <c:pt idx="5">
                  <c:v>Thailand</c:v>
                </c:pt>
                <c:pt idx="6">
                  <c:v>Turkey</c:v>
                </c:pt>
                <c:pt idx="7">
                  <c:v>Vietnam</c:v>
                </c:pt>
              </c:strCache>
            </c:strRef>
          </c:cat>
          <c:val>
            <c:numRef>
              <c:f>'studies by country'!$B$2:$B$10</c:f>
              <c:numCache>
                <c:formatCode>General</c:formatCode>
                <c:ptCount val="8"/>
                <c:pt idx="0">
                  <c:v>12</c:v>
                </c:pt>
                <c:pt idx="1">
                  <c:v>1</c:v>
                </c:pt>
                <c:pt idx="2">
                  <c:v>2</c:v>
                </c:pt>
                <c:pt idx="3">
                  <c:v>6</c:v>
                </c:pt>
                <c:pt idx="4">
                  <c:v>1</c:v>
                </c:pt>
                <c:pt idx="5">
                  <c:v>1</c:v>
                </c:pt>
                <c:pt idx="6">
                  <c:v>3</c:v>
                </c:pt>
                <c:pt idx="7">
                  <c:v>1</c:v>
                </c:pt>
              </c:numCache>
            </c:numRef>
          </c:val>
          <c:extLst>
            <c:ext xmlns:c16="http://schemas.microsoft.com/office/drawing/2014/chart" uri="{C3380CC4-5D6E-409C-BE32-E72D297353CC}">
              <c16:uniqueId val="{00000000-A572-0C49-825E-5234687F29AD}"/>
            </c:ext>
          </c:extLst>
        </c:ser>
        <c:dLbls>
          <c:showLegendKey val="0"/>
          <c:showVal val="0"/>
          <c:showCatName val="0"/>
          <c:showSerName val="0"/>
          <c:showPercent val="0"/>
          <c:showBubbleSize val="0"/>
          <c:showLeaderLines val="0"/>
        </c:dLbls>
        <c:firstSliceAng val="125"/>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[Dataset_plotting.xlsx]Sheet5!PivotTable17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Sheet5!$B$1</c:f>
              <c:strCache>
                <c:ptCount val="1"/>
                <c:pt idx="0">
                  <c:v>Total</c:v>
                </c:pt>
              </c:strCache>
            </c:strRef>
          </c:tx>
          <c:spPr>
            <a:solidFill>
              <a:schemeClr val="accent1"/>
            </a:solidFill>
            <a:ln>
              <a:noFill/>
            </a:ln>
            <a:effectLst/>
          </c:spPr>
          <c:invertIfNegative val="0"/>
          <c:cat>
            <c:strRef>
              <c:f>Sheet5!$A$2:$A$12</c:f>
              <c:strCache>
                <c:ptCount val="10"/>
                <c:pt idx="0">
                  <c:v>2008</c:v>
                </c:pt>
                <c:pt idx="1">
                  <c:v>2010</c:v>
                </c:pt>
                <c:pt idx="2">
                  <c:v>2011</c:v>
                </c:pt>
                <c:pt idx="3">
                  <c:v>2012</c:v>
                </c:pt>
                <c:pt idx="4">
                  <c:v>2014</c:v>
                </c:pt>
                <c:pt idx="5">
                  <c:v>2016</c:v>
                </c:pt>
                <c:pt idx="6">
                  <c:v>2017</c:v>
                </c:pt>
                <c:pt idx="7">
                  <c:v>2018</c:v>
                </c:pt>
                <c:pt idx="8">
                  <c:v>2019</c:v>
                </c:pt>
                <c:pt idx="9">
                  <c:v>2020</c:v>
                </c:pt>
              </c:strCache>
            </c:strRef>
          </c:cat>
          <c:val>
            <c:numRef>
              <c:f>Sheet5!$B$2:$B$12</c:f>
              <c:numCache>
                <c:formatCode>General</c:formatCode>
                <c:ptCount val="10"/>
                <c:pt idx="0">
                  <c:v>1</c:v>
                </c:pt>
                <c:pt idx="1">
                  <c:v>5</c:v>
                </c:pt>
                <c:pt idx="2">
                  <c:v>1</c:v>
                </c:pt>
                <c:pt idx="3">
                  <c:v>3</c:v>
                </c:pt>
                <c:pt idx="4">
                  <c:v>2</c:v>
                </c:pt>
                <c:pt idx="5">
                  <c:v>1</c:v>
                </c:pt>
                <c:pt idx="6">
                  <c:v>6</c:v>
                </c:pt>
                <c:pt idx="7">
                  <c:v>1</c:v>
                </c:pt>
                <c:pt idx="8">
                  <c:v>3</c:v>
                </c:pt>
                <c:pt idx="9">
                  <c:v>4</c:v>
                </c:pt>
              </c:numCache>
            </c:numRef>
          </c:val>
          <c:extLst>
            <c:ext xmlns:c16="http://schemas.microsoft.com/office/drawing/2014/chart" uri="{C3380CC4-5D6E-409C-BE32-E72D297353CC}">
              <c16:uniqueId val="{00000000-A1E0-0B49-A093-165507666ED1}"/>
            </c:ext>
          </c:extLst>
        </c:ser>
        <c:dLbls>
          <c:showLegendKey val="0"/>
          <c:showVal val="0"/>
          <c:showCatName val="0"/>
          <c:showSerName val="0"/>
          <c:showPercent val="0"/>
          <c:showBubbleSize val="0"/>
        </c:dLbls>
        <c:gapWidth val="219"/>
        <c:overlap val="-27"/>
        <c:axId val="873377535"/>
        <c:axId val="873379183"/>
      </c:barChart>
      <c:catAx>
        <c:axId val="8733775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3379183"/>
        <c:crosses val="autoZero"/>
        <c:auto val="1"/>
        <c:lblAlgn val="ctr"/>
        <c:lblOffset val="100"/>
        <c:noMultiLvlLbl val="0"/>
      </c:catAx>
      <c:valAx>
        <c:axId val="8733791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33775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Sheet5!$G$27</c:f>
              <c:strCache>
                <c:ptCount val="1"/>
                <c:pt idx="0">
                  <c:v>number of studies</c:v>
                </c:pt>
              </c:strCache>
            </c:strRef>
          </c:tx>
          <c:spPr>
            <a:solidFill>
              <a:schemeClr val="accent2"/>
            </a:solidFill>
            <a:ln>
              <a:noFill/>
            </a:ln>
            <a:effectLst/>
          </c:spPr>
          <c:invertIfNegative val="0"/>
          <c:dPt>
            <c:idx val="11"/>
            <c:invertIfNegative val="0"/>
            <c:bubble3D val="0"/>
            <c:spPr>
              <a:solidFill>
                <a:schemeClr val="accent2">
                  <a:lumMod val="20000"/>
                  <a:lumOff val="80000"/>
                </a:schemeClr>
              </a:solidFill>
              <a:ln>
                <a:noFill/>
              </a:ln>
              <a:effectLst/>
            </c:spPr>
            <c:extLst>
              <c:ext xmlns:c16="http://schemas.microsoft.com/office/drawing/2014/chart" uri="{C3380CC4-5D6E-409C-BE32-E72D297353CC}">
                <c16:uniqueId val="{00000003-FABE-334E-A22A-AA29152BC526}"/>
              </c:ext>
            </c:extLst>
          </c:dPt>
          <c:dPt>
            <c:idx val="12"/>
            <c:invertIfNegative val="0"/>
            <c:bubble3D val="0"/>
            <c:spPr>
              <a:solidFill>
                <a:schemeClr val="accent2">
                  <a:lumMod val="20000"/>
                  <a:lumOff val="80000"/>
                </a:schemeClr>
              </a:solidFill>
              <a:ln>
                <a:noFill/>
              </a:ln>
              <a:effectLst/>
            </c:spPr>
            <c:extLst>
              <c:ext xmlns:c16="http://schemas.microsoft.com/office/drawing/2014/chart" uri="{C3380CC4-5D6E-409C-BE32-E72D297353CC}">
                <c16:uniqueId val="{00000002-FABE-334E-A22A-AA29152BC52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Sheet5!$F$28:$F$42</c:f>
              <c:numCache>
                <c:formatCode>General</c:formatCode>
                <c:ptCount val="15"/>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pt idx="14">
                  <c:v>2022</c:v>
                </c:pt>
              </c:numCache>
            </c:numRef>
          </c:cat>
          <c:val>
            <c:numRef>
              <c:f>Sheet5!$G$28:$G$42</c:f>
              <c:numCache>
                <c:formatCode>General</c:formatCode>
                <c:ptCount val="15"/>
                <c:pt idx="0">
                  <c:v>1</c:v>
                </c:pt>
                <c:pt idx="1">
                  <c:v>0</c:v>
                </c:pt>
                <c:pt idx="2">
                  <c:v>5</c:v>
                </c:pt>
                <c:pt idx="3">
                  <c:v>1</c:v>
                </c:pt>
                <c:pt idx="4">
                  <c:v>3</c:v>
                </c:pt>
                <c:pt idx="5">
                  <c:v>0</c:v>
                </c:pt>
                <c:pt idx="6">
                  <c:v>2</c:v>
                </c:pt>
                <c:pt idx="7">
                  <c:v>0</c:v>
                </c:pt>
                <c:pt idx="8">
                  <c:v>1</c:v>
                </c:pt>
                <c:pt idx="9">
                  <c:v>6</c:v>
                </c:pt>
                <c:pt idx="10">
                  <c:v>1</c:v>
                </c:pt>
                <c:pt idx="11">
                  <c:v>3</c:v>
                </c:pt>
                <c:pt idx="12">
                  <c:v>4</c:v>
                </c:pt>
                <c:pt idx="13">
                  <c:v>0</c:v>
                </c:pt>
                <c:pt idx="14">
                  <c:v>0</c:v>
                </c:pt>
              </c:numCache>
            </c:numRef>
          </c:val>
          <c:extLst>
            <c:ext xmlns:c16="http://schemas.microsoft.com/office/drawing/2014/chart" uri="{C3380CC4-5D6E-409C-BE32-E72D297353CC}">
              <c16:uniqueId val="{00000000-FABE-334E-A22A-AA29152BC526}"/>
            </c:ext>
          </c:extLst>
        </c:ser>
        <c:dLbls>
          <c:dLblPos val="outEnd"/>
          <c:showLegendKey val="0"/>
          <c:showVal val="1"/>
          <c:showCatName val="0"/>
          <c:showSerName val="0"/>
          <c:showPercent val="0"/>
          <c:showBubbleSize val="0"/>
        </c:dLbls>
        <c:gapWidth val="150"/>
        <c:axId val="1187714159"/>
        <c:axId val="1187423391"/>
      </c:barChart>
      <c:catAx>
        <c:axId val="1187714159"/>
        <c:scaling>
          <c:orientation val="minMax"/>
        </c:scaling>
        <c:delete val="0"/>
        <c:axPos val="b"/>
        <c:majorGridlines>
          <c:spPr>
            <a:ln w="9525" cap="flat" cmpd="sng" algn="ctr">
              <a:no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7423391"/>
        <c:crosses val="autoZero"/>
        <c:auto val="1"/>
        <c:lblAlgn val="ctr"/>
        <c:lblOffset val="100"/>
        <c:noMultiLvlLbl val="0"/>
      </c:catAx>
      <c:valAx>
        <c:axId val="11874233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7714159"/>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3</xdr:col>
      <xdr:colOff>582422</xdr:colOff>
      <xdr:row>8</xdr:row>
      <xdr:rowOff>16178</xdr:rowOff>
    </xdr:from>
    <xdr:to>
      <xdr:col>7</xdr:col>
      <xdr:colOff>32357</xdr:colOff>
      <xdr:row>17</xdr:row>
      <xdr:rowOff>140913</xdr:rowOff>
    </xdr:to>
    <xdr:graphicFrame macro="">
      <xdr:nvGraphicFramePr>
        <xdr:cNvPr id="2" name="Chart 1">
          <a:extLst>
            <a:ext uri="{FF2B5EF4-FFF2-40B4-BE49-F238E27FC236}">
              <a16:creationId xmlns:a16="http://schemas.microsoft.com/office/drawing/2014/main" id="{9732EF16-CB4A-53FF-EC72-2C96ACE8D7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0</xdr:colOff>
      <xdr:row>1</xdr:row>
      <xdr:rowOff>0</xdr:rowOff>
    </xdr:from>
    <xdr:to>
      <xdr:col>13</xdr:col>
      <xdr:colOff>342900</xdr:colOff>
      <xdr:row>15</xdr:row>
      <xdr:rowOff>76200</xdr:rowOff>
    </xdr:to>
    <xdr:graphicFrame macro="">
      <xdr:nvGraphicFramePr>
        <xdr:cNvPr id="2" name="Chart 1">
          <a:extLst>
            <a:ext uri="{FF2B5EF4-FFF2-40B4-BE49-F238E27FC236}">
              <a16:creationId xmlns:a16="http://schemas.microsoft.com/office/drawing/2014/main" id="{B858B0AA-CF01-E37C-89D0-2EF4B836613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609600</xdr:colOff>
      <xdr:row>20</xdr:row>
      <xdr:rowOff>165100</xdr:rowOff>
    </xdr:from>
    <xdr:to>
      <xdr:col>14</xdr:col>
      <xdr:colOff>63500</xdr:colOff>
      <xdr:row>28</xdr:row>
      <xdr:rowOff>101600</xdr:rowOff>
    </xdr:to>
    <xdr:graphicFrame macro="">
      <xdr:nvGraphicFramePr>
        <xdr:cNvPr id="3" name="Chart 2">
          <a:extLst>
            <a:ext uri="{FF2B5EF4-FFF2-40B4-BE49-F238E27FC236}">
              <a16:creationId xmlns:a16="http://schemas.microsoft.com/office/drawing/2014/main" id="{C0FDD16D-F4D3-C2DD-85C1-C133A15CF54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rosoft Office User" refreshedDate="44911.545057523152" createdVersion="8" refreshedVersion="8" minRefreshableVersion="3" recordCount="27" xr:uid="{11B1431F-8434-CA4F-90B6-761D0370ABBF}">
  <cacheSource type="worksheet">
    <worksheetSource ref="A1:N28" sheet="Combined_info"/>
  </cacheSource>
  <cacheFields count="14">
    <cacheField name="Study.Identifier" numFmtId="0">
      <sharedItems count="27">
        <s v="Amit 2008"/>
        <s v="Pahlavanzadeh 2010"/>
        <s v="SUN 2010"/>
        <s v="TAN 2010"/>
        <s v="Wang 2010b"/>
        <s v="ZHAO 2010"/>
        <s v="Guerra 2011"/>
        <s v="JIANG 2012"/>
        <s v="SU 2012"/>
        <s v="Wang 2012e"/>
        <s v="Mercedeh 2014"/>
        <s v="Wang 2014a"/>
        <s v="Söylemez 2016"/>
        <s v="Lin 2017"/>
        <s v="Lök 2017"/>
        <s v="Mahdavi 2017"/>
        <s v="Salamizadeh 2017"/>
        <s v="Shata 2017"/>
        <s v="Yang 2017a"/>
        <s v="Orawan 2018"/>
        <s v="Ghaffari 2019"/>
        <s v="Pan 2019"/>
        <s v="Uyar 2019"/>
        <s v="Chen 2020"/>
        <s v="Govindakumari 2020"/>
        <s v="Hinton 2020"/>
        <s v="Zarepour 2020"/>
      </sharedItems>
    </cacheField>
    <cacheField name="Year" numFmtId="0">
      <sharedItems containsSemiMixedTypes="0" containsString="0" containsNumber="1" containsInteger="1" minValue="2008" maxValue="2020" count="10">
        <n v="2008"/>
        <n v="2010"/>
        <n v="2011"/>
        <n v="2012"/>
        <n v="2014"/>
        <n v="2016"/>
        <n v="2017"/>
        <n v="2018"/>
        <n v="2019"/>
        <n v="2020"/>
      </sharedItems>
    </cacheField>
    <cacheField name="Country" numFmtId="0">
      <sharedItems count="8">
        <s v="India"/>
        <s v="Iran"/>
        <s v="China"/>
        <s v="Peru"/>
        <s v="Turkey"/>
        <s v="Egypt"/>
        <s v="Thailand"/>
        <s v="Vietnam"/>
      </sharedItems>
    </cacheField>
    <cacheField name="Setting" numFmtId="0">
      <sharedItems longText="1"/>
    </cacheField>
    <cacheField name="Types.of.disease_clean" numFmtId="0">
      <sharedItems containsBlank="1"/>
    </cacheField>
    <cacheField name="Type.of.disease.in.two.categories.(dementia.and.MCI)" numFmtId="0">
      <sharedItems containsBlank="1"/>
    </cacheField>
    <cacheField name="Updated.Dementia.Severity" numFmtId="0">
      <sharedItems containsBlank="1"/>
    </cacheField>
    <cacheField name="Is.this.a.study.focusing.on.carers.of.people.living.with.dementia.or.mild.cognitive.impairment?" numFmtId="0">
      <sharedItems containsBlank="1"/>
    </cacheField>
    <cacheField name="Domain.1" numFmtId="0">
      <sharedItems/>
    </cacheField>
    <cacheField name="Domain.2" numFmtId="0">
      <sharedItems/>
    </cacheField>
    <cacheField name="Domain.3" numFmtId="0">
      <sharedItems/>
    </cacheField>
    <cacheField name="Domain.4" numFmtId="0">
      <sharedItems/>
    </cacheField>
    <cacheField name="Domain.5" numFmtId="0">
      <sharedItems/>
    </cacheField>
    <cacheField name="Overall"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7">
  <r>
    <x v="0"/>
    <x v="0"/>
    <x v="0"/>
    <s v="Caregivers of people living with dementia were recruited from the community. “The study was conducted in Goa, on the west coast of India. Goa is in an advanced stage of the epidemiological and demographic transition in the country, with some of the best health indicators [7] and a rising proportion of older people; the 2001 Census reported that 8.3% of the total population was aged over 60 years[8]. The consensus figure for prevalence of dementia in India is 1.9% above the age of 60 years [3]The present trial was carried out in two of the largest administrative blocks (talukas) in the state - Bardez and Tiswadi with a population of approximately 340,000.”"/>
    <s v="Dementia (general/unspecified)"/>
    <s v="Dementia"/>
    <s v="Mild to moderate"/>
    <s v="Yes"/>
    <s v="low risk"/>
    <s v="some concerns"/>
    <s v="low risk"/>
    <s v="high risk"/>
    <s v="some concerns"/>
    <s v="high risk"/>
  </r>
  <r>
    <x v="1"/>
    <x v="1"/>
    <x v="1"/>
    <s v="Modares Psychiatric Hospital and Shariati Psychiatric clinic in the city of Isfahan, which are the centers for elderly with dementia"/>
    <s v="Dementia (general/unspecified)"/>
    <s v="Dementia"/>
    <s v="Not specified"/>
    <s v="Yes"/>
    <s v="some concerns"/>
    <s v="high risk"/>
    <s v="high risk"/>
    <s v="high risk"/>
    <s v="some concerns"/>
    <s v="high risk"/>
  </r>
  <r>
    <x v="2"/>
    <x v="1"/>
    <x v="2"/>
    <s v="Nursing College of Guangdong Medical College Hospital"/>
    <s v="Alzheimer's Disease"/>
    <s v="Dementia"/>
    <s v="Mild to moderate"/>
    <s v="No"/>
    <s v="some concerns"/>
    <s v="some concerns"/>
    <s v="low risk"/>
    <s v="some concerns"/>
    <s v="some concerns"/>
    <s v="some concerns"/>
  </r>
  <r>
    <x v="3"/>
    <x v="1"/>
    <x v="2"/>
    <s v="The Third Peoplel's Hospital of Foshan City"/>
    <s v="Alzheimer's Disease"/>
    <s v="Dementia"/>
    <s v="Mild to moderate"/>
    <s v="Yes （Intervention was implemented among carer, but outcomes were measured among patients）"/>
    <s v="some concerns"/>
    <s v="some concerns"/>
    <s v="low risk"/>
    <s v="some concerns"/>
    <s v="some concerns"/>
    <s v="some concerns"/>
  </r>
  <r>
    <x v="4"/>
    <x v="1"/>
    <x v="2"/>
    <s v="Community"/>
    <s v="Alzheimer's Disease"/>
    <s v="Dementia"/>
    <s v="Mild to moderate"/>
    <s v="No"/>
    <s v="some concerns"/>
    <s v="high risk"/>
    <s v="low risk"/>
    <s v="high risk"/>
    <s v="some concerns"/>
    <s v="high risk"/>
  </r>
  <r>
    <x v="5"/>
    <x v="1"/>
    <x v="2"/>
    <s v="Hospital "/>
    <s v="Alzheimer's Disease"/>
    <s v="Dementia"/>
    <s v="Not specified"/>
    <s v="No info. "/>
    <s v="some concerns"/>
    <s v="some concerns"/>
    <s v="low risk"/>
    <s v="some concerns"/>
    <s v="some concerns"/>
    <s v="some concerns"/>
  </r>
  <r>
    <x v="6"/>
    <x v="2"/>
    <x v="3"/>
    <s v="Intervention was carried out at the participant's home. "/>
    <s v="Dementia (general/unspecified)"/>
    <s v="Dementia"/>
    <s v="Any severity stage"/>
    <s v="Yes"/>
    <s v="low risk"/>
    <s v="some concerns"/>
    <s v="low risk"/>
    <s v="high risk"/>
    <s v="some concerns"/>
    <s v="high risk"/>
  </r>
  <r>
    <x v="7"/>
    <x v="3"/>
    <x v="2"/>
    <s v="Hospital "/>
    <s v="Alzheimer's Disease"/>
    <s v="Dementia"/>
    <s v="Mild to moderate"/>
    <s v="No"/>
    <s v="some concerns"/>
    <s v="some concerns"/>
    <s v="low risk"/>
    <s v="some concerns"/>
    <s v="some concerns"/>
    <s v="some concerns"/>
  </r>
  <r>
    <x v="8"/>
    <x v="3"/>
    <x v="2"/>
    <s v="Hospital "/>
    <s v="Alzheimer's Disease"/>
    <s v="Dementia"/>
    <s v="Not specified"/>
    <s v="No info. "/>
    <s v="some concerns"/>
    <s v="some concerns"/>
    <s v="low risk"/>
    <s v="high risk"/>
    <s v="some concerns"/>
    <s v="high risk"/>
  </r>
  <r>
    <x v="9"/>
    <x v="3"/>
    <x v="2"/>
    <s v="&quot;The caregivers were recruited from a list of people with dementia attending one of two dementia resources and respite care centers in Guangzhou, Guangdong Province of mainland China. The resource center provided daytime physical care, self-care and skills training for clients, respite care, social and recreational activi-ties, and care-giving resources to about 3,000 clients with dementia, and their family members. The cli-ents with dementia were received to this center from mainly three sources, including: a regional psychiat-ric center, two psychiatric outpatient departments, and Social Security and Welfare Department of The Government.&quot;"/>
    <s v="Dementia (general/unspecified)"/>
    <s v="Dementia"/>
    <s v="Any severity stage"/>
    <s v="Yes"/>
    <s v="some concerns"/>
    <s v="high risk"/>
    <s v="high risk"/>
    <s v="high risk"/>
    <s v="some concerns"/>
    <s v="high risk"/>
  </r>
  <r>
    <x v="10"/>
    <x v="4"/>
    <x v="1"/>
    <s v="Precise setting not stated but members of an Alzheimers Association and took place in urban Tehran."/>
    <s v="Alzheimer's Disease"/>
    <s v="Dementia"/>
    <s v="Not specified"/>
    <m/>
    <s v="high risk"/>
    <s v="high risk"/>
    <s v="high risk"/>
    <s v="high risk"/>
    <s v="some concerns"/>
    <s v="high risk"/>
  </r>
  <r>
    <x v="11"/>
    <x v="4"/>
    <x v="2"/>
    <s v="retried cadre's sanitarium"/>
    <s v="Alzheimer's Disease"/>
    <s v="Dementia"/>
    <s v="Not specified"/>
    <s v="Yes"/>
    <s v="some concerns"/>
    <s v="high risk"/>
    <s v="low risk"/>
    <s v="high risk"/>
    <s v="some concerns"/>
    <s v="high risk"/>
  </r>
  <r>
    <x v="12"/>
    <x v="5"/>
    <x v="4"/>
    <s v="Western Turkey, home based. Patient lists were obtained from dementia outpatient clinics at one university hospital and the office of the Alzheimer’s Association in Izmir. "/>
    <s v="Alzheimer's Disease"/>
    <s v="Dementia"/>
    <s v="Mild"/>
    <s v="Yes"/>
    <s v="some concerns"/>
    <s v="some concerns"/>
    <s v="some concerns"/>
    <s v="high risk"/>
    <s v="some concerns"/>
    <s v="high risk"/>
  </r>
  <r>
    <x v="13"/>
    <x v="6"/>
    <x v="2"/>
    <s v="urban, community "/>
    <s v="Dementia (general/unspecified)"/>
    <s v="Dementia"/>
    <s v="Any severity stage"/>
    <s v="Yes"/>
    <s v="some concerns"/>
    <s v="some concerns"/>
    <s v="low risk"/>
    <s v="some concerns"/>
    <s v="some concerns"/>
    <s v="some concerns"/>
  </r>
  <r>
    <x v="14"/>
    <x v="6"/>
    <x v="4"/>
    <s v="Erenköy - a rural village (population circa 1500) in Turkey. Intervention delivered at carers homes"/>
    <s v="Dementia (general/unspecified)"/>
    <s v="Dementia"/>
    <s v="Not specified"/>
    <s v="Yes"/>
    <s v="some concerns"/>
    <s v="high risk"/>
    <s v="high risk"/>
    <s v="high risk"/>
    <s v="some concerns"/>
    <s v="high risk"/>
  </r>
  <r>
    <x v="15"/>
    <x v="6"/>
    <x v="1"/>
    <s v="Family caregivers of the elderly with Alzheimer's disease registered in Iran Alzheimer's Association in 2014"/>
    <s v="Alzheimer's Disease"/>
    <s v="Dementia"/>
    <s v="Not specified"/>
    <s v="Yes"/>
    <s v="some concerns"/>
    <s v="high risk"/>
    <s v="high risk"/>
    <s v="high risk"/>
    <s v="high risk"/>
    <s v="high risk"/>
  </r>
  <r>
    <x v="16"/>
    <x v="6"/>
    <x v="1"/>
    <s v="City of Rafsanjan (Iran). Participants (family caregivers) were recruited from private neurologists' offices."/>
    <s v="Alzheimer's Disease"/>
    <s v="Dementia"/>
    <s v="Not specified"/>
    <s v="Yes"/>
    <s v="some concerns"/>
    <s v="high risk"/>
    <s v="high risk"/>
    <s v="high risk"/>
    <s v="some concerns"/>
    <s v="high risk"/>
  </r>
  <r>
    <x v="17"/>
    <x v="6"/>
    <x v="5"/>
    <s v="Psychogeriatric out‑patient clinic of Al‑Maamoura Psychiatric Hospital. Alexandria (urban setting)"/>
    <s v="Dementia (general/unspecified)"/>
    <s v="Dementia"/>
    <s v="Not specified"/>
    <s v="Yes"/>
    <s v="low risk"/>
    <s v="high risk"/>
    <s v="high risk"/>
    <s v="high risk"/>
    <s v="some concerns"/>
    <s v="high risk"/>
  </r>
  <r>
    <x v="18"/>
    <x v="6"/>
    <x v="2"/>
    <s v="Community "/>
    <s v="Dementia (general/unspecified)"/>
    <s v="Dementia"/>
    <s v="Moderate to severe"/>
    <s v="No info. "/>
    <s v="some concerns"/>
    <s v="high risk"/>
    <s v="high risk"/>
    <s v="high risk"/>
    <s v="some concerns"/>
    <s v="high risk"/>
  </r>
  <r>
    <x v="19"/>
    <x v="7"/>
    <x v="6"/>
    <s v="participants were recruited from three secondary medical care hospitals in the central part of Thailand."/>
    <s v="Dementia (general/unspecified)"/>
    <s v="Dementia"/>
    <s v="Mild to moderate"/>
    <s v="Yes"/>
    <s v="some concerns"/>
    <s v="some concerns"/>
    <s v="low risk"/>
    <s v="high risk"/>
    <s v="some concerns"/>
    <s v="high risk"/>
  </r>
  <r>
    <x v="20"/>
    <x v="8"/>
    <x v="1"/>
    <s v="The study population consisted of family caregivers of elderly Alzheimer’s patients who referred to hospitals and neurologists’ offices located in the western cities of Mazandaran province, Iran (Ghaemshahr Razi Hospital; Ramsar, Tonekabon, and Ghaemshahr neurologists’ offices)"/>
    <s v="Mild cognitive impairment."/>
    <s v="Mild cognitive impairment"/>
    <s v="Mild"/>
    <s v="Yes"/>
    <s v="some concerns"/>
    <s v="high risk"/>
    <s v="low risk"/>
    <s v="some concerns"/>
    <s v="some concerns"/>
    <s v="high risk"/>
  </r>
  <r>
    <x v="21"/>
    <x v="8"/>
    <x v="2"/>
    <s v="Family caregivers were recruited via resident and staff referrals from community health centers and neurological units of a tertiary hospital of a city in southeast China."/>
    <s v="Moderate to Severe dementia (MMSE ≤17)"/>
    <s v="Dementia"/>
    <s v="Any severity stage"/>
    <s v="Yes"/>
    <s v="low risk"/>
    <s v="some concerns"/>
    <s v="some concerns"/>
    <s v="some concerns"/>
    <s v="some concerns"/>
    <s v="some concerns"/>
  </r>
  <r>
    <x v="22"/>
    <x v="8"/>
    <x v="4"/>
    <s v="Urban, Manisa Celal Bayar University (MCBU) Hafsa Sultan Hospital Dementia Outpatient Clinic in Manisa"/>
    <s v="Mild to Severe Alzheimer’s Disease"/>
    <s v="Mild to Severe Alzheimer’s Disease"/>
    <s v="Mild to Severe "/>
    <s v="Yes"/>
    <s v="low risk"/>
    <s v="high risk"/>
    <s v="low risk"/>
    <s v="some concerns"/>
    <s v="some concerns"/>
    <s v="high risk"/>
  </r>
  <r>
    <x v="23"/>
    <x v="9"/>
    <x v="2"/>
    <s v="Patients with moderate and severe AD admitted to the People’s Hospital of Nanjing Medical University from February 2016 to March 2018"/>
    <s v="Moderate to Severe Alzheimer's Disease"/>
    <s v="Alzheimer’s Disease"/>
    <s v="Moderate to severe"/>
    <s v="Yes (Intervention was implemented among carer, but outcomes were measured among patients)"/>
    <s v="low risk"/>
    <s v="high risk"/>
    <s v="low risk"/>
    <s v="low risk"/>
    <s v="low risk"/>
    <s v="some concerns"/>
  </r>
  <r>
    <x v="24"/>
    <x v="9"/>
    <x v="0"/>
    <s v="selected community settings of Puducherry"/>
    <s v="Mild dementia"/>
    <s v="Mild dementia "/>
    <s v="Mild"/>
    <s v="Yes"/>
    <s v="some concerns"/>
    <s v="some concerns"/>
    <s v="high risk"/>
    <s v="high risk"/>
    <s v="high risk"/>
    <s v="high risk"/>
  </r>
  <r>
    <x v="25"/>
    <x v="9"/>
    <x v="7"/>
    <s v="Soc Son, a semi-rural district in Hanoi with a longstanding history of collaboration with the NGH. Soc Son is more economically advantaged compared with many other semirural areas due to its proximity to Hanoi and location near the international airport, an area undergoing considerable economic development. A convenience sample of 12 clusters was chosen based on their proximity to NGH, their participation in the NGH dementia registry, and history of successfully participating in prior research projects and initiatives."/>
    <s v="Mild to Severe Alzheimer’s Disease (CDR &gt; 1)"/>
    <s v="Alzheimer’s Disease"/>
    <s v="Mild to Severe"/>
    <s v="Yes"/>
    <s v="low risk"/>
    <s v="some concerns"/>
    <s v="low risk"/>
    <s v="some concerns"/>
    <s v="low risk"/>
    <s v="low risk"/>
  </r>
  <r>
    <x v="26"/>
    <x v="9"/>
    <x v="1"/>
    <s v="Geriatric clinic in Imam Reza and other neurology clinics affiliated to Shiraz University of Medical Sciences, Shiraz, Iran. The target population included family caregivers of the elderly people with dementia living in Shiraz."/>
    <m/>
    <m/>
    <m/>
    <s v="Yes"/>
    <s v="low risk"/>
    <s v="some concerns"/>
    <s v="low risk"/>
    <s v="low risk"/>
    <s v="low risk"/>
    <s v="low risk"/>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2C53BCF-2E93-E744-A4AB-CED216971E1C}" name="PivotTable16" cacheId="14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B10" firstHeaderRow="1" firstDataRow="1" firstDataCol="1"/>
  <pivotFields count="14">
    <pivotField dataField="1" showAll="0">
      <items count="28">
        <item x="0"/>
        <item x="23"/>
        <item x="20"/>
        <item x="24"/>
        <item x="6"/>
        <item x="25"/>
        <item x="7"/>
        <item x="13"/>
        <item x="14"/>
        <item x="15"/>
        <item x="10"/>
        <item x="19"/>
        <item x="1"/>
        <item x="21"/>
        <item x="16"/>
        <item x="17"/>
        <item x="12"/>
        <item x="8"/>
        <item x="2"/>
        <item x="3"/>
        <item x="22"/>
        <item x="4"/>
        <item x="9"/>
        <item x="11"/>
        <item x="18"/>
        <item x="26"/>
        <item x="5"/>
        <item t="default"/>
      </items>
    </pivotField>
    <pivotField showAll="0"/>
    <pivotField axis="axisRow" showAll="0">
      <items count="9">
        <item x="2"/>
        <item x="5"/>
        <item x="0"/>
        <item x="1"/>
        <item x="3"/>
        <item x="6"/>
        <item x="4"/>
        <item x="7"/>
        <item t="default"/>
      </items>
    </pivotField>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9">
    <i>
      <x/>
    </i>
    <i>
      <x v="1"/>
    </i>
    <i>
      <x v="2"/>
    </i>
    <i>
      <x v="3"/>
    </i>
    <i>
      <x v="4"/>
    </i>
    <i>
      <x v="5"/>
    </i>
    <i>
      <x v="6"/>
    </i>
    <i>
      <x v="7"/>
    </i>
    <i t="grand">
      <x/>
    </i>
  </rowItems>
  <colItems count="1">
    <i/>
  </colItems>
  <dataFields count="1">
    <dataField name="Count of Study.Identifier" fld="0" subtotal="count" baseField="0" baseItem="0"/>
  </dataFields>
  <chartFormats count="9">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3"/>
          </reference>
        </references>
      </pivotArea>
    </chartFormat>
    <chartFormat chart="0" format="2">
      <pivotArea type="data" outline="0" fieldPosition="0">
        <references count="2">
          <reference field="4294967294" count="1" selected="0">
            <x v="0"/>
          </reference>
          <reference field="2" count="1" selected="0">
            <x v="0"/>
          </reference>
        </references>
      </pivotArea>
    </chartFormat>
    <chartFormat chart="0" format="3">
      <pivotArea type="data" outline="0" fieldPosition="0">
        <references count="2">
          <reference field="4294967294" count="1" selected="0">
            <x v="0"/>
          </reference>
          <reference field="2" count="1" selected="0">
            <x v="4"/>
          </reference>
        </references>
      </pivotArea>
    </chartFormat>
    <chartFormat chart="0" format="4">
      <pivotArea type="data" outline="0" fieldPosition="0">
        <references count="2">
          <reference field="4294967294" count="1" selected="0">
            <x v="0"/>
          </reference>
          <reference field="2" count="1" selected="0">
            <x v="5"/>
          </reference>
        </references>
      </pivotArea>
    </chartFormat>
    <chartFormat chart="0" format="5">
      <pivotArea type="data" outline="0" fieldPosition="0">
        <references count="2">
          <reference field="4294967294" count="1" selected="0">
            <x v="0"/>
          </reference>
          <reference field="2" count="1" selected="0">
            <x v="6"/>
          </reference>
        </references>
      </pivotArea>
    </chartFormat>
    <chartFormat chart="0" format="6">
      <pivotArea type="data" outline="0" fieldPosition="0">
        <references count="2">
          <reference field="4294967294" count="1" selected="0">
            <x v="0"/>
          </reference>
          <reference field="2" count="1" selected="0">
            <x v="7"/>
          </reference>
        </references>
      </pivotArea>
    </chartFormat>
    <chartFormat chart="0" format="7">
      <pivotArea type="data" outline="0" fieldPosition="0">
        <references count="2">
          <reference field="4294967294" count="1" selected="0">
            <x v="0"/>
          </reference>
          <reference field="2" count="1" selected="0">
            <x v="1"/>
          </reference>
        </references>
      </pivotArea>
    </chartFormat>
    <chartFormat chart="0" format="8">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506935A-C1E2-4841-BE39-C22184454E5F}" name="PivotTable17" cacheId="14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B12" firstHeaderRow="1" firstDataRow="1" firstDataCol="1"/>
  <pivotFields count="14">
    <pivotField dataField="1" showAll="0">
      <items count="28">
        <item x="0"/>
        <item x="23"/>
        <item x="20"/>
        <item x="24"/>
        <item x="6"/>
        <item x="25"/>
        <item x="7"/>
        <item x="13"/>
        <item x="14"/>
        <item x="15"/>
        <item x="10"/>
        <item x="19"/>
        <item x="1"/>
        <item x="21"/>
        <item x="16"/>
        <item x="17"/>
        <item x="12"/>
        <item x="8"/>
        <item x="2"/>
        <item x="3"/>
        <item x="22"/>
        <item x="4"/>
        <item x="9"/>
        <item x="11"/>
        <item x="18"/>
        <item x="26"/>
        <item x="5"/>
        <item t="default"/>
      </items>
    </pivotField>
    <pivotField axis="axisRow" showAll="0">
      <items count="11">
        <item x="0"/>
        <item x="1"/>
        <item x="2"/>
        <item x="3"/>
        <item x="4"/>
        <item x="5"/>
        <item x="6"/>
        <item x="7"/>
        <item x="8"/>
        <item x="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11">
    <i>
      <x/>
    </i>
    <i>
      <x v="1"/>
    </i>
    <i>
      <x v="2"/>
    </i>
    <i>
      <x v="3"/>
    </i>
    <i>
      <x v="4"/>
    </i>
    <i>
      <x v="5"/>
    </i>
    <i>
      <x v="6"/>
    </i>
    <i>
      <x v="7"/>
    </i>
    <i>
      <x v="8"/>
    </i>
    <i>
      <x v="9"/>
    </i>
    <i t="grand">
      <x/>
    </i>
  </rowItems>
  <colItems count="1">
    <i/>
  </colItems>
  <dataFields count="1">
    <dataField name="Count of Study.Identifier" fld="0"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W99"/>
  <sheetViews>
    <sheetView workbookViewId="0">
      <pane xSplit="5" ySplit="1" topLeftCell="AG53" activePane="bottomRight" state="frozen"/>
      <selection pane="topRight" activeCell="F1" sqref="F1"/>
      <selection pane="bottomLeft" activeCell="A2" sqref="A2"/>
      <selection pane="bottomRight" activeCell="AJ95" sqref="AJ95"/>
    </sheetView>
  </sheetViews>
  <sheetFormatPr baseColWidth="10" defaultRowHeight="15" x14ac:dyDescent="0.2"/>
  <cols>
    <col min="5" max="5" width="24.1640625" customWidth="1"/>
    <col min="36" max="38" width="10.83203125" style="3"/>
    <col min="39" max="41" width="10.83203125" style="4"/>
    <col min="42" max="44" width="10.83203125" style="5"/>
    <col min="47" max="47" width="10.83203125" style="3"/>
  </cols>
  <sheetData>
    <row r="1" spans="1:49"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s="3" t="s">
        <v>35</v>
      </c>
      <c r="AK1" s="3" t="s">
        <v>36</v>
      </c>
      <c r="AL1" s="3" t="s">
        <v>37</v>
      </c>
      <c r="AM1" s="4" t="s">
        <v>38</v>
      </c>
      <c r="AN1" s="4" t="s">
        <v>39</v>
      </c>
      <c r="AO1" s="4" t="s">
        <v>40</v>
      </c>
      <c r="AP1" s="5" t="s">
        <v>41</v>
      </c>
      <c r="AQ1" s="5" t="s">
        <v>42</v>
      </c>
      <c r="AR1" s="5" t="s">
        <v>43</v>
      </c>
      <c r="AS1" t="s">
        <v>44</v>
      </c>
      <c r="AT1" t="s">
        <v>45</v>
      </c>
      <c r="AU1" s="3" t="s">
        <v>46</v>
      </c>
      <c r="AV1" t="s">
        <v>686</v>
      </c>
      <c r="AW1" t="s">
        <v>689</v>
      </c>
    </row>
    <row r="2" spans="1:49" x14ac:dyDescent="0.2">
      <c r="A2" t="s">
        <v>47</v>
      </c>
      <c r="B2">
        <v>2014</v>
      </c>
      <c r="C2" t="s">
        <v>48</v>
      </c>
      <c r="D2" t="s">
        <v>49</v>
      </c>
      <c r="E2" t="s">
        <v>50</v>
      </c>
      <c r="F2" t="s">
        <v>51</v>
      </c>
      <c r="G2" t="s">
        <v>52</v>
      </c>
      <c r="H2" t="s">
        <v>53</v>
      </c>
      <c r="I2" t="s">
        <v>54</v>
      </c>
      <c r="J2" t="s">
        <v>55</v>
      </c>
      <c r="K2" t="s">
        <v>56</v>
      </c>
      <c r="L2" t="s">
        <v>57</v>
      </c>
      <c r="M2" t="s">
        <v>58</v>
      </c>
      <c r="N2" t="s">
        <v>57</v>
      </c>
      <c r="O2" t="s">
        <v>57</v>
      </c>
      <c r="P2" t="s">
        <v>58</v>
      </c>
      <c r="Q2" t="s">
        <v>57</v>
      </c>
      <c r="T2" t="s">
        <v>59</v>
      </c>
      <c r="U2" t="s">
        <v>60</v>
      </c>
      <c r="V2" t="s">
        <v>61</v>
      </c>
      <c r="X2" t="s">
        <v>62</v>
      </c>
      <c r="AD2" t="s">
        <v>63</v>
      </c>
      <c r="AH2" t="s">
        <v>64</v>
      </c>
      <c r="AJ2" s="3" t="s">
        <v>65</v>
      </c>
      <c r="AK2" s="3" t="s">
        <v>66</v>
      </c>
      <c r="AL2" s="3" t="s">
        <v>67</v>
      </c>
      <c r="AM2" s="4" t="s">
        <v>68</v>
      </c>
      <c r="AN2" s="4" t="s">
        <v>69</v>
      </c>
      <c r="AO2" s="4" t="s">
        <v>70</v>
      </c>
      <c r="AP2" s="5" t="s">
        <v>71</v>
      </c>
      <c r="AQ2" s="5" t="s">
        <v>69</v>
      </c>
      <c r="AR2" s="5" t="s">
        <v>72</v>
      </c>
      <c r="AU2" s="3" t="s">
        <v>679</v>
      </c>
      <c r="AV2">
        <v>56</v>
      </c>
      <c r="AW2">
        <v>56</v>
      </c>
    </row>
    <row r="3" spans="1:49" x14ac:dyDescent="0.2">
      <c r="A3" t="s">
        <v>47</v>
      </c>
      <c r="B3">
        <v>2014</v>
      </c>
      <c r="C3" t="s">
        <v>74</v>
      </c>
      <c r="D3" t="s">
        <v>49</v>
      </c>
      <c r="E3" t="s">
        <v>75</v>
      </c>
      <c r="F3" t="s">
        <v>51</v>
      </c>
      <c r="G3" t="s">
        <v>52</v>
      </c>
      <c r="H3" t="s">
        <v>53</v>
      </c>
      <c r="I3" t="s">
        <v>54</v>
      </c>
      <c r="J3" t="s">
        <v>55</v>
      </c>
      <c r="K3" t="s">
        <v>56</v>
      </c>
      <c r="L3" t="s">
        <v>57</v>
      </c>
      <c r="M3" t="s">
        <v>58</v>
      </c>
      <c r="N3" t="s">
        <v>57</v>
      </c>
      <c r="O3" t="s">
        <v>57</v>
      </c>
      <c r="P3" t="s">
        <v>58</v>
      </c>
      <c r="Q3" t="s">
        <v>57</v>
      </c>
      <c r="T3" t="s">
        <v>76</v>
      </c>
      <c r="U3" t="s">
        <v>77</v>
      </c>
      <c r="V3" t="s">
        <v>78</v>
      </c>
      <c r="X3" t="s">
        <v>79</v>
      </c>
      <c r="AD3" t="s">
        <v>80</v>
      </c>
      <c r="AH3" t="s">
        <v>64</v>
      </c>
      <c r="AJ3" s="3" t="s">
        <v>65</v>
      </c>
      <c r="AK3" s="3" t="s">
        <v>66</v>
      </c>
      <c r="AL3" s="3" t="s">
        <v>67</v>
      </c>
      <c r="AM3" s="4" t="s">
        <v>81</v>
      </c>
      <c r="AN3" s="4" t="s">
        <v>82</v>
      </c>
      <c r="AO3" s="4" t="s">
        <v>83</v>
      </c>
      <c r="AP3" s="5" t="s">
        <v>84</v>
      </c>
      <c r="AQ3" s="5" t="s">
        <v>82</v>
      </c>
      <c r="AR3" s="5" t="s">
        <v>85</v>
      </c>
      <c r="AU3" s="3" t="s">
        <v>679</v>
      </c>
      <c r="AV3">
        <v>56</v>
      </c>
      <c r="AW3">
        <v>56</v>
      </c>
    </row>
    <row r="4" spans="1:49" x14ac:dyDescent="0.2">
      <c r="A4" t="s">
        <v>86</v>
      </c>
      <c r="B4">
        <v>2008</v>
      </c>
      <c r="C4" t="s">
        <v>87</v>
      </c>
      <c r="D4" t="s">
        <v>88</v>
      </c>
      <c r="E4" t="s">
        <v>88</v>
      </c>
      <c r="F4" t="s">
        <v>89</v>
      </c>
      <c r="G4" t="s">
        <v>90</v>
      </c>
      <c r="H4" t="s">
        <v>91</v>
      </c>
      <c r="I4" t="s">
        <v>54</v>
      </c>
      <c r="J4" t="s">
        <v>92</v>
      </c>
      <c r="K4" t="s">
        <v>56</v>
      </c>
      <c r="L4" t="s">
        <v>93</v>
      </c>
      <c r="M4" t="s">
        <v>58</v>
      </c>
      <c r="N4" t="s">
        <v>93</v>
      </c>
      <c r="O4" t="s">
        <v>57</v>
      </c>
      <c r="P4" t="s">
        <v>58</v>
      </c>
      <c r="Q4" t="s">
        <v>57</v>
      </c>
      <c r="R4" t="s">
        <v>94</v>
      </c>
      <c r="S4" t="s">
        <v>95</v>
      </c>
      <c r="T4" t="s">
        <v>96</v>
      </c>
      <c r="U4" t="s">
        <v>97</v>
      </c>
      <c r="X4" t="s">
        <v>98</v>
      </c>
      <c r="AB4" t="s">
        <v>99</v>
      </c>
      <c r="AH4" t="s">
        <v>100</v>
      </c>
      <c r="AJ4" s="3" t="s">
        <v>65</v>
      </c>
      <c r="AK4" s="3" t="s">
        <v>66</v>
      </c>
      <c r="AL4" s="3" t="s">
        <v>101</v>
      </c>
      <c r="AQ4" s="5" t="s">
        <v>102</v>
      </c>
      <c r="AU4" s="3" t="s">
        <v>103</v>
      </c>
      <c r="AV4">
        <v>180</v>
      </c>
      <c r="AW4">
        <v>180</v>
      </c>
    </row>
    <row r="5" spans="1:49" x14ac:dyDescent="0.2">
      <c r="A5" t="s">
        <v>86</v>
      </c>
      <c r="B5">
        <v>2008</v>
      </c>
      <c r="C5" t="s">
        <v>104</v>
      </c>
      <c r="D5" t="s">
        <v>105</v>
      </c>
      <c r="E5" t="s">
        <v>106</v>
      </c>
      <c r="F5" t="s">
        <v>89</v>
      </c>
      <c r="G5" t="s">
        <v>90</v>
      </c>
      <c r="H5" t="s">
        <v>91</v>
      </c>
      <c r="I5" t="s">
        <v>54</v>
      </c>
      <c r="J5" t="s">
        <v>92</v>
      </c>
      <c r="K5" t="s">
        <v>56</v>
      </c>
      <c r="L5" t="s">
        <v>93</v>
      </c>
      <c r="M5" t="s">
        <v>58</v>
      </c>
      <c r="N5" t="s">
        <v>93</v>
      </c>
      <c r="O5" t="s">
        <v>57</v>
      </c>
      <c r="P5" t="s">
        <v>58</v>
      </c>
      <c r="Q5" t="s">
        <v>57</v>
      </c>
      <c r="R5" t="s">
        <v>107</v>
      </c>
      <c r="S5" t="s">
        <v>108</v>
      </c>
      <c r="T5" t="s">
        <v>109</v>
      </c>
      <c r="U5" t="s">
        <v>110</v>
      </c>
      <c r="X5" t="s">
        <v>111</v>
      </c>
      <c r="AB5" t="s">
        <v>112</v>
      </c>
      <c r="AH5" t="s">
        <v>64</v>
      </c>
      <c r="AJ5" s="3" t="s">
        <v>65</v>
      </c>
      <c r="AK5" s="3" t="s">
        <v>66</v>
      </c>
      <c r="AL5" s="3" t="s">
        <v>101</v>
      </c>
      <c r="AP5" s="5" t="s">
        <v>113</v>
      </c>
      <c r="AQ5" s="5" t="s">
        <v>114</v>
      </c>
      <c r="AR5" s="5">
        <f>SQRT(AQ5+AQ4)*(AT5-AS5)/(2*TINV(1-0.95,AQ5+AQ4-1))</f>
        <v>13.39209897120349</v>
      </c>
      <c r="AS5" t="s">
        <v>115</v>
      </c>
      <c r="AT5" t="s">
        <v>116</v>
      </c>
      <c r="AU5" s="3" t="s">
        <v>103</v>
      </c>
      <c r="AV5">
        <v>180</v>
      </c>
      <c r="AW5">
        <v>180</v>
      </c>
    </row>
    <row r="6" spans="1:49" x14ac:dyDescent="0.2">
      <c r="A6" t="s">
        <v>117</v>
      </c>
      <c r="B6">
        <v>2011</v>
      </c>
      <c r="C6" t="s">
        <v>118</v>
      </c>
      <c r="D6" t="s">
        <v>105</v>
      </c>
      <c r="E6" t="s">
        <v>106</v>
      </c>
      <c r="F6" t="s">
        <v>119</v>
      </c>
      <c r="G6" t="s">
        <v>120</v>
      </c>
      <c r="H6" t="s">
        <v>91</v>
      </c>
      <c r="I6" t="s">
        <v>54</v>
      </c>
      <c r="J6" t="s">
        <v>121</v>
      </c>
      <c r="K6" t="s">
        <v>56</v>
      </c>
      <c r="L6" t="s">
        <v>93</v>
      </c>
      <c r="M6" t="s">
        <v>58</v>
      </c>
      <c r="N6" t="s">
        <v>93</v>
      </c>
      <c r="O6" t="s">
        <v>57</v>
      </c>
      <c r="P6" t="s">
        <v>58</v>
      </c>
      <c r="Q6" t="s">
        <v>57</v>
      </c>
      <c r="R6" t="s">
        <v>122</v>
      </c>
      <c r="S6" t="s">
        <v>123</v>
      </c>
      <c r="T6" t="s">
        <v>124</v>
      </c>
      <c r="U6" t="s">
        <v>125</v>
      </c>
      <c r="X6" t="s">
        <v>126</v>
      </c>
      <c r="AB6" t="s">
        <v>127</v>
      </c>
      <c r="AH6" t="s">
        <v>64</v>
      </c>
      <c r="AJ6" s="3" t="s">
        <v>65</v>
      </c>
      <c r="AK6" s="3" t="s">
        <v>66</v>
      </c>
      <c r="AL6" s="3" t="s">
        <v>101</v>
      </c>
      <c r="AP6" s="5" t="s">
        <v>158</v>
      </c>
      <c r="AQ6" s="5" t="s">
        <v>131</v>
      </c>
      <c r="AR6" s="5">
        <f>SQRT(AQ6+AQ7)*(AT6-AS6)*0.5/TINV(1-0.95,AQ6+AQ7-1)</f>
        <v>1.9043938370706426</v>
      </c>
      <c r="AS6" t="s">
        <v>159</v>
      </c>
      <c r="AT6" t="s">
        <v>160</v>
      </c>
      <c r="AU6" s="3" t="s">
        <v>690</v>
      </c>
      <c r="AV6">
        <v>180</v>
      </c>
      <c r="AW6">
        <v>35</v>
      </c>
    </row>
    <row r="7" spans="1:49" x14ac:dyDescent="0.2">
      <c r="A7" t="s">
        <v>117</v>
      </c>
      <c r="B7">
        <v>2011</v>
      </c>
      <c r="C7" t="s">
        <v>134</v>
      </c>
      <c r="D7" t="s">
        <v>88</v>
      </c>
      <c r="E7" t="s">
        <v>88</v>
      </c>
      <c r="F7" t="s">
        <v>119</v>
      </c>
      <c r="G7" t="s">
        <v>120</v>
      </c>
      <c r="H7" t="s">
        <v>91</v>
      </c>
      <c r="I7" t="s">
        <v>54</v>
      </c>
      <c r="J7" t="s">
        <v>121</v>
      </c>
      <c r="K7" t="s">
        <v>56</v>
      </c>
      <c r="L7" t="s">
        <v>93</v>
      </c>
      <c r="M7" t="s">
        <v>58</v>
      </c>
      <c r="N7" t="s">
        <v>93</v>
      </c>
      <c r="O7" t="s">
        <v>57</v>
      </c>
      <c r="P7" t="s">
        <v>58</v>
      </c>
      <c r="Q7" t="s">
        <v>57</v>
      </c>
      <c r="R7" t="s">
        <v>135</v>
      </c>
      <c r="S7" t="s">
        <v>136</v>
      </c>
      <c r="T7" t="s">
        <v>137</v>
      </c>
      <c r="U7" t="s">
        <v>138</v>
      </c>
      <c r="X7" t="s">
        <v>139</v>
      </c>
      <c r="AB7" t="s">
        <v>140</v>
      </c>
      <c r="AH7" t="s">
        <v>100</v>
      </c>
      <c r="AJ7" s="3" t="s">
        <v>65</v>
      </c>
      <c r="AK7" s="3" t="s">
        <v>66</v>
      </c>
      <c r="AL7" s="3" t="s">
        <v>101</v>
      </c>
      <c r="AQ7" s="5" t="s">
        <v>141</v>
      </c>
      <c r="AU7" s="3" t="s">
        <v>690</v>
      </c>
      <c r="AV7">
        <v>180</v>
      </c>
      <c r="AW7">
        <v>35</v>
      </c>
    </row>
    <row r="8" spans="1:49" x14ac:dyDescent="0.2">
      <c r="A8" t="s">
        <v>117</v>
      </c>
      <c r="B8">
        <v>2011</v>
      </c>
      <c r="C8" t="s">
        <v>118</v>
      </c>
      <c r="D8" t="s">
        <v>105</v>
      </c>
      <c r="E8" t="s">
        <v>106</v>
      </c>
      <c r="F8" t="s">
        <v>119</v>
      </c>
      <c r="G8" t="s">
        <v>120</v>
      </c>
      <c r="H8" t="s">
        <v>91</v>
      </c>
      <c r="I8" t="s">
        <v>54</v>
      </c>
      <c r="J8" t="s">
        <v>121</v>
      </c>
      <c r="K8" t="s">
        <v>56</v>
      </c>
      <c r="L8" t="s">
        <v>93</v>
      </c>
      <c r="M8" t="s">
        <v>58</v>
      </c>
      <c r="N8" t="s">
        <v>93</v>
      </c>
      <c r="O8" t="s">
        <v>57</v>
      </c>
      <c r="P8" t="s">
        <v>58</v>
      </c>
      <c r="Q8" t="s">
        <v>57</v>
      </c>
      <c r="R8" t="s">
        <v>122</v>
      </c>
      <c r="S8" t="s">
        <v>123</v>
      </c>
      <c r="T8" t="s">
        <v>124</v>
      </c>
      <c r="U8" t="s">
        <v>125</v>
      </c>
      <c r="X8" t="s">
        <v>126</v>
      </c>
      <c r="AB8" t="s">
        <v>127</v>
      </c>
      <c r="AH8" t="s">
        <v>64</v>
      </c>
      <c r="AJ8" s="3" t="s">
        <v>128</v>
      </c>
      <c r="AK8" s="3" t="s">
        <v>129</v>
      </c>
      <c r="AL8" s="3" t="s">
        <v>101</v>
      </c>
      <c r="AP8" s="5" t="s">
        <v>130</v>
      </c>
      <c r="AQ8" s="5" t="s">
        <v>131</v>
      </c>
      <c r="AR8" s="5">
        <f t="shared" ref="AR8" si="0">SQRT(AQ8+AQ9)*(AT8-AS8)*0.5/TINV(1-0.95,AQ8+AQ9-1)</f>
        <v>2.0910991152148237</v>
      </c>
      <c r="AS8" t="s">
        <v>132</v>
      </c>
      <c r="AT8" t="s">
        <v>133</v>
      </c>
      <c r="AU8" s="3" t="s">
        <v>690</v>
      </c>
      <c r="AV8">
        <v>180</v>
      </c>
      <c r="AW8">
        <v>35</v>
      </c>
    </row>
    <row r="9" spans="1:49" x14ac:dyDescent="0.2">
      <c r="A9" t="s">
        <v>117</v>
      </c>
      <c r="B9">
        <v>2011</v>
      </c>
      <c r="C9" t="s">
        <v>134</v>
      </c>
      <c r="D9" t="s">
        <v>88</v>
      </c>
      <c r="E9" t="s">
        <v>88</v>
      </c>
      <c r="F9" t="s">
        <v>119</v>
      </c>
      <c r="G9" t="s">
        <v>120</v>
      </c>
      <c r="H9" t="s">
        <v>91</v>
      </c>
      <c r="I9" t="s">
        <v>54</v>
      </c>
      <c r="J9" t="s">
        <v>121</v>
      </c>
      <c r="K9" t="s">
        <v>56</v>
      </c>
      <c r="L9" t="s">
        <v>93</v>
      </c>
      <c r="M9" t="s">
        <v>58</v>
      </c>
      <c r="N9" t="s">
        <v>93</v>
      </c>
      <c r="O9" t="s">
        <v>57</v>
      </c>
      <c r="P9" t="s">
        <v>58</v>
      </c>
      <c r="Q9" t="s">
        <v>57</v>
      </c>
      <c r="R9" t="s">
        <v>135</v>
      </c>
      <c r="S9" t="s">
        <v>136</v>
      </c>
      <c r="T9" t="s">
        <v>137</v>
      </c>
      <c r="U9" t="s">
        <v>138</v>
      </c>
      <c r="X9" t="s">
        <v>139</v>
      </c>
      <c r="AB9" t="s">
        <v>140</v>
      </c>
      <c r="AH9" t="s">
        <v>100</v>
      </c>
      <c r="AJ9" s="3" t="s">
        <v>128</v>
      </c>
      <c r="AK9" s="3" t="s">
        <v>129</v>
      </c>
      <c r="AL9" s="3" t="s">
        <v>101</v>
      </c>
      <c r="AQ9" s="5" t="s">
        <v>141</v>
      </c>
      <c r="AU9" s="3" t="s">
        <v>690</v>
      </c>
      <c r="AV9">
        <v>180</v>
      </c>
      <c r="AW9">
        <v>35</v>
      </c>
    </row>
    <row r="10" spans="1:49" x14ac:dyDescent="0.2">
      <c r="A10" t="s">
        <v>117</v>
      </c>
      <c r="B10">
        <v>2011</v>
      </c>
      <c r="C10" t="s">
        <v>118</v>
      </c>
      <c r="D10" t="s">
        <v>105</v>
      </c>
      <c r="E10" t="s">
        <v>106</v>
      </c>
      <c r="F10" t="s">
        <v>119</v>
      </c>
      <c r="G10" t="s">
        <v>120</v>
      </c>
      <c r="H10" t="s">
        <v>91</v>
      </c>
      <c r="I10" t="s">
        <v>54</v>
      </c>
      <c r="J10" t="s">
        <v>121</v>
      </c>
      <c r="K10" t="s">
        <v>56</v>
      </c>
      <c r="L10" t="s">
        <v>93</v>
      </c>
      <c r="M10" t="s">
        <v>58</v>
      </c>
      <c r="N10" t="s">
        <v>93</v>
      </c>
      <c r="O10" t="s">
        <v>57</v>
      </c>
      <c r="P10" t="s">
        <v>58</v>
      </c>
      <c r="Q10" t="s">
        <v>57</v>
      </c>
      <c r="R10" t="s">
        <v>122</v>
      </c>
      <c r="S10" t="s">
        <v>123</v>
      </c>
      <c r="T10" t="s">
        <v>124</v>
      </c>
      <c r="U10" t="s">
        <v>125</v>
      </c>
      <c r="X10" t="s">
        <v>126</v>
      </c>
      <c r="AB10" t="s">
        <v>127</v>
      </c>
      <c r="AH10" t="s">
        <v>64</v>
      </c>
      <c r="AJ10" s="3" t="s">
        <v>142</v>
      </c>
      <c r="AK10" s="3" t="s">
        <v>143</v>
      </c>
      <c r="AL10" s="3" t="s">
        <v>101</v>
      </c>
      <c r="AP10" s="5" t="s">
        <v>144</v>
      </c>
      <c r="AQ10" s="5" t="s">
        <v>131</v>
      </c>
      <c r="AR10" s="5">
        <f t="shared" ref="AR10" si="1">SQRT(AQ10+AQ11)*(AT10-AS10)*0.5/TINV(1-0.95,AQ10+AQ11-1)</f>
        <v>1.9604054205138968</v>
      </c>
      <c r="AS10" t="s">
        <v>145</v>
      </c>
      <c r="AT10" t="s">
        <v>146</v>
      </c>
      <c r="AU10" s="3" t="s">
        <v>690</v>
      </c>
      <c r="AV10">
        <v>180</v>
      </c>
      <c r="AW10">
        <v>35</v>
      </c>
    </row>
    <row r="11" spans="1:49" x14ac:dyDescent="0.2">
      <c r="A11" t="s">
        <v>117</v>
      </c>
      <c r="B11">
        <v>2011</v>
      </c>
      <c r="C11" t="s">
        <v>134</v>
      </c>
      <c r="D11" t="s">
        <v>88</v>
      </c>
      <c r="E11" t="s">
        <v>88</v>
      </c>
      <c r="F11" t="s">
        <v>119</v>
      </c>
      <c r="G11" t="s">
        <v>120</v>
      </c>
      <c r="H11" t="s">
        <v>91</v>
      </c>
      <c r="I11" t="s">
        <v>54</v>
      </c>
      <c r="J11" t="s">
        <v>121</v>
      </c>
      <c r="K11" t="s">
        <v>56</v>
      </c>
      <c r="L11" t="s">
        <v>93</v>
      </c>
      <c r="M11" t="s">
        <v>58</v>
      </c>
      <c r="N11" t="s">
        <v>93</v>
      </c>
      <c r="O11" t="s">
        <v>57</v>
      </c>
      <c r="P11" t="s">
        <v>58</v>
      </c>
      <c r="Q11" t="s">
        <v>57</v>
      </c>
      <c r="R11" t="s">
        <v>135</v>
      </c>
      <c r="S11" t="s">
        <v>136</v>
      </c>
      <c r="T11" t="s">
        <v>137</v>
      </c>
      <c r="U11" t="s">
        <v>138</v>
      </c>
      <c r="X11" t="s">
        <v>139</v>
      </c>
      <c r="AB11" t="s">
        <v>140</v>
      </c>
      <c r="AH11" t="s">
        <v>100</v>
      </c>
      <c r="AJ11" s="3" t="s">
        <v>142</v>
      </c>
      <c r="AK11" s="3" t="s">
        <v>143</v>
      </c>
      <c r="AL11" s="3" t="s">
        <v>101</v>
      </c>
      <c r="AQ11" s="5" t="s">
        <v>141</v>
      </c>
      <c r="AU11" s="3" t="s">
        <v>690</v>
      </c>
      <c r="AV11">
        <v>180</v>
      </c>
      <c r="AW11">
        <v>35</v>
      </c>
    </row>
    <row r="12" spans="1:49" x14ac:dyDescent="0.2">
      <c r="A12" t="s">
        <v>117</v>
      </c>
      <c r="B12">
        <v>2011</v>
      </c>
      <c r="C12" t="s">
        <v>118</v>
      </c>
      <c r="D12" t="s">
        <v>105</v>
      </c>
      <c r="E12" t="s">
        <v>106</v>
      </c>
      <c r="F12" t="s">
        <v>119</v>
      </c>
      <c r="G12" t="s">
        <v>120</v>
      </c>
      <c r="H12" t="s">
        <v>91</v>
      </c>
      <c r="I12" t="s">
        <v>54</v>
      </c>
      <c r="J12" t="s">
        <v>121</v>
      </c>
      <c r="K12" t="s">
        <v>56</v>
      </c>
      <c r="L12" t="s">
        <v>93</v>
      </c>
      <c r="M12" t="s">
        <v>58</v>
      </c>
      <c r="N12" t="s">
        <v>93</v>
      </c>
      <c r="O12" t="s">
        <v>57</v>
      </c>
      <c r="P12" t="s">
        <v>58</v>
      </c>
      <c r="Q12" t="s">
        <v>57</v>
      </c>
      <c r="R12" t="s">
        <v>122</v>
      </c>
      <c r="S12" t="s">
        <v>123</v>
      </c>
      <c r="T12" t="s">
        <v>124</v>
      </c>
      <c r="U12" t="s">
        <v>125</v>
      </c>
      <c r="X12" t="s">
        <v>126</v>
      </c>
      <c r="AB12" t="s">
        <v>127</v>
      </c>
      <c r="AH12" t="s">
        <v>64</v>
      </c>
      <c r="AJ12" s="3" t="s">
        <v>165</v>
      </c>
      <c r="AK12" s="3" t="s">
        <v>166</v>
      </c>
      <c r="AL12" s="3" t="s">
        <v>101</v>
      </c>
      <c r="AP12" s="5" t="s">
        <v>167</v>
      </c>
      <c r="AQ12" s="5" t="s">
        <v>131</v>
      </c>
      <c r="AR12" s="5">
        <f t="shared" ref="AR12" si="2">SQRT(AQ12+AQ13)*(AT12-AS12)*0.5/TINV(1-0.95,AQ12+AQ13-1)</f>
        <v>2.12844017084366</v>
      </c>
      <c r="AS12" t="s">
        <v>153</v>
      </c>
      <c r="AT12" t="s">
        <v>133</v>
      </c>
      <c r="AU12" s="3" t="s">
        <v>690</v>
      </c>
      <c r="AV12">
        <v>180</v>
      </c>
      <c r="AW12">
        <v>35</v>
      </c>
    </row>
    <row r="13" spans="1:49" x14ac:dyDescent="0.2">
      <c r="A13" t="s">
        <v>117</v>
      </c>
      <c r="B13">
        <v>2011</v>
      </c>
      <c r="C13" t="s">
        <v>134</v>
      </c>
      <c r="D13" t="s">
        <v>88</v>
      </c>
      <c r="E13" t="s">
        <v>88</v>
      </c>
      <c r="F13" t="s">
        <v>119</v>
      </c>
      <c r="G13" t="s">
        <v>120</v>
      </c>
      <c r="H13" t="s">
        <v>91</v>
      </c>
      <c r="I13" t="s">
        <v>54</v>
      </c>
      <c r="J13" t="s">
        <v>121</v>
      </c>
      <c r="K13" t="s">
        <v>56</v>
      </c>
      <c r="L13" t="s">
        <v>93</v>
      </c>
      <c r="M13" t="s">
        <v>58</v>
      </c>
      <c r="N13" t="s">
        <v>93</v>
      </c>
      <c r="O13" t="s">
        <v>57</v>
      </c>
      <c r="P13" t="s">
        <v>58</v>
      </c>
      <c r="Q13" t="s">
        <v>57</v>
      </c>
      <c r="R13" t="s">
        <v>135</v>
      </c>
      <c r="S13" t="s">
        <v>136</v>
      </c>
      <c r="T13" t="s">
        <v>137</v>
      </c>
      <c r="U13" t="s">
        <v>138</v>
      </c>
      <c r="X13" t="s">
        <v>139</v>
      </c>
      <c r="AB13" t="s">
        <v>140</v>
      </c>
      <c r="AH13" t="s">
        <v>100</v>
      </c>
      <c r="AJ13" s="3" t="s">
        <v>165</v>
      </c>
      <c r="AK13" s="3" t="s">
        <v>166</v>
      </c>
      <c r="AL13" s="3" t="s">
        <v>101</v>
      </c>
      <c r="AQ13" s="5" t="s">
        <v>141</v>
      </c>
      <c r="AU13" s="3" t="s">
        <v>690</v>
      </c>
      <c r="AV13">
        <v>180</v>
      </c>
      <c r="AW13">
        <v>35</v>
      </c>
    </row>
    <row r="14" spans="1:49" x14ac:dyDescent="0.2">
      <c r="A14" t="s">
        <v>117</v>
      </c>
      <c r="B14">
        <v>2011</v>
      </c>
      <c r="C14" t="s">
        <v>118</v>
      </c>
      <c r="D14" t="s">
        <v>105</v>
      </c>
      <c r="E14" t="s">
        <v>106</v>
      </c>
      <c r="F14" t="s">
        <v>119</v>
      </c>
      <c r="G14" t="s">
        <v>120</v>
      </c>
      <c r="H14" t="s">
        <v>91</v>
      </c>
      <c r="I14" t="s">
        <v>54</v>
      </c>
      <c r="J14" t="s">
        <v>121</v>
      </c>
      <c r="K14" t="s">
        <v>56</v>
      </c>
      <c r="L14" t="s">
        <v>93</v>
      </c>
      <c r="M14" t="s">
        <v>58</v>
      </c>
      <c r="N14" t="s">
        <v>93</v>
      </c>
      <c r="O14" t="s">
        <v>57</v>
      </c>
      <c r="P14" t="s">
        <v>58</v>
      </c>
      <c r="Q14" t="s">
        <v>57</v>
      </c>
      <c r="R14" t="s">
        <v>122</v>
      </c>
      <c r="S14" t="s">
        <v>123</v>
      </c>
      <c r="T14" t="s">
        <v>124</v>
      </c>
      <c r="U14" t="s">
        <v>125</v>
      </c>
      <c r="X14" t="s">
        <v>126</v>
      </c>
      <c r="AB14" t="s">
        <v>127</v>
      </c>
      <c r="AH14" t="s">
        <v>64</v>
      </c>
      <c r="AJ14" s="3" t="s">
        <v>147</v>
      </c>
      <c r="AK14" s="3" t="s">
        <v>143</v>
      </c>
      <c r="AL14" s="3" t="s">
        <v>101</v>
      </c>
      <c r="AP14" s="5" t="s">
        <v>148</v>
      </c>
      <c r="AQ14" s="5" t="s">
        <v>131</v>
      </c>
      <c r="AR14" s="5">
        <f t="shared" ref="AR14" si="3">SQRT(AQ14+AQ15)*(AT14-AS14)*0.5/TINV(1-0.95,AQ14+AQ15-1)</f>
        <v>1.8483822536273884</v>
      </c>
      <c r="AS14" t="s">
        <v>149</v>
      </c>
      <c r="AT14" t="s">
        <v>150</v>
      </c>
      <c r="AU14" s="3" t="s">
        <v>690</v>
      </c>
      <c r="AV14">
        <v>180</v>
      </c>
      <c r="AW14">
        <v>35</v>
      </c>
    </row>
    <row r="15" spans="1:49" x14ac:dyDescent="0.2">
      <c r="A15" t="s">
        <v>117</v>
      </c>
      <c r="B15">
        <v>2011</v>
      </c>
      <c r="C15" t="s">
        <v>134</v>
      </c>
      <c r="D15" t="s">
        <v>88</v>
      </c>
      <c r="E15" t="s">
        <v>88</v>
      </c>
      <c r="F15" t="s">
        <v>119</v>
      </c>
      <c r="G15" t="s">
        <v>120</v>
      </c>
      <c r="H15" t="s">
        <v>91</v>
      </c>
      <c r="I15" t="s">
        <v>54</v>
      </c>
      <c r="J15" t="s">
        <v>121</v>
      </c>
      <c r="K15" t="s">
        <v>56</v>
      </c>
      <c r="L15" t="s">
        <v>93</v>
      </c>
      <c r="M15" t="s">
        <v>58</v>
      </c>
      <c r="N15" t="s">
        <v>93</v>
      </c>
      <c r="O15" t="s">
        <v>57</v>
      </c>
      <c r="P15" t="s">
        <v>58</v>
      </c>
      <c r="Q15" t="s">
        <v>57</v>
      </c>
      <c r="R15" t="s">
        <v>135</v>
      </c>
      <c r="S15" t="s">
        <v>136</v>
      </c>
      <c r="T15" t="s">
        <v>137</v>
      </c>
      <c r="U15" t="s">
        <v>138</v>
      </c>
      <c r="X15" t="s">
        <v>139</v>
      </c>
      <c r="AB15" t="s">
        <v>140</v>
      </c>
      <c r="AH15" t="s">
        <v>100</v>
      </c>
      <c r="AJ15" s="3" t="s">
        <v>147</v>
      </c>
      <c r="AK15" s="3" t="s">
        <v>143</v>
      </c>
      <c r="AL15" s="3" t="s">
        <v>101</v>
      </c>
      <c r="AQ15" s="5" t="s">
        <v>141</v>
      </c>
      <c r="AU15" s="3" t="s">
        <v>690</v>
      </c>
      <c r="AV15">
        <v>180</v>
      </c>
      <c r="AW15">
        <v>35</v>
      </c>
    </row>
    <row r="16" spans="1:49" x14ac:dyDescent="0.2">
      <c r="A16" t="s">
        <v>117</v>
      </c>
      <c r="B16">
        <v>2011</v>
      </c>
      <c r="C16" t="s">
        <v>118</v>
      </c>
      <c r="D16" t="s">
        <v>105</v>
      </c>
      <c r="E16" t="s">
        <v>106</v>
      </c>
      <c r="F16" t="s">
        <v>119</v>
      </c>
      <c r="G16" t="s">
        <v>120</v>
      </c>
      <c r="H16" t="s">
        <v>91</v>
      </c>
      <c r="I16" t="s">
        <v>54</v>
      </c>
      <c r="J16" t="s">
        <v>121</v>
      </c>
      <c r="K16" t="s">
        <v>56</v>
      </c>
      <c r="L16" t="s">
        <v>93</v>
      </c>
      <c r="M16" t="s">
        <v>58</v>
      </c>
      <c r="N16" t="s">
        <v>93</v>
      </c>
      <c r="O16" t="s">
        <v>57</v>
      </c>
      <c r="P16" t="s">
        <v>58</v>
      </c>
      <c r="Q16" t="s">
        <v>57</v>
      </c>
      <c r="R16" t="s">
        <v>122</v>
      </c>
      <c r="S16" t="s">
        <v>123</v>
      </c>
      <c r="T16" t="s">
        <v>124</v>
      </c>
      <c r="U16" t="s">
        <v>125</v>
      </c>
      <c r="X16" t="s">
        <v>126</v>
      </c>
      <c r="AB16" t="s">
        <v>127</v>
      </c>
      <c r="AH16" t="s">
        <v>64</v>
      </c>
      <c r="AJ16" s="3" t="s">
        <v>151</v>
      </c>
      <c r="AK16" s="3" t="s">
        <v>152</v>
      </c>
      <c r="AL16" s="3" t="s">
        <v>101</v>
      </c>
      <c r="AP16" s="5">
        <v>-0.14000000000000001</v>
      </c>
      <c r="AQ16" s="5" t="s">
        <v>131</v>
      </c>
      <c r="AR16" s="5">
        <f t="shared" ref="AR16" si="4">SQRT(AQ16+AQ17)*(AT16-AS16)*0.5/TINV(1-0.95,AQ16+AQ17-1)</f>
        <v>1.9790759483283149</v>
      </c>
      <c r="AS16" t="s">
        <v>153</v>
      </c>
      <c r="AT16" t="s">
        <v>154</v>
      </c>
      <c r="AU16" s="3" t="s">
        <v>690</v>
      </c>
      <c r="AV16">
        <v>180</v>
      </c>
      <c r="AW16">
        <v>35</v>
      </c>
    </row>
    <row r="17" spans="1:49" x14ac:dyDescent="0.2">
      <c r="A17" t="s">
        <v>117</v>
      </c>
      <c r="B17">
        <v>2011</v>
      </c>
      <c r="C17" t="s">
        <v>134</v>
      </c>
      <c r="D17" t="s">
        <v>88</v>
      </c>
      <c r="E17" t="s">
        <v>88</v>
      </c>
      <c r="F17" t="s">
        <v>119</v>
      </c>
      <c r="G17" t="s">
        <v>120</v>
      </c>
      <c r="H17" t="s">
        <v>91</v>
      </c>
      <c r="I17" t="s">
        <v>54</v>
      </c>
      <c r="J17" t="s">
        <v>121</v>
      </c>
      <c r="K17" t="s">
        <v>56</v>
      </c>
      <c r="L17" t="s">
        <v>93</v>
      </c>
      <c r="M17" t="s">
        <v>58</v>
      </c>
      <c r="N17" t="s">
        <v>93</v>
      </c>
      <c r="O17" t="s">
        <v>57</v>
      </c>
      <c r="P17" t="s">
        <v>58</v>
      </c>
      <c r="Q17" t="s">
        <v>57</v>
      </c>
      <c r="R17" t="s">
        <v>135</v>
      </c>
      <c r="S17" t="s">
        <v>136</v>
      </c>
      <c r="T17" t="s">
        <v>137</v>
      </c>
      <c r="U17" t="s">
        <v>138</v>
      </c>
      <c r="X17" t="s">
        <v>139</v>
      </c>
      <c r="AB17" t="s">
        <v>140</v>
      </c>
      <c r="AH17" t="s">
        <v>100</v>
      </c>
      <c r="AJ17" s="3" t="s">
        <v>151</v>
      </c>
      <c r="AK17" s="3" t="s">
        <v>152</v>
      </c>
      <c r="AL17" s="3" t="s">
        <v>101</v>
      </c>
      <c r="AQ17" s="5" t="s">
        <v>141</v>
      </c>
      <c r="AU17" s="3" t="s">
        <v>690</v>
      </c>
      <c r="AV17">
        <v>180</v>
      </c>
      <c r="AW17">
        <v>35</v>
      </c>
    </row>
    <row r="18" spans="1:49" x14ac:dyDescent="0.2">
      <c r="A18" t="s">
        <v>117</v>
      </c>
      <c r="B18">
        <v>2011</v>
      </c>
      <c r="C18" t="s">
        <v>118</v>
      </c>
      <c r="D18" t="s">
        <v>105</v>
      </c>
      <c r="E18" t="s">
        <v>106</v>
      </c>
      <c r="F18" t="s">
        <v>119</v>
      </c>
      <c r="G18" t="s">
        <v>120</v>
      </c>
      <c r="H18" t="s">
        <v>91</v>
      </c>
      <c r="I18" t="s">
        <v>54</v>
      </c>
      <c r="J18" t="s">
        <v>121</v>
      </c>
      <c r="K18" t="s">
        <v>56</v>
      </c>
      <c r="L18" t="s">
        <v>93</v>
      </c>
      <c r="M18" t="s">
        <v>58</v>
      </c>
      <c r="N18" t="s">
        <v>93</v>
      </c>
      <c r="O18" t="s">
        <v>57</v>
      </c>
      <c r="P18" t="s">
        <v>58</v>
      </c>
      <c r="Q18" t="s">
        <v>57</v>
      </c>
      <c r="R18" t="s">
        <v>122</v>
      </c>
      <c r="S18" t="s">
        <v>123</v>
      </c>
      <c r="T18" t="s">
        <v>124</v>
      </c>
      <c r="U18" t="s">
        <v>125</v>
      </c>
      <c r="X18" t="s">
        <v>126</v>
      </c>
      <c r="AB18" t="s">
        <v>127</v>
      </c>
      <c r="AH18" t="s">
        <v>64</v>
      </c>
      <c r="AJ18" s="3" t="s">
        <v>151</v>
      </c>
      <c r="AK18" s="3" t="s">
        <v>152</v>
      </c>
      <c r="AL18" s="3" t="s">
        <v>101</v>
      </c>
      <c r="AP18" s="5" t="s">
        <v>155</v>
      </c>
      <c r="AQ18" s="5" t="s">
        <v>131</v>
      </c>
      <c r="AR18" s="5">
        <f t="shared" ref="AR18" si="5">SQRT(AQ18+AQ19)*(AT18-AS18)*0.5/TINV(1-0.95,AQ18+AQ19-1)</f>
        <v>2.1471106986580772</v>
      </c>
      <c r="AS18" t="s">
        <v>156</v>
      </c>
      <c r="AT18" t="s">
        <v>157</v>
      </c>
      <c r="AU18" s="3" t="s">
        <v>690</v>
      </c>
      <c r="AV18">
        <v>180</v>
      </c>
      <c r="AW18">
        <v>35</v>
      </c>
    </row>
    <row r="19" spans="1:49" x14ac:dyDescent="0.2">
      <c r="A19" t="s">
        <v>117</v>
      </c>
      <c r="B19">
        <v>2011</v>
      </c>
      <c r="C19" t="s">
        <v>134</v>
      </c>
      <c r="D19" t="s">
        <v>88</v>
      </c>
      <c r="E19" t="s">
        <v>88</v>
      </c>
      <c r="F19" t="s">
        <v>119</v>
      </c>
      <c r="G19" t="s">
        <v>120</v>
      </c>
      <c r="H19" t="s">
        <v>91</v>
      </c>
      <c r="I19" t="s">
        <v>54</v>
      </c>
      <c r="J19" t="s">
        <v>121</v>
      </c>
      <c r="K19" t="s">
        <v>56</v>
      </c>
      <c r="L19" t="s">
        <v>93</v>
      </c>
      <c r="M19" t="s">
        <v>58</v>
      </c>
      <c r="N19" t="s">
        <v>93</v>
      </c>
      <c r="O19" t="s">
        <v>57</v>
      </c>
      <c r="P19" t="s">
        <v>58</v>
      </c>
      <c r="Q19" t="s">
        <v>57</v>
      </c>
      <c r="R19" t="s">
        <v>135</v>
      </c>
      <c r="S19" t="s">
        <v>136</v>
      </c>
      <c r="T19" t="s">
        <v>137</v>
      </c>
      <c r="U19" t="s">
        <v>138</v>
      </c>
      <c r="X19" t="s">
        <v>139</v>
      </c>
      <c r="AB19" t="s">
        <v>140</v>
      </c>
      <c r="AH19" t="s">
        <v>100</v>
      </c>
      <c r="AJ19" s="3" t="s">
        <v>151</v>
      </c>
      <c r="AK19" s="3" t="s">
        <v>152</v>
      </c>
      <c r="AL19" s="3" t="s">
        <v>101</v>
      </c>
      <c r="AQ19" s="5" t="s">
        <v>141</v>
      </c>
      <c r="AU19" s="3" t="s">
        <v>690</v>
      </c>
      <c r="AV19">
        <v>180</v>
      </c>
      <c r="AW19">
        <v>35</v>
      </c>
    </row>
    <row r="20" spans="1:49" x14ac:dyDescent="0.2">
      <c r="A20" t="s">
        <v>117</v>
      </c>
      <c r="B20">
        <v>2011</v>
      </c>
      <c r="C20" t="s">
        <v>118</v>
      </c>
      <c r="D20" t="s">
        <v>105</v>
      </c>
      <c r="E20" t="s">
        <v>106</v>
      </c>
      <c r="F20" t="s">
        <v>119</v>
      </c>
      <c r="G20" t="s">
        <v>120</v>
      </c>
      <c r="H20" t="s">
        <v>91</v>
      </c>
      <c r="I20" t="s">
        <v>54</v>
      </c>
      <c r="J20" t="s">
        <v>121</v>
      </c>
      <c r="K20" t="s">
        <v>56</v>
      </c>
      <c r="L20" t="s">
        <v>93</v>
      </c>
      <c r="M20" t="s">
        <v>58</v>
      </c>
      <c r="N20" t="s">
        <v>93</v>
      </c>
      <c r="O20" t="s">
        <v>57</v>
      </c>
      <c r="P20" t="s">
        <v>58</v>
      </c>
      <c r="Q20" t="s">
        <v>57</v>
      </c>
      <c r="R20" t="s">
        <v>122</v>
      </c>
      <c r="S20" t="s">
        <v>123</v>
      </c>
      <c r="T20" t="s">
        <v>124</v>
      </c>
      <c r="U20" t="s">
        <v>125</v>
      </c>
      <c r="X20" t="s">
        <v>126</v>
      </c>
      <c r="AB20" t="s">
        <v>127</v>
      </c>
      <c r="AH20" t="s">
        <v>64</v>
      </c>
      <c r="AJ20" s="3" t="s">
        <v>161</v>
      </c>
      <c r="AK20" s="3" t="s">
        <v>143</v>
      </c>
      <c r="AL20" s="3" t="s">
        <v>101</v>
      </c>
      <c r="AP20" s="5" t="s">
        <v>162</v>
      </c>
      <c r="AQ20" s="5" t="s">
        <v>131</v>
      </c>
      <c r="AR20" s="5">
        <f t="shared" ref="AR20" si="6">SQRT(AQ20+AQ21)*(AT20-AS20)*0.5/TINV(1-0.95,AQ20+AQ21-1)</f>
        <v>2.0164170039571512</v>
      </c>
      <c r="AS20" t="s">
        <v>163</v>
      </c>
      <c r="AT20" t="s">
        <v>164</v>
      </c>
      <c r="AU20" s="3" t="s">
        <v>690</v>
      </c>
      <c r="AV20">
        <v>180</v>
      </c>
      <c r="AW20">
        <v>35</v>
      </c>
    </row>
    <row r="21" spans="1:49" x14ac:dyDescent="0.2">
      <c r="A21" t="s">
        <v>117</v>
      </c>
      <c r="B21">
        <v>2011</v>
      </c>
      <c r="C21" t="s">
        <v>134</v>
      </c>
      <c r="D21" t="s">
        <v>88</v>
      </c>
      <c r="E21" t="s">
        <v>88</v>
      </c>
      <c r="F21" t="s">
        <v>119</v>
      </c>
      <c r="G21" t="s">
        <v>120</v>
      </c>
      <c r="H21" t="s">
        <v>91</v>
      </c>
      <c r="I21" t="s">
        <v>54</v>
      </c>
      <c r="J21" t="s">
        <v>121</v>
      </c>
      <c r="K21" t="s">
        <v>56</v>
      </c>
      <c r="L21" t="s">
        <v>93</v>
      </c>
      <c r="M21" t="s">
        <v>58</v>
      </c>
      <c r="N21" t="s">
        <v>93</v>
      </c>
      <c r="O21" t="s">
        <v>57</v>
      </c>
      <c r="P21" t="s">
        <v>58</v>
      </c>
      <c r="Q21" t="s">
        <v>57</v>
      </c>
      <c r="R21" t="s">
        <v>135</v>
      </c>
      <c r="S21" t="s">
        <v>136</v>
      </c>
      <c r="T21" t="s">
        <v>137</v>
      </c>
      <c r="U21" t="s">
        <v>138</v>
      </c>
      <c r="X21" t="s">
        <v>139</v>
      </c>
      <c r="AB21" t="s">
        <v>140</v>
      </c>
      <c r="AH21" t="s">
        <v>100</v>
      </c>
      <c r="AJ21" s="3" t="s">
        <v>161</v>
      </c>
      <c r="AK21" s="3" t="s">
        <v>143</v>
      </c>
      <c r="AL21" s="3" t="s">
        <v>101</v>
      </c>
      <c r="AQ21" s="5" t="s">
        <v>141</v>
      </c>
      <c r="AU21" s="3" t="s">
        <v>690</v>
      </c>
      <c r="AV21">
        <v>180</v>
      </c>
      <c r="AW21">
        <v>35</v>
      </c>
    </row>
    <row r="22" spans="1:49" x14ac:dyDescent="0.2">
      <c r="A22" t="s">
        <v>117</v>
      </c>
      <c r="B22">
        <v>2011</v>
      </c>
      <c r="C22" t="s">
        <v>118</v>
      </c>
      <c r="D22" t="s">
        <v>105</v>
      </c>
      <c r="E22" t="s">
        <v>106</v>
      </c>
      <c r="F22" t="s">
        <v>119</v>
      </c>
      <c r="G22" t="s">
        <v>120</v>
      </c>
      <c r="H22" t="s">
        <v>91</v>
      </c>
      <c r="I22" t="s">
        <v>54</v>
      </c>
      <c r="J22" t="s">
        <v>121</v>
      </c>
      <c r="K22" t="s">
        <v>56</v>
      </c>
      <c r="L22" t="s">
        <v>93</v>
      </c>
      <c r="M22" t="s">
        <v>58</v>
      </c>
      <c r="N22" t="s">
        <v>93</v>
      </c>
      <c r="O22" t="s">
        <v>57</v>
      </c>
      <c r="P22" t="s">
        <v>58</v>
      </c>
      <c r="Q22" t="s">
        <v>57</v>
      </c>
      <c r="R22" t="s">
        <v>122</v>
      </c>
      <c r="S22" t="s">
        <v>123</v>
      </c>
      <c r="T22" t="s">
        <v>124</v>
      </c>
      <c r="U22" t="s">
        <v>125</v>
      </c>
      <c r="X22" t="s">
        <v>126</v>
      </c>
      <c r="AB22" t="s">
        <v>127</v>
      </c>
      <c r="AH22" t="s">
        <v>64</v>
      </c>
      <c r="AJ22" s="3" t="s">
        <v>168</v>
      </c>
      <c r="AK22" s="3" t="s">
        <v>169</v>
      </c>
      <c r="AL22" s="3" t="s">
        <v>101</v>
      </c>
      <c r="AP22" s="5" t="s">
        <v>170</v>
      </c>
      <c r="AQ22" s="5" t="s">
        <v>131</v>
      </c>
      <c r="AR22" s="5">
        <f>SQRT(AQ22+AQ23)*(AT22-AS22)*0.5/TINV(1-0.95,AQ22+AQ23-1)</f>
        <v>4.3315624529449908</v>
      </c>
      <c r="AS22" t="s">
        <v>171</v>
      </c>
      <c r="AT22" t="s">
        <v>172</v>
      </c>
      <c r="AU22" s="3" t="s">
        <v>690</v>
      </c>
      <c r="AV22">
        <v>180</v>
      </c>
      <c r="AW22">
        <v>35</v>
      </c>
    </row>
    <row r="23" spans="1:49" x14ac:dyDescent="0.2">
      <c r="A23" t="s">
        <v>117</v>
      </c>
      <c r="B23">
        <v>2011</v>
      </c>
      <c r="C23" t="s">
        <v>134</v>
      </c>
      <c r="D23" t="s">
        <v>88</v>
      </c>
      <c r="E23" t="s">
        <v>88</v>
      </c>
      <c r="F23" t="s">
        <v>119</v>
      </c>
      <c r="G23" t="s">
        <v>120</v>
      </c>
      <c r="H23" t="s">
        <v>91</v>
      </c>
      <c r="I23" t="s">
        <v>54</v>
      </c>
      <c r="J23" t="s">
        <v>121</v>
      </c>
      <c r="K23" t="s">
        <v>56</v>
      </c>
      <c r="L23" t="s">
        <v>93</v>
      </c>
      <c r="M23" t="s">
        <v>58</v>
      </c>
      <c r="N23" t="s">
        <v>93</v>
      </c>
      <c r="O23" t="s">
        <v>57</v>
      </c>
      <c r="P23" t="s">
        <v>58</v>
      </c>
      <c r="Q23" t="s">
        <v>57</v>
      </c>
      <c r="R23" t="s">
        <v>135</v>
      </c>
      <c r="S23" t="s">
        <v>136</v>
      </c>
      <c r="T23" t="s">
        <v>137</v>
      </c>
      <c r="U23" t="s">
        <v>138</v>
      </c>
      <c r="X23" t="s">
        <v>139</v>
      </c>
      <c r="AB23" t="s">
        <v>140</v>
      </c>
      <c r="AH23" t="s">
        <v>100</v>
      </c>
      <c r="AJ23" s="3" t="s">
        <v>168</v>
      </c>
      <c r="AK23" s="3" t="s">
        <v>169</v>
      </c>
      <c r="AL23" s="3" t="s">
        <v>101</v>
      </c>
      <c r="AQ23" s="5" t="s">
        <v>141</v>
      </c>
      <c r="AU23" s="3" t="s">
        <v>690</v>
      </c>
      <c r="AV23">
        <v>180</v>
      </c>
      <c r="AW23">
        <v>35</v>
      </c>
    </row>
    <row r="24" spans="1:49" x14ac:dyDescent="0.2">
      <c r="A24" t="s">
        <v>173</v>
      </c>
      <c r="B24">
        <v>2012</v>
      </c>
      <c r="C24" t="s">
        <v>174</v>
      </c>
      <c r="D24" t="s">
        <v>88</v>
      </c>
      <c r="E24" t="s">
        <v>88</v>
      </c>
      <c r="F24" t="s">
        <v>175</v>
      </c>
      <c r="G24" t="s">
        <v>176</v>
      </c>
      <c r="H24" t="s">
        <v>53</v>
      </c>
      <c r="I24" t="s">
        <v>54</v>
      </c>
      <c r="J24" t="s">
        <v>92</v>
      </c>
      <c r="K24" t="s">
        <v>177</v>
      </c>
      <c r="L24" t="s">
        <v>58</v>
      </c>
      <c r="M24" t="s">
        <v>58</v>
      </c>
      <c r="N24" t="s">
        <v>93</v>
      </c>
      <c r="O24" t="s">
        <v>58</v>
      </c>
      <c r="P24" t="s">
        <v>58</v>
      </c>
      <c r="Q24" t="s">
        <v>58</v>
      </c>
      <c r="S24" t="s">
        <v>184</v>
      </c>
      <c r="X24" t="s">
        <v>185</v>
      </c>
      <c r="AB24" t="s">
        <v>186</v>
      </c>
      <c r="AH24" t="s">
        <v>187</v>
      </c>
      <c r="AJ24" s="3" t="s">
        <v>188</v>
      </c>
      <c r="AK24" s="3" t="s">
        <v>178</v>
      </c>
      <c r="AL24" s="3" t="s">
        <v>67</v>
      </c>
      <c r="AM24" s="4" t="s">
        <v>179</v>
      </c>
      <c r="AN24" s="4" t="s">
        <v>180</v>
      </c>
      <c r="AO24" s="4" t="s">
        <v>181</v>
      </c>
      <c r="AP24" s="5" t="s">
        <v>182</v>
      </c>
      <c r="AQ24" s="5" t="s">
        <v>180</v>
      </c>
      <c r="AR24" s="5" t="s">
        <v>183</v>
      </c>
      <c r="AU24" s="3" t="s">
        <v>189</v>
      </c>
      <c r="AV24">
        <v>365</v>
      </c>
      <c r="AW24">
        <v>365</v>
      </c>
    </row>
    <row r="25" spans="1:49" x14ac:dyDescent="0.2">
      <c r="A25" t="s">
        <v>173</v>
      </c>
      <c r="B25">
        <v>2012</v>
      </c>
      <c r="C25" t="s">
        <v>190</v>
      </c>
      <c r="D25" t="s">
        <v>191</v>
      </c>
      <c r="E25" t="s">
        <v>192</v>
      </c>
      <c r="F25" t="s">
        <v>175</v>
      </c>
      <c r="G25" t="s">
        <v>176</v>
      </c>
      <c r="H25" t="s">
        <v>53</v>
      </c>
      <c r="I25" t="s">
        <v>54</v>
      </c>
      <c r="J25" t="s">
        <v>92</v>
      </c>
      <c r="K25" t="s">
        <v>177</v>
      </c>
      <c r="L25" t="s">
        <v>58</v>
      </c>
      <c r="M25" t="s">
        <v>58</v>
      </c>
      <c r="N25" t="s">
        <v>93</v>
      </c>
      <c r="O25" t="s">
        <v>58</v>
      </c>
      <c r="P25" t="s">
        <v>58</v>
      </c>
      <c r="Q25" t="s">
        <v>58</v>
      </c>
      <c r="S25" t="s">
        <v>197</v>
      </c>
      <c r="X25" t="s">
        <v>198</v>
      </c>
      <c r="AB25" t="s">
        <v>199</v>
      </c>
      <c r="AH25" t="s">
        <v>200</v>
      </c>
      <c r="AJ25" s="3" t="s">
        <v>188</v>
      </c>
      <c r="AK25" s="3" t="s">
        <v>178</v>
      </c>
      <c r="AL25" s="3" t="s">
        <v>67</v>
      </c>
      <c r="AM25" s="4" t="s">
        <v>193</v>
      </c>
      <c r="AN25" s="4" t="s">
        <v>180</v>
      </c>
      <c r="AO25" s="4" t="s">
        <v>194</v>
      </c>
      <c r="AP25" s="5" t="s">
        <v>195</v>
      </c>
      <c r="AQ25" s="5" t="s">
        <v>180</v>
      </c>
      <c r="AR25" s="5" t="s">
        <v>196</v>
      </c>
      <c r="AU25" s="3" t="s">
        <v>189</v>
      </c>
      <c r="AV25">
        <v>365</v>
      </c>
      <c r="AW25">
        <v>365</v>
      </c>
    </row>
    <row r="26" spans="1:49" x14ac:dyDescent="0.2">
      <c r="A26" t="s">
        <v>201</v>
      </c>
      <c r="B26">
        <v>2015</v>
      </c>
      <c r="C26" t="s">
        <v>202</v>
      </c>
      <c r="D26" t="s">
        <v>49</v>
      </c>
      <c r="E26" t="s">
        <v>75</v>
      </c>
      <c r="F26" t="s">
        <v>51</v>
      </c>
      <c r="G26" t="s">
        <v>203</v>
      </c>
      <c r="H26" t="s">
        <v>53</v>
      </c>
      <c r="I26" t="s">
        <v>54</v>
      </c>
      <c r="J26" t="s">
        <v>92</v>
      </c>
      <c r="K26" t="s">
        <v>56</v>
      </c>
      <c r="L26" t="s">
        <v>58</v>
      </c>
      <c r="M26" t="s">
        <v>57</v>
      </c>
      <c r="N26" t="s">
        <v>57</v>
      </c>
      <c r="O26" t="s">
        <v>57</v>
      </c>
      <c r="P26" t="s">
        <v>58</v>
      </c>
      <c r="Q26" t="s">
        <v>57</v>
      </c>
      <c r="R26" t="s">
        <v>204</v>
      </c>
      <c r="T26" t="s">
        <v>205</v>
      </c>
      <c r="U26" t="s">
        <v>206</v>
      </c>
      <c r="X26" t="s">
        <v>207</v>
      </c>
      <c r="AB26" t="s">
        <v>208</v>
      </c>
      <c r="AH26" t="s">
        <v>209</v>
      </c>
      <c r="AJ26" s="3" t="s">
        <v>65</v>
      </c>
      <c r="AK26" s="3" t="s">
        <v>66</v>
      </c>
      <c r="AL26" s="3" t="s">
        <v>67</v>
      </c>
      <c r="AM26" s="4" t="s">
        <v>210</v>
      </c>
      <c r="AN26" s="4" t="s">
        <v>211</v>
      </c>
      <c r="AO26" s="4" t="s">
        <v>212</v>
      </c>
      <c r="AP26" s="5" t="s">
        <v>213</v>
      </c>
      <c r="AQ26" s="5" t="s">
        <v>211</v>
      </c>
      <c r="AR26" s="5" t="s">
        <v>214</v>
      </c>
      <c r="AU26" s="3" t="s">
        <v>680</v>
      </c>
      <c r="AV26">
        <v>98</v>
      </c>
      <c r="AW26">
        <v>98</v>
      </c>
    </row>
    <row r="27" spans="1:49" x14ac:dyDescent="0.2">
      <c r="A27" t="s">
        <v>201</v>
      </c>
      <c r="B27">
        <v>2015</v>
      </c>
      <c r="C27" t="s">
        <v>215</v>
      </c>
      <c r="D27" t="s">
        <v>49</v>
      </c>
      <c r="E27" t="s">
        <v>50</v>
      </c>
      <c r="F27" t="s">
        <v>51</v>
      </c>
      <c r="G27" t="s">
        <v>203</v>
      </c>
      <c r="H27" t="s">
        <v>53</v>
      </c>
      <c r="I27" t="s">
        <v>54</v>
      </c>
      <c r="J27" t="s">
        <v>92</v>
      </c>
      <c r="K27" t="s">
        <v>56</v>
      </c>
      <c r="L27" t="s">
        <v>58</v>
      </c>
      <c r="M27" t="s">
        <v>57</v>
      </c>
      <c r="N27" t="s">
        <v>57</v>
      </c>
      <c r="O27" t="s">
        <v>57</v>
      </c>
      <c r="P27" t="s">
        <v>58</v>
      </c>
      <c r="Q27" t="s">
        <v>57</v>
      </c>
      <c r="R27" t="s">
        <v>216</v>
      </c>
      <c r="T27" t="s">
        <v>217</v>
      </c>
      <c r="U27" t="s">
        <v>218</v>
      </c>
      <c r="X27" t="s">
        <v>219</v>
      </c>
      <c r="AB27" t="s">
        <v>220</v>
      </c>
      <c r="AH27" t="s">
        <v>209</v>
      </c>
      <c r="AJ27" s="3" t="s">
        <v>65</v>
      </c>
      <c r="AK27" s="3" t="s">
        <v>66</v>
      </c>
      <c r="AL27" s="3" t="s">
        <v>67</v>
      </c>
      <c r="AM27" s="4" t="s">
        <v>221</v>
      </c>
      <c r="AN27" s="4" t="s">
        <v>222</v>
      </c>
      <c r="AO27" s="4" t="s">
        <v>223</v>
      </c>
      <c r="AP27" s="5" t="s">
        <v>224</v>
      </c>
      <c r="AQ27" s="5" t="s">
        <v>222</v>
      </c>
      <c r="AR27" s="5" t="s">
        <v>225</v>
      </c>
      <c r="AU27" s="3" t="s">
        <v>680</v>
      </c>
      <c r="AV27">
        <v>98</v>
      </c>
      <c r="AW27">
        <v>98</v>
      </c>
    </row>
    <row r="28" spans="1:49" x14ac:dyDescent="0.2">
      <c r="A28" t="s">
        <v>226</v>
      </c>
      <c r="B28">
        <v>2017</v>
      </c>
      <c r="C28" t="s">
        <v>227</v>
      </c>
      <c r="D28" t="s">
        <v>105</v>
      </c>
      <c r="E28" t="s">
        <v>106</v>
      </c>
      <c r="F28" t="s">
        <v>175</v>
      </c>
      <c r="G28" t="s">
        <v>228</v>
      </c>
      <c r="H28" t="s">
        <v>91</v>
      </c>
      <c r="I28" t="s">
        <v>54</v>
      </c>
      <c r="J28" t="s">
        <v>121</v>
      </c>
      <c r="K28" t="s">
        <v>56</v>
      </c>
      <c r="L28" t="s">
        <v>58</v>
      </c>
      <c r="M28" t="s">
        <v>58</v>
      </c>
      <c r="N28" t="s">
        <v>93</v>
      </c>
      <c r="O28" t="s">
        <v>58</v>
      </c>
      <c r="P28" t="s">
        <v>58</v>
      </c>
      <c r="Q28" t="s">
        <v>58</v>
      </c>
      <c r="T28" t="s">
        <v>229</v>
      </c>
      <c r="U28" t="s">
        <v>230</v>
      </c>
      <c r="V28" t="s">
        <v>231</v>
      </c>
      <c r="X28" t="s">
        <v>232</v>
      </c>
      <c r="AB28" t="s">
        <v>233</v>
      </c>
      <c r="AH28" t="s">
        <v>64</v>
      </c>
      <c r="AJ28" s="3" t="s">
        <v>65</v>
      </c>
      <c r="AK28" s="3" t="s">
        <v>459</v>
      </c>
      <c r="AL28" s="3" t="s">
        <v>67</v>
      </c>
      <c r="AO28" s="4" t="s">
        <v>235</v>
      </c>
      <c r="AP28" s="5" t="s">
        <v>236</v>
      </c>
      <c r="AR28" s="5" t="s">
        <v>237</v>
      </c>
      <c r="AU28" s="3" t="s">
        <v>238</v>
      </c>
      <c r="AV28">
        <v>90</v>
      </c>
      <c r="AW28">
        <v>90</v>
      </c>
    </row>
    <row r="29" spans="1:49" x14ac:dyDescent="0.2">
      <c r="A29" t="s">
        <v>226</v>
      </c>
      <c r="B29">
        <v>2017</v>
      </c>
      <c r="C29" t="s">
        <v>239</v>
      </c>
      <c r="D29" t="s">
        <v>88</v>
      </c>
      <c r="E29" t="s">
        <v>88</v>
      </c>
      <c r="F29" t="s">
        <v>175</v>
      </c>
      <c r="G29" t="s">
        <v>228</v>
      </c>
      <c r="H29" t="s">
        <v>91</v>
      </c>
      <c r="I29" t="s">
        <v>54</v>
      </c>
      <c r="J29" t="s">
        <v>121</v>
      </c>
      <c r="K29" t="s">
        <v>56</v>
      </c>
      <c r="L29" t="s">
        <v>58</v>
      </c>
      <c r="M29" t="s">
        <v>58</v>
      </c>
      <c r="N29" t="s">
        <v>93</v>
      </c>
      <c r="O29" t="s">
        <v>58</v>
      </c>
      <c r="P29" t="s">
        <v>58</v>
      </c>
      <c r="Q29" t="s">
        <v>58</v>
      </c>
      <c r="T29" t="s">
        <v>240</v>
      </c>
      <c r="U29" t="s">
        <v>241</v>
      </c>
      <c r="V29" t="s">
        <v>242</v>
      </c>
      <c r="X29" t="s">
        <v>243</v>
      </c>
      <c r="AB29" t="s">
        <v>244</v>
      </c>
      <c r="AH29" t="s">
        <v>245</v>
      </c>
      <c r="AJ29" s="3" t="s">
        <v>65</v>
      </c>
      <c r="AK29" s="3" t="s">
        <v>459</v>
      </c>
      <c r="AL29" s="3" t="s">
        <v>67</v>
      </c>
      <c r="AO29" s="4" t="s">
        <v>246</v>
      </c>
      <c r="AP29" s="5" t="s">
        <v>247</v>
      </c>
      <c r="AR29" s="5" t="s">
        <v>248</v>
      </c>
      <c r="AU29" s="3" t="s">
        <v>238</v>
      </c>
      <c r="AV29">
        <v>90</v>
      </c>
      <c r="AW29">
        <v>90</v>
      </c>
    </row>
    <row r="30" spans="1:49" x14ac:dyDescent="0.2">
      <c r="A30" t="s">
        <v>226</v>
      </c>
      <c r="B30">
        <v>2017</v>
      </c>
      <c r="C30" t="s">
        <v>227</v>
      </c>
      <c r="D30" t="s">
        <v>105</v>
      </c>
      <c r="E30" t="s">
        <v>106</v>
      </c>
      <c r="F30" t="s">
        <v>175</v>
      </c>
      <c r="G30" t="s">
        <v>228</v>
      </c>
      <c r="H30" t="s">
        <v>91</v>
      </c>
      <c r="I30" t="s">
        <v>54</v>
      </c>
      <c r="J30" t="s">
        <v>121</v>
      </c>
      <c r="K30" t="s">
        <v>56</v>
      </c>
      <c r="L30" t="s">
        <v>58</v>
      </c>
      <c r="M30" t="s">
        <v>58</v>
      </c>
      <c r="N30" t="s">
        <v>93</v>
      </c>
      <c r="O30" t="s">
        <v>58</v>
      </c>
      <c r="P30" t="s">
        <v>58</v>
      </c>
      <c r="Q30" t="s">
        <v>58</v>
      </c>
      <c r="T30" t="s">
        <v>229</v>
      </c>
      <c r="U30" t="s">
        <v>230</v>
      </c>
      <c r="V30" t="s">
        <v>231</v>
      </c>
      <c r="X30" t="s">
        <v>232</v>
      </c>
      <c r="AB30" t="s">
        <v>233</v>
      </c>
      <c r="AH30" t="s">
        <v>64</v>
      </c>
      <c r="AJ30" s="3" t="s">
        <v>249</v>
      </c>
      <c r="AK30" s="3" t="s">
        <v>143</v>
      </c>
      <c r="AL30" s="3" t="s">
        <v>67</v>
      </c>
      <c r="AO30" s="4" t="s">
        <v>250</v>
      </c>
      <c r="AP30" s="5" t="s">
        <v>251</v>
      </c>
      <c r="AR30" s="5" t="s">
        <v>252</v>
      </c>
      <c r="AU30" s="3" t="s">
        <v>238</v>
      </c>
      <c r="AV30">
        <v>90</v>
      </c>
      <c r="AW30">
        <v>90</v>
      </c>
    </row>
    <row r="31" spans="1:49" x14ac:dyDescent="0.2">
      <c r="A31" t="s">
        <v>226</v>
      </c>
      <c r="B31">
        <v>2017</v>
      </c>
      <c r="C31" t="s">
        <v>239</v>
      </c>
      <c r="D31" t="s">
        <v>88</v>
      </c>
      <c r="E31" t="s">
        <v>88</v>
      </c>
      <c r="F31" t="s">
        <v>175</v>
      </c>
      <c r="G31" t="s">
        <v>228</v>
      </c>
      <c r="H31" t="s">
        <v>91</v>
      </c>
      <c r="I31" t="s">
        <v>54</v>
      </c>
      <c r="J31" t="s">
        <v>121</v>
      </c>
      <c r="K31" t="s">
        <v>56</v>
      </c>
      <c r="L31" t="s">
        <v>58</v>
      </c>
      <c r="M31" t="s">
        <v>58</v>
      </c>
      <c r="N31" t="s">
        <v>93</v>
      </c>
      <c r="O31" t="s">
        <v>58</v>
      </c>
      <c r="P31" t="s">
        <v>58</v>
      </c>
      <c r="Q31" t="s">
        <v>58</v>
      </c>
      <c r="T31" t="s">
        <v>240</v>
      </c>
      <c r="U31" t="s">
        <v>241</v>
      </c>
      <c r="V31" t="s">
        <v>242</v>
      </c>
      <c r="X31" t="s">
        <v>243</v>
      </c>
      <c r="AB31" t="s">
        <v>244</v>
      </c>
      <c r="AH31" t="s">
        <v>245</v>
      </c>
      <c r="AJ31" s="3" t="s">
        <v>249</v>
      </c>
      <c r="AK31" s="3" t="s">
        <v>143</v>
      </c>
      <c r="AL31" s="3" t="s">
        <v>67</v>
      </c>
      <c r="AO31" s="4" t="s">
        <v>253</v>
      </c>
      <c r="AP31" s="5" t="s">
        <v>254</v>
      </c>
      <c r="AR31" s="5" t="s">
        <v>255</v>
      </c>
      <c r="AU31" s="3" t="s">
        <v>238</v>
      </c>
      <c r="AV31">
        <v>90</v>
      </c>
      <c r="AW31">
        <v>90</v>
      </c>
    </row>
    <row r="32" spans="1:49" x14ac:dyDescent="0.2">
      <c r="A32" t="s">
        <v>256</v>
      </c>
      <c r="B32">
        <v>2017</v>
      </c>
      <c r="C32" t="s">
        <v>257</v>
      </c>
      <c r="D32" t="s">
        <v>49</v>
      </c>
      <c r="E32" t="s">
        <v>75</v>
      </c>
      <c r="F32" t="s">
        <v>258</v>
      </c>
      <c r="G32" t="s">
        <v>259</v>
      </c>
      <c r="H32" t="s">
        <v>91</v>
      </c>
      <c r="I32" t="s">
        <v>54</v>
      </c>
      <c r="J32" t="s">
        <v>260</v>
      </c>
      <c r="K32" t="s">
        <v>56</v>
      </c>
      <c r="L32" t="s">
        <v>58</v>
      </c>
      <c r="M32" t="s">
        <v>57</v>
      </c>
      <c r="N32" t="s">
        <v>57</v>
      </c>
      <c r="O32" t="s">
        <v>57</v>
      </c>
      <c r="P32" t="s">
        <v>58</v>
      </c>
      <c r="Q32" t="s">
        <v>57</v>
      </c>
      <c r="S32" t="s">
        <v>261</v>
      </c>
      <c r="T32" t="s">
        <v>262</v>
      </c>
      <c r="U32" t="s">
        <v>263</v>
      </c>
      <c r="X32" t="s">
        <v>264</v>
      </c>
      <c r="AB32" t="s">
        <v>265</v>
      </c>
      <c r="AH32" t="s">
        <v>64</v>
      </c>
      <c r="AJ32" s="3" t="s">
        <v>65</v>
      </c>
      <c r="AK32" s="3" t="s">
        <v>66</v>
      </c>
      <c r="AL32" s="3" t="s">
        <v>67</v>
      </c>
      <c r="AM32" s="4" t="s">
        <v>266</v>
      </c>
      <c r="AN32" s="4" t="s">
        <v>222</v>
      </c>
      <c r="AO32" s="4" t="s">
        <v>267</v>
      </c>
      <c r="AP32" s="5" t="s">
        <v>268</v>
      </c>
      <c r="AQ32" s="5" t="s">
        <v>222</v>
      </c>
      <c r="AR32" s="5" t="s">
        <v>269</v>
      </c>
      <c r="AU32" s="3" t="s">
        <v>270</v>
      </c>
      <c r="AV32">
        <v>49</v>
      </c>
      <c r="AW32">
        <v>49</v>
      </c>
    </row>
    <row r="33" spans="1:49" x14ac:dyDescent="0.2">
      <c r="A33" t="s">
        <v>256</v>
      </c>
      <c r="B33">
        <v>2017</v>
      </c>
      <c r="C33" t="s">
        <v>87</v>
      </c>
      <c r="D33" t="s">
        <v>88</v>
      </c>
      <c r="E33" t="s">
        <v>88</v>
      </c>
      <c r="F33" t="s">
        <v>258</v>
      </c>
      <c r="G33" t="s">
        <v>259</v>
      </c>
      <c r="H33" t="s">
        <v>91</v>
      </c>
      <c r="I33" t="s">
        <v>54</v>
      </c>
      <c r="J33" t="s">
        <v>260</v>
      </c>
      <c r="K33" t="s">
        <v>56</v>
      </c>
      <c r="L33" t="s">
        <v>58</v>
      </c>
      <c r="M33" t="s">
        <v>57</v>
      </c>
      <c r="N33" t="s">
        <v>57</v>
      </c>
      <c r="O33" t="s">
        <v>57</v>
      </c>
      <c r="P33" t="s">
        <v>58</v>
      </c>
      <c r="Q33" t="s">
        <v>57</v>
      </c>
      <c r="S33" t="s">
        <v>68</v>
      </c>
      <c r="T33" t="s">
        <v>271</v>
      </c>
      <c r="U33" t="s">
        <v>272</v>
      </c>
      <c r="X33" t="s">
        <v>87</v>
      </c>
      <c r="AB33" t="s">
        <v>273</v>
      </c>
      <c r="AH33" t="s">
        <v>273</v>
      </c>
      <c r="AJ33" s="3" t="s">
        <v>65</v>
      </c>
      <c r="AK33" s="3" t="s">
        <v>66</v>
      </c>
      <c r="AL33" s="3" t="s">
        <v>67</v>
      </c>
      <c r="AM33" s="4" t="s">
        <v>274</v>
      </c>
      <c r="AN33" s="4" t="s">
        <v>222</v>
      </c>
      <c r="AO33" s="4" t="s">
        <v>275</v>
      </c>
      <c r="AP33" s="5" t="s">
        <v>123</v>
      </c>
      <c r="AQ33" s="5" t="s">
        <v>222</v>
      </c>
      <c r="AR33" s="5" t="s">
        <v>276</v>
      </c>
      <c r="AU33" s="3" t="s">
        <v>270</v>
      </c>
      <c r="AV33">
        <v>49</v>
      </c>
      <c r="AW33">
        <v>49</v>
      </c>
    </row>
    <row r="34" spans="1:49" x14ac:dyDescent="0.2">
      <c r="A34" t="s">
        <v>277</v>
      </c>
      <c r="B34">
        <v>2017</v>
      </c>
      <c r="C34" t="s">
        <v>278</v>
      </c>
      <c r="D34" t="s">
        <v>49</v>
      </c>
      <c r="E34" t="s">
        <v>50</v>
      </c>
      <c r="F34" t="s">
        <v>279</v>
      </c>
      <c r="G34" t="s">
        <v>280</v>
      </c>
      <c r="H34" t="s">
        <v>53</v>
      </c>
      <c r="I34" t="s">
        <v>54</v>
      </c>
      <c r="J34" t="s">
        <v>260</v>
      </c>
      <c r="K34" t="s">
        <v>56</v>
      </c>
      <c r="L34" t="s">
        <v>58</v>
      </c>
      <c r="M34" t="s">
        <v>57</v>
      </c>
      <c r="N34" t="s">
        <v>57</v>
      </c>
      <c r="O34" t="s">
        <v>57</v>
      </c>
      <c r="P34" t="s">
        <v>57</v>
      </c>
      <c r="Q34" t="s">
        <v>57</v>
      </c>
      <c r="X34" t="s">
        <v>281</v>
      </c>
      <c r="AB34" t="s">
        <v>282</v>
      </c>
      <c r="AH34" t="s">
        <v>283</v>
      </c>
      <c r="AJ34" s="3" t="s">
        <v>65</v>
      </c>
      <c r="AK34" s="3" t="s">
        <v>677</v>
      </c>
      <c r="AL34" s="3" t="s">
        <v>284</v>
      </c>
      <c r="AM34" s="4" t="s">
        <v>285</v>
      </c>
      <c r="AO34" s="4" t="s">
        <v>286</v>
      </c>
      <c r="AP34" s="5" t="s">
        <v>287</v>
      </c>
      <c r="AR34" s="5" t="s">
        <v>288</v>
      </c>
      <c r="AU34" s="3" t="s">
        <v>681</v>
      </c>
      <c r="AV34">
        <v>35</v>
      </c>
      <c r="AW34">
        <v>35</v>
      </c>
    </row>
    <row r="35" spans="1:49" x14ac:dyDescent="0.2">
      <c r="A35" t="s">
        <v>277</v>
      </c>
      <c r="B35">
        <v>2017</v>
      </c>
      <c r="C35" t="s">
        <v>289</v>
      </c>
      <c r="D35" t="s">
        <v>88</v>
      </c>
      <c r="E35" t="s">
        <v>88</v>
      </c>
      <c r="F35" t="s">
        <v>279</v>
      </c>
      <c r="G35" t="s">
        <v>280</v>
      </c>
      <c r="H35" t="s">
        <v>53</v>
      </c>
      <c r="I35" t="s">
        <v>54</v>
      </c>
      <c r="J35" t="s">
        <v>260</v>
      </c>
      <c r="K35" t="s">
        <v>56</v>
      </c>
      <c r="L35" t="s">
        <v>58</v>
      </c>
      <c r="M35" t="s">
        <v>57</v>
      </c>
      <c r="N35" t="s">
        <v>57</v>
      </c>
      <c r="O35" t="s">
        <v>57</v>
      </c>
      <c r="P35" t="s">
        <v>57</v>
      </c>
      <c r="Q35" t="s">
        <v>57</v>
      </c>
      <c r="X35" t="s">
        <v>87</v>
      </c>
      <c r="AB35" t="s">
        <v>290</v>
      </c>
      <c r="AH35" t="s">
        <v>100</v>
      </c>
      <c r="AJ35" s="3" t="s">
        <v>65</v>
      </c>
      <c r="AK35" s="3" t="s">
        <v>677</v>
      </c>
      <c r="AL35" s="3" t="s">
        <v>284</v>
      </c>
      <c r="AM35" s="4" t="s">
        <v>291</v>
      </c>
      <c r="AO35" s="4" t="s">
        <v>292</v>
      </c>
      <c r="AP35" s="5" t="s">
        <v>293</v>
      </c>
      <c r="AR35" s="5" t="s">
        <v>294</v>
      </c>
      <c r="AU35" s="3" t="s">
        <v>681</v>
      </c>
      <c r="AV35">
        <v>35</v>
      </c>
      <c r="AW35">
        <v>35</v>
      </c>
    </row>
    <row r="36" spans="1:49" x14ac:dyDescent="0.2">
      <c r="A36" t="s">
        <v>277</v>
      </c>
      <c r="B36">
        <v>2017</v>
      </c>
      <c r="C36" t="s">
        <v>295</v>
      </c>
      <c r="D36" t="s">
        <v>49</v>
      </c>
      <c r="E36" t="s">
        <v>50</v>
      </c>
      <c r="F36" t="s">
        <v>279</v>
      </c>
      <c r="G36" t="s">
        <v>280</v>
      </c>
      <c r="H36" t="s">
        <v>53</v>
      </c>
      <c r="I36" t="s">
        <v>54</v>
      </c>
      <c r="J36" t="s">
        <v>260</v>
      </c>
      <c r="K36" t="s">
        <v>56</v>
      </c>
      <c r="L36" t="s">
        <v>58</v>
      </c>
      <c r="M36" t="s">
        <v>57</v>
      </c>
      <c r="N36" t="s">
        <v>57</v>
      </c>
      <c r="O36" t="s">
        <v>57</v>
      </c>
      <c r="P36" t="s">
        <v>57</v>
      </c>
      <c r="Q36" t="s">
        <v>57</v>
      </c>
      <c r="X36" t="s">
        <v>296</v>
      </c>
      <c r="AB36" t="s">
        <v>297</v>
      </c>
      <c r="AH36" t="s">
        <v>283</v>
      </c>
      <c r="AJ36" s="3" t="s">
        <v>65</v>
      </c>
      <c r="AK36" s="3" t="s">
        <v>677</v>
      </c>
      <c r="AL36" s="3" t="s">
        <v>284</v>
      </c>
      <c r="AM36" s="4" t="s">
        <v>298</v>
      </c>
      <c r="AO36" s="4" t="s">
        <v>299</v>
      </c>
      <c r="AP36" s="5" t="s">
        <v>300</v>
      </c>
      <c r="AR36" s="5" t="s">
        <v>301</v>
      </c>
      <c r="AU36" s="3" t="s">
        <v>681</v>
      </c>
      <c r="AV36">
        <v>35</v>
      </c>
      <c r="AW36">
        <v>35</v>
      </c>
    </row>
    <row r="37" spans="1:49" x14ac:dyDescent="0.2">
      <c r="A37" t="s">
        <v>277</v>
      </c>
      <c r="B37">
        <v>2017</v>
      </c>
      <c r="C37" t="s">
        <v>278</v>
      </c>
      <c r="D37" t="s">
        <v>49</v>
      </c>
      <c r="E37" t="s">
        <v>50</v>
      </c>
      <c r="F37" t="s">
        <v>279</v>
      </c>
      <c r="G37" t="s">
        <v>280</v>
      </c>
      <c r="H37" t="s">
        <v>53</v>
      </c>
      <c r="I37" t="s">
        <v>54</v>
      </c>
      <c r="J37" t="s">
        <v>260</v>
      </c>
      <c r="K37" t="s">
        <v>56</v>
      </c>
      <c r="L37" t="s">
        <v>58</v>
      </c>
      <c r="M37" t="s">
        <v>57</v>
      </c>
      <c r="N37" t="s">
        <v>57</v>
      </c>
      <c r="O37" t="s">
        <v>57</v>
      </c>
      <c r="P37" t="s">
        <v>57</v>
      </c>
      <c r="Q37" t="s">
        <v>57</v>
      </c>
      <c r="X37" t="s">
        <v>281</v>
      </c>
      <c r="AB37" t="s">
        <v>282</v>
      </c>
      <c r="AH37" t="s">
        <v>283</v>
      </c>
      <c r="AJ37" s="3" t="s">
        <v>65</v>
      </c>
      <c r="AK37" s="3" t="s">
        <v>677</v>
      </c>
      <c r="AL37" s="3" t="s">
        <v>302</v>
      </c>
      <c r="AM37" s="4" t="s">
        <v>285</v>
      </c>
      <c r="AO37" s="4" t="s">
        <v>286</v>
      </c>
      <c r="AP37" s="5" t="s">
        <v>287</v>
      </c>
      <c r="AR37" s="5" t="s">
        <v>288</v>
      </c>
      <c r="AU37" s="3" t="s">
        <v>681</v>
      </c>
      <c r="AV37">
        <v>35</v>
      </c>
      <c r="AW37">
        <v>35</v>
      </c>
    </row>
    <row r="38" spans="1:49" x14ac:dyDescent="0.2">
      <c r="A38" t="s">
        <v>277</v>
      </c>
      <c r="B38">
        <v>2017</v>
      </c>
      <c r="C38" t="s">
        <v>289</v>
      </c>
      <c r="D38" t="s">
        <v>88</v>
      </c>
      <c r="E38" t="s">
        <v>88</v>
      </c>
      <c r="F38" t="s">
        <v>279</v>
      </c>
      <c r="G38" t="s">
        <v>280</v>
      </c>
      <c r="H38" t="s">
        <v>53</v>
      </c>
      <c r="I38" t="s">
        <v>54</v>
      </c>
      <c r="J38" t="s">
        <v>260</v>
      </c>
      <c r="K38" t="s">
        <v>56</v>
      </c>
      <c r="L38" t="s">
        <v>58</v>
      </c>
      <c r="M38" t="s">
        <v>57</v>
      </c>
      <c r="N38" t="s">
        <v>57</v>
      </c>
      <c r="O38" t="s">
        <v>57</v>
      </c>
      <c r="P38" t="s">
        <v>57</v>
      </c>
      <c r="Q38" t="s">
        <v>57</v>
      </c>
      <c r="X38" t="s">
        <v>87</v>
      </c>
      <c r="AB38" t="s">
        <v>290</v>
      </c>
      <c r="AH38" t="s">
        <v>100</v>
      </c>
      <c r="AJ38" s="3" t="s">
        <v>65</v>
      </c>
      <c r="AK38" s="3" t="s">
        <v>677</v>
      </c>
      <c r="AL38" s="3" t="s">
        <v>302</v>
      </c>
      <c r="AM38" s="4" t="s">
        <v>291</v>
      </c>
      <c r="AO38" s="4" t="s">
        <v>292</v>
      </c>
      <c r="AP38" s="5" t="s">
        <v>293</v>
      </c>
      <c r="AR38" s="5" t="s">
        <v>294</v>
      </c>
      <c r="AU38" s="3" t="s">
        <v>681</v>
      </c>
      <c r="AV38">
        <v>35</v>
      </c>
      <c r="AW38">
        <v>35</v>
      </c>
    </row>
    <row r="39" spans="1:49" x14ac:dyDescent="0.2">
      <c r="A39" t="s">
        <v>277</v>
      </c>
      <c r="B39">
        <v>2017</v>
      </c>
      <c r="C39" t="s">
        <v>295</v>
      </c>
      <c r="D39" t="s">
        <v>49</v>
      </c>
      <c r="E39" t="s">
        <v>50</v>
      </c>
      <c r="F39" t="s">
        <v>279</v>
      </c>
      <c r="G39" t="s">
        <v>280</v>
      </c>
      <c r="H39" t="s">
        <v>53</v>
      </c>
      <c r="I39" t="s">
        <v>54</v>
      </c>
      <c r="J39" t="s">
        <v>260</v>
      </c>
      <c r="K39" t="s">
        <v>56</v>
      </c>
      <c r="L39" t="s">
        <v>58</v>
      </c>
      <c r="M39" t="s">
        <v>57</v>
      </c>
      <c r="N39" t="s">
        <v>57</v>
      </c>
      <c r="O39" t="s">
        <v>57</v>
      </c>
      <c r="P39" t="s">
        <v>57</v>
      </c>
      <c r="Q39" t="s">
        <v>57</v>
      </c>
      <c r="X39" t="s">
        <v>296</v>
      </c>
      <c r="AB39" t="s">
        <v>297</v>
      </c>
      <c r="AH39" t="s">
        <v>283</v>
      </c>
      <c r="AJ39" s="3" t="s">
        <v>65</v>
      </c>
      <c r="AK39" s="3" t="s">
        <v>677</v>
      </c>
      <c r="AL39" s="3" t="s">
        <v>302</v>
      </c>
      <c r="AM39" s="4" t="s">
        <v>298</v>
      </c>
      <c r="AO39" s="4" t="s">
        <v>299</v>
      </c>
      <c r="AP39" s="5" t="s">
        <v>300</v>
      </c>
      <c r="AR39" s="5" t="s">
        <v>301</v>
      </c>
      <c r="AU39" s="3" t="s">
        <v>681</v>
      </c>
      <c r="AV39">
        <v>35</v>
      </c>
      <c r="AW39">
        <v>35</v>
      </c>
    </row>
    <row r="40" spans="1:49" x14ac:dyDescent="0.2">
      <c r="A40" t="s">
        <v>303</v>
      </c>
      <c r="B40">
        <v>2014</v>
      </c>
      <c r="C40" t="s">
        <v>304</v>
      </c>
      <c r="D40" t="s">
        <v>88</v>
      </c>
      <c r="E40" t="s">
        <v>88</v>
      </c>
      <c r="F40" t="s">
        <v>279</v>
      </c>
      <c r="G40" t="s">
        <v>305</v>
      </c>
      <c r="H40" t="s">
        <v>53</v>
      </c>
      <c r="I40" t="s">
        <v>54</v>
      </c>
      <c r="J40" t="s">
        <v>260</v>
      </c>
      <c r="L40" t="s">
        <v>57</v>
      </c>
      <c r="M40" t="s">
        <v>57</v>
      </c>
      <c r="N40" t="s">
        <v>57</v>
      </c>
      <c r="O40" t="s">
        <v>57</v>
      </c>
      <c r="P40" t="s">
        <v>58</v>
      </c>
      <c r="Q40" t="s">
        <v>57</v>
      </c>
      <c r="U40" t="s">
        <v>306</v>
      </c>
      <c r="AJ40" s="3" t="s">
        <v>65</v>
      </c>
      <c r="AK40" s="3" t="s">
        <v>459</v>
      </c>
      <c r="AL40" s="3" t="s">
        <v>67</v>
      </c>
      <c r="AM40" s="4" t="s">
        <v>307</v>
      </c>
      <c r="AN40" s="4" t="s">
        <v>308</v>
      </c>
      <c r="AO40" s="4" t="s">
        <v>309</v>
      </c>
      <c r="AP40" s="5" t="s">
        <v>310</v>
      </c>
      <c r="AQ40" s="5" t="s">
        <v>308</v>
      </c>
      <c r="AR40" s="5" t="s">
        <v>311</v>
      </c>
      <c r="AU40" s="3" t="s">
        <v>681</v>
      </c>
      <c r="AV40">
        <v>35</v>
      </c>
      <c r="AW40">
        <v>35</v>
      </c>
    </row>
    <row r="41" spans="1:49" x14ac:dyDescent="0.2">
      <c r="A41" t="s">
        <v>303</v>
      </c>
      <c r="B41">
        <v>2014</v>
      </c>
      <c r="C41" t="s">
        <v>312</v>
      </c>
      <c r="D41" t="s">
        <v>49</v>
      </c>
      <c r="E41" t="s">
        <v>50</v>
      </c>
      <c r="F41" t="s">
        <v>279</v>
      </c>
      <c r="G41" t="s">
        <v>305</v>
      </c>
      <c r="H41" t="s">
        <v>53</v>
      </c>
      <c r="I41" t="s">
        <v>54</v>
      </c>
      <c r="J41" t="s">
        <v>260</v>
      </c>
      <c r="L41" t="s">
        <v>57</v>
      </c>
      <c r="M41" t="s">
        <v>57</v>
      </c>
      <c r="N41" t="s">
        <v>57</v>
      </c>
      <c r="O41" t="s">
        <v>57</v>
      </c>
      <c r="P41" t="s">
        <v>58</v>
      </c>
      <c r="Q41" t="s">
        <v>57</v>
      </c>
      <c r="U41" t="s">
        <v>306</v>
      </c>
      <c r="AJ41" s="3" t="s">
        <v>65</v>
      </c>
      <c r="AK41" s="3" t="s">
        <v>459</v>
      </c>
      <c r="AL41" s="3" t="s">
        <v>67</v>
      </c>
      <c r="AM41" s="4" t="s">
        <v>313</v>
      </c>
      <c r="AN41" s="4" t="s">
        <v>308</v>
      </c>
      <c r="AO41" s="4" t="s">
        <v>314</v>
      </c>
      <c r="AP41" s="5" t="s">
        <v>315</v>
      </c>
      <c r="AQ41" s="5" t="s">
        <v>308</v>
      </c>
      <c r="AR41" s="5" t="s">
        <v>316</v>
      </c>
      <c r="AU41" s="3" t="s">
        <v>681</v>
      </c>
      <c r="AV41">
        <v>35</v>
      </c>
      <c r="AW41">
        <v>35</v>
      </c>
    </row>
    <row r="42" spans="1:49" x14ac:dyDescent="0.2">
      <c r="A42" t="s">
        <v>303</v>
      </c>
      <c r="B42">
        <v>2014</v>
      </c>
      <c r="C42" t="s">
        <v>304</v>
      </c>
      <c r="D42" t="s">
        <v>88</v>
      </c>
      <c r="E42" t="s">
        <v>88</v>
      </c>
      <c r="F42" t="s">
        <v>279</v>
      </c>
      <c r="G42" t="s">
        <v>305</v>
      </c>
      <c r="H42" t="s">
        <v>53</v>
      </c>
      <c r="I42" t="s">
        <v>54</v>
      </c>
      <c r="J42" t="s">
        <v>260</v>
      </c>
      <c r="L42" t="s">
        <v>57</v>
      </c>
      <c r="M42" t="s">
        <v>57</v>
      </c>
      <c r="N42" t="s">
        <v>57</v>
      </c>
      <c r="O42" t="s">
        <v>57</v>
      </c>
      <c r="P42" t="s">
        <v>58</v>
      </c>
      <c r="Q42" t="s">
        <v>57</v>
      </c>
      <c r="U42" t="s">
        <v>306</v>
      </c>
      <c r="AJ42" s="3" t="s">
        <v>317</v>
      </c>
      <c r="AK42" s="3" t="s">
        <v>678</v>
      </c>
      <c r="AL42" s="3" t="s">
        <v>67</v>
      </c>
      <c r="AM42" s="4" t="s">
        <v>318</v>
      </c>
      <c r="AN42" s="4" t="s">
        <v>308</v>
      </c>
      <c r="AO42" s="4" t="s">
        <v>319</v>
      </c>
      <c r="AP42" s="5" t="s">
        <v>320</v>
      </c>
      <c r="AQ42" s="5" t="s">
        <v>308</v>
      </c>
      <c r="AR42" s="5" t="s">
        <v>321</v>
      </c>
      <c r="AU42" s="3" t="s">
        <v>681</v>
      </c>
      <c r="AV42">
        <v>35</v>
      </c>
      <c r="AW42">
        <v>35</v>
      </c>
    </row>
    <row r="43" spans="1:49" x14ac:dyDescent="0.2">
      <c r="A43" t="s">
        <v>303</v>
      </c>
      <c r="B43">
        <v>2014</v>
      </c>
      <c r="C43" t="s">
        <v>312</v>
      </c>
      <c r="D43" t="s">
        <v>49</v>
      </c>
      <c r="E43" t="s">
        <v>50</v>
      </c>
      <c r="F43" t="s">
        <v>279</v>
      </c>
      <c r="G43" t="s">
        <v>305</v>
      </c>
      <c r="H43" t="s">
        <v>53</v>
      </c>
      <c r="I43" t="s">
        <v>54</v>
      </c>
      <c r="J43" t="s">
        <v>260</v>
      </c>
      <c r="L43" t="s">
        <v>57</v>
      </c>
      <c r="M43" t="s">
        <v>57</v>
      </c>
      <c r="N43" t="s">
        <v>57</v>
      </c>
      <c r="O43" t="s">
        <v>57</v>
      </c>
      <c r="P43" t="s">
        <v>58</v>
      </c>
      <c r="Q43" t="s">
        <v>57</v>
      </c>
      <c r="U43" t="s">
        <v>306</v>
      </c>
      <c r="AJ43" s="3" t="s">
        <v>317</v>
      </c>
      <c r="AK43" s="3" t="s">
        <v>678</v>
      </c>
      <c r="AL43" s="3" t="s">
        <v>67</v>
      </c>
      <c r="AM43" s="4" t="s">
        <v>222</v>
      </c>
      <c r="AN43" s="4" t="s">
        <v>308</v>
      </c>
      <c r="AO43" s="4" t="s">
        <v>322</v>
      </c>
      <c r="AP43" s="5" t="s">
        <v>323</v>
      </c>
      <c r="AQ43" s="5" t="s">
        <v>308</v>
      </c>
      <c r="AR43" s="5" t="s">
        <v>324</v>
      </c>
      <c r="AU43" s="3" t="s">
        <v>681</v>
      </c>
      <c r="AV43">
        <v>35</v>
      </c>
      <c r="AW43">
        <v>35</v>
      </c>
    </row>
    <row r="44" spans="1:49" x14ac:dyDescent="0.2">
      <c r="A44" t="s">
        <v>303</v>
      </c>
      <c r="B44">
        <v>2014</v>
      </c>
      <c r="C44" t="s">
        <v>304</v>
      </c>
      <c r="D44" t="s">
        <v>88</v>
      </c>
      <c r="E44" t="s">
        <v>88</v>
      </c>
      <c r="F44" t="s">
        <v>279</v>
      </c>
      <c r="G44" t="s">
        <v>305</v>
      </c>
      <c r="H44" t="s">
        <v>53</v>
      </c>
      <c r="I44" t="s">
        <v>54</v>
      </c>
      <c r="J44" t="s">
        <v>260</v>
      </c>
      <c r="L44" t="s">
        <v>57</v>
      </c>
      <c r="M44" t="s">
        <v>57</v>
      </c>
      <c r="N44" t="s">
        <v>57</v>
      </c>
      <c r="O44" t="s">
        <v>57</v>
      </c>
      <c r="P44" t="s">
        <v>58</v>
      </c>
      <c r="Q44" t="s">
        <v>57</v>
      </c>
      <c r="U44" t="s">
        <v>306</v>
      </c>
      <c r="AJ44" s="3" t="s">
        <v>249</v>
      </c>
      <c r="AK44" s="3" t="s">
        <v>513</v>
      </c>
      <c r="AL44" s="3" t="s">
        <v>67</v>
      </c>
      <c r="AM44" s="4" t="s">
        <v>325</v>
      </c>
      <c r="AN44" s="4" t="s">
        <v>308</v>
      </c>
      <c r="AO44" s="4" t="s">
        <v>326</v>
      </c>
      <c r="AP44" s="5" t="s">
        <v>327</v>
      </c>
      <c r="AQ44" s="5" t="s">
        <v>308</v>
      </c>
      <c r="AR44" s="5" t="s">
        <v>223</v>
      </c>
      <c r="AU44" s="3" t="s">
        <v>681</v>
      </c>
      <c r="AV44">
        <v>35</v>
      </c>
      <c r="AW44">
        <v>35</v>
      </c>
    </row>
    <row r="45" spans="1:49" x14ac:dyDescent="0.2">
      <c r="A45" t="s">
        <v>303</v>
      </c>
      <c r="B45">
        <v>2014</v>
      </c>
      <c r="C45" t="s">
        <v>312</v>
      </c>
      <c r="D45" t="s">
        <v>49</v>
      </c>
      <c r="E45" t="s">
        <v>50</v>
      </c>
      <c r="F45" t="s">
        <v>279</v>
      </c>
      <c r="G45" t="s">
        <v>305</v>
      </c>
      <c r="H45" t="s">
        <v>53</v>
      </c>
      <c r="I45" t="s">
        <v>54</v>
      </c>
      <c r="J45" t="s">
        <v>260</v>
      </c>
      <c r="L45" t="s">
        <v>57</v>
      </c>
      <c r="M45" t="s">
        <v>57</v>
      </c>
      <c r="N45" t="s">
        <v>57</v>
      </c>
      <c r="O45" t="s">
        <v>57</v>
      </c>
      <c r="P45" t="s">
        <v>58</v>
      </c>
      <c r="Q45" t="s">
        <v>57</v>
      </c>
      <c r="U45" t="s">
        <v>306</v>
      </c>
      <c r="AJ45" s="3" t="s">
        <v>249</v>
      </c>
      <c r="AK45" s="3" t="s">
        <v>513</v>
      </c>
      <c r="AL45" s="3" t="s">
        <v>67</v>
      </c>
      <c r="AM45" s="4" t="s">
        <v>328</v>
      </c>
      <c r="AN45" s="4" t="s">
        <v>308</v>
      </c>
      <c r="AO45" s="4" t="s">
        <v>329</v>
      </c>
      <c r="AP45" s="5" t="s">
        <v>330</v>
      </c>
      <c r="AQ45" s="5" t="s">
        <v>308</v>
      </c>
      <c r="AR45" s="5" t="s">
        <v>331</v>
      </c>
      <c r="AU45" s="3" t="s">
        <v>681</v>
      </c>
      <c r="AV45">
        <v>35</v>
      </c>
      <c r="AW45">
        <v>35</v>
      </c>
    </row>
    <row r="46" spans="1:49" x14ac:dyDescent="0.2">
      <c r="A46" t="s">
        <v>332</v>
      </c>
      <c r="B46">
        <v>2018</v>
      </c>
      <c r="C46" t="s">
        <v>333</v>
      </c>
      <c r="D46" t="s">
        <v>49</v>
      </c>
      <c r="E46" t="s">
        <v>75</v>
      </c>
      <c r="F46" t="s">
        <v>334</v>
      </c>
      <c r="G46" t="s">
        <v>335</v>
      </c>
      <c r="H46" t="s">
        <v>91</v>
      </c>
      <c r="I46" t="s">
        <v>54</v>
      </c>
      <c r="J46" t="s">
        <v>92</v>
      </c>
      <c r="K46" t="s">
        <v>56</v>
      </c>
      <c r="L46" t="s">
        <v>58</v>
      </c>
      <c r="M46" t="s">
        <v>58</v>
      </c>
      <c r="N46" t="s">
        <v>93</v>
      </c>
      <c r="O46" t="s">
        <v>57</v>
      </c>
      <c r="P46" t="s">
        <v>58</v>
      </c>
      <c r="Q46" t="s">
        <v>57</v>
      </c>
      <c r="T46" t="s">
        <v>336</v>
      </c>
      <c r="U46" t="s">
        <v>337</v>
      </c>
      <c r="X46" t="s">
        <v>338</v>
      </c>
      <c r="AB46" t="s">
        <v>339</v>
      </c>
      <c r="AH46" t="s">
        <v>64</v>
      </c>
      <c r="AJ46" s="3" t="s">
        <v>676</v>
      </c>
      <c r="AK46" s="3" t="s">
        <v>675</v>
      </c>
      <c r="AL46" s="3" t="s">
        <v>67</v>
      </c>
      <c r="AM46" s="4" t="s">
        <v>340</v>
      </c>
      <c r="AN46" s="4" t="s">
        <v>341</v>
      </c>
      <c r="AO46" s="4" t="s">
        <v>342</v>
      </c>
      <c r="AP46" s="5" t="s">
        <v>343</v>
      </c>
      <c r="AQ46" s="5" t="s">
        <v>341</v>
      </c>
      <c r="AR46" s="5" t="s">
        <v>344</v>
      </c>
      <c r="AU46" s="3" t="s">
        <v>345</v>
      </c>
      <c r="AV46">
        <f>12*7</f>
        <v>84</v>
      </c>
      <c r="AW46">
        <v>35</v>
      </c>
    </row>
    <row r="47" spans="1:49" x14ac:dyDescent="0.2">
      <c r="A47" t="s">
        <v>332</v>
      </c>
      <c r="B47">
        <v>2018</v>
      </c>
      <c r="C47" t="s">
        <v>346</v>
      </c>
      <c r="D47" t="s">
        <v>88</v>
      </c>
      <c r="E47" t="s">
        <v>88</v>
      </c>
      <c r="F47" t="s">
        <v>334</v>
      </c>
      <c r="G47" t="s">
        <v>335</v>
      </c>
      <c r="H47" t="s">
        <v>91</v>
      </c>
      <c r="I47" t="s">
        <v>54</v>
      </c>
      <c r="J47" t="s">
        <v>92</v>
      </c>
      <c r="K47" t="s">
        <v>56</v>
      </c>
      <c r="L47" t="s">
        <v>58</v>
      </c>
      <c r="M47" t="s">
        <v>58</v>
      </c>
      <c r="N47" t="s">
        <v>93</v>
      </c>
      <c r="O47" t="s">
        <v>57</v>
      </c>
      <c r="P47" t="s">
        <v>58</v>
      </c>
      <c r="Q47" t="s">
        <v>57</v>
      </c>
      <c r="T47" t="s">
        <v>347</v>
      </c>
      <c r="U47" t="s">
        <v>348</v>
      </c>
      <c r="X47" t="s">
        <v>349</v>
      </c>
      <c r="AB47" t="s">
        <v>350</v>
      </c>
      <c r="AH47" t="s">
        <v>100</v>
      </c>
      <c r="AJ47" s="3" t="s">
        <v>676</v>
      </c>
      <c r="AK47" s="3" t="s">
        <v>675</v>
      </c>
      <c r="AL47" s="3" t="s">
        <v>67</v>
      </c>
      <c r="AM47" s="4" t="s">
        <v>351</v>
      </c>
      <c r="AN47" s="4" t="s">
        <v>341</v>
      </c>
      <c r="AO47" s="4" t="s">
        <v>352</v>
      </c>
      <c r="AP47" s="5" t="s">
        <v>353</v>
      </c>
      <c r="AQ47" s="5" t="s">
        <v>341</v>
      </c>
      <c r="AR47" s="5" t="s">
        <v>354</v>
      </c>
      <c r="AU47" s="3" t="s">
        <v>345</v>
      </c>
      <c r="AV47">
        <f>12*7</f>
        <v>84</v>
      </c>
      <c r="AW47">
        <v>35</v>
      </c>
    </row>
    <row r="48" spans="1:49" x14ac:dyDescent="0.2">
      <c r="A48" t="s">
        <v>332</v>
      </c>
      <c r="B48">
        <v>2018</v>
      </c>
      <c r="C48" t="s">
        <v>333</v>
      </c>
      <c r="D48" t="s">
        <v>49</v>
      </c>
      <c r="E48" t="s">
        <v>75</v>
      </c>
      <c r="F48" t="s">
        <v>334</v>
      </c>
      <c r="G48" t="s">
        <v>335</v>
      </c>
      <c r="H48" t="s">
        <v>91</v>
      </c>
      <c r="I48" t="s">
        <v>54</v>
      </c>
      <c r="J48" t="s">
        <v>92</v>
      </c>
      <c r="K48" t="s">
        <v>56</v>
      </c>
      <c r="L48" t="s">
        <v>58</v>
      </c>
      <c r="M48" t="s">
        <v>58</v>
      </c>
      <c r="N48" t="s">
        <v>93</v>
      </c>
      <c r="O48" t="s">
        <v>57</v>
      </c>
      <c r="P48" t="s">
        <v>58</v>
      </c>
      <c r="Q48" t="s">
        <v>57</v>
      </c>
      <c r="T48" t="s">
        <v>336</v>
      </c>
      <c r="U48" t="s">
        <v>337</v>
      </c>
      <c r="X48" t="s">
        <v>338</v>
      </c>
      <c r="AB48" t="s">
        <v>339</v>
      </c>
      <c r="AH48" t="s">
        <v>64</v>
      </c>
      <c r="AJ48" s="3" t="s">
        <v>360</v>
      </c>
      <c r="AL48" s="3" t="s">
        <v>67</v>
      </c>
      <c r="AM48" s="4" t="s">
        <v>361</v>
      </c>
      <c r="AN48" s="4" t="s">
        <v>341</v>
      </c>
      <c r="AO48" s="4" t="s">
        <v>362</v>
      </c>
      <c r="AP48" s="5" t="s">
        <v>369</v>
      </c>
      <c r="AQ48" s="5" t="s">
        <v>341</v>
      </c>
      <c r="AR48" s="5" t="s">
        <v>370</v>
      </c>
      <c r="AU48" s="3" t="s">
        <v>345</v>
      </c>
      <c r="AV48">
        <f>12*7</f>
        <v>84</v>
      </c>
      <c r="AW48">
        <v>35</v>
      </c>
    </row>
    <row r="49" spans="1:49" x14ac:dyDescent="0.2">
      <c r="A49" t="s">
        <v>332</v>
      </c>
      <c r="B49">
        <v>2018</v>
      </c>
      <c r="C49" t="s">
        <v>333</v>
      </c>
      <c r="D49" t="s">
        <v>49</v>
      </c>
      <c r="E49" t="s">
        <v>75</v>
      </c>
      <c r="F49" t="s">
        <v>334</v>
      </c>
      <c r="G49" t="s">
        <v>335</v>
      </c>
      <c r="H49" t="s">
        <v>91</v>
      </c>
      <c r="I49" t="s">
        <v>54</v>
      </c>
      <c r="J49" t="s">
        <v>92</v>
      </c>
      <c r="K49" t="s">
        <v>56</v>
      </c>
      <c r="L49" t="s">
        <v>58</v>
      </c>
      <c r="M49" t="s">
        <v>58</v>
      </c>
      <c r="N49" t="s">
        <v>93</v>
      </c>
      <c r="O49" t="s">
        <v>57</v>
      </c>
      <c r="P49" t="s">
        <v>58</v>
      </c>
      <c r="Q49" t="s">
        <v>57</v>
      </c>
      <c r="T49" t="s">
        <v>336</v>
      </c>
      <c r="U49" t="s">
        <v>337</v>
      </c>
      <c r="X49" t="s">
        <v>338</v>
      </c>
      <c r="AB49" t="s">
        <v>339</v>
      </c>
      <c r="AH49" t="s">
        <v>64</v>
      </c>
      <c r="AJ49" s="3" t="s">
        <v>360</v>
      </c>
      <c r="AL49" s="3" t="s">
        <v>67</v>
      </c>
      <c r="AM49" s="4" t="s">
        <v>365</v>
      </c>
      <c r="AN49" s="4" t="s">
        <v>341</v>
      </c>
      <c r="AO49" s="4" t="s">
        <v>366</v>
      </c>
      <c r="AP49" s="5" t="s">
        <v>371</v>
      </c>
      <c r="AQ49" s="5" t="s">
        <v>341</v>
      </c>
      <c r="AR49" s="5" t="s">
        <v>372</v>
      </c>
      <c r="AU49" s="3" t="s">
        <v>345</v>
      </c>
      <c r="AV49">
        <f>12*7</f>
        <v>84</v>
      </c>
      <c r="AW49">
        <v>35</v>
      </c>
    </row>
    <row r="50" spans="1:49" x14ac:dyDescent="0.2">
      <c r="A50" t="s">
        <v>332</v>
      </c>
      <c r="B50">
        <v>2018</v>
      </c>
      <c r="C50" t="s">
        <v>333</v>
      </c>
      <c r="D50" t="s">
        <v>49</v>
      </c>
      <c r="E50" t="s">
        <v>75</v>
      </c>
      <c r="F50" t="s">
        <v>334</v>
      </c>
      <c r="G50" t="s">
        <v>335</v>
      </c>
      <c r="H50" t="s">
        <v>91</v>
      </c>
      <c r="I50" t="s">
        <v>54</v>
      </c>
      <c r="J50" t="s">
        <v>92</v>
      </c>
      <c r="K50" t="s">
        <v>56</v>
      </c>
      <c r="L50" t="s">
        <v>58</v>
      </c>
      <c r="M50" t="s">
        <v>58</v>
      </c>
      <c r="N50" t="s">
        <v>93</v>
      </c>
      <c r="O50" t="s">
        <v>57</v>
      </c>
      <c r="P50" t="s">
        <v>58</v>
      </c>
      <c r="Q50" t="s">
        <v>57</v>
      </c>
      <c r="T50" t="s">
        <v>336</v>
      </c>
      <c r="U50" t="s">
        <v>337</v>
      </c>
      <c r="X50" t="s">
        <v>338</v>
      </c>
      <c r="AB50" t="s">
        <v>339</v>
      </c>
      <c r="AH50" t="s">
        <v>64</v>
      </c>
      <c r="AJ50" s="3" t="s">
        <v>676</v>
      </c>
      <c r="AK50" s="3" t="s">
        <v>675</v>
      </c>
      <c r="AL50" s="3" t="s">
        <v>67</v>
      </c>
      <c r="AM50" s="4" t="s">
        <v>340</v>
      </c>
      <c r="AN50" s="4" t="s">
        <v>341</v>
      </c>
      <c r="AO50" s="4" t="s">
        <v>342</v>
      </c>
      <c r="AP50" s="5" t="s">
        <v>340</v>
      </c>
      <c r="AQ50" s="5" t="s">
        <v>341</v>
      </c>
      <c r="AR50" s="5" t="s">
        <v>342</v>
      </c>
      <c r="AU50" s="3" t="s">
        <v>359</v>
      </c>
      <c r="AV50">
        <v>140</v>
      </c>
      <c r="AW50">
        <v>35</v>
      </c>
    </row>
    <row r="51" spans="1:49" x14ac:dyDescent="0.2">
      <c r="A51" t="s">
        <v>332</v>
      </c>
      <c r="B51">
        <v>2018</v>
      </c>
      <c r="C51" t="s">
        <v>346</v>
      </c>
      <c r="D51" t="s">
        <v>88</v>
      </c>
      <c r="E51" t="s">
        <v>88</v>
      </c>
      <c r="F51" t="s">
        <v>334</v>
      </c>
      <c r="G51" t="s">
        <v>335</v>
      </c>
      <c r="H51" t="s">
        <v>91</v>
      </c>
      <c r="I51" t="s">
        <v>54</v>
      </c>
      <c r="J51" t="s">
        <v>92</v>
      </c>
      <c r="K51" t="s">
        <v>56</v>
      </c>
      <c r="L51" t="s">
        <v>58</v>
      </c>
      <c r="M51" t="s">
        <v>58</v>
      </c>
      <c r="N51" t="s">
        <v>93</v>
      </c>
      <c r="O51" t="s">
        <v>57</v>
      </c>
      <c r="P51" t="s">
        <v>58</v>
      </c>
      <c r="Q51" t="s">
        <v>57</v>
      </c>
      <c r="T51" t="s">
        <v>347</v>
      </c>
      <c r="U51" t="s">
        <v>348</v>
      </c>
      <c r="X51" t="s">
        <v>349</v>
      </c>
      <c r="AB51" t="s">
        <v>350</v>
      </c>
      <c r="AH51" t="s">
        <v>100</v>
      </c>
      <c r="AJ51" s="3" t="s">
        <v>676</v>
      </c>
      <c r="AK51" s="3" t="s">
        <v>675</v>
      </c>
      <c r="AL51" s="3" t="s">
        <v>67</v>
      </c>
      <c r="AM51" s="4" t="s">
        <v>351</v>
      </c>
      <c r="AN51" s="4" t="s">
        <v>341</v>
      </c>
      <c r="AO51" s="4" t="s">
        <v>352</v>
      </c>
      <c r="AP51" s="5" t="s">
        <v>351</v>
      </c>
      <c r="AQ51" s="5" t="s">
        <v>341</v>
      </c>
      <c r="AR51" s="5" t="s">
        <v>352</v>
      </c>
      <c r="AU51" s="3" t="s">
        <v>359</v>
      </c>
      <c r="AV51">
        <v>140</v>
      </c>
      <c r="AW51">
        <v>35</v>
      </c>
    </row>
    <row r="52" spans="1:49" x14ac:dyDescent="0.2">
      <c r="A52" t="s">
        <v>332</v>
      </c>
      <c r="B52">
        <v>2018</v>
      </c>
      <c r="C52" t="s">
        <v>333</v>
      </c>
      <c r="D52" t="s">
        <v>49</v>
      </c>
      <c r="E52" t="s">
        <v>75</v>
      </c>
      <c r="F52" t="s">
        <v>334</v>
      </c>
      <c r="G52" t="s">
        <v>335</v>
      </c>
      <c r="H52" t="s">
        <v>91</v>
      </c>
      <c r="I52" t="s">
        <v>54</v>
      </c>
      <c r="J52" t="s">
        <v>92</v>
      </c>
      <c r="K52" t="s">
        <v>56</v>
      </c>
      <c r="L52" t="s">
        <v>58</v>
      </c>
      <c r="M52" t="s">
        <v>58</v>
      </c>
      <c r="N52" t="s">
        <v>93</v>
      </c>
      <c r="O52" t="s">
        <v>57</v>
      </c>
      <c r="P52" t="s">
        <v>58</v>
      </c>
      <c r="Q52" t="s">
        <v>57</v>
      </c>
      <c r="T52" t="s">
        <v>336</v>
      </c>
      <c r="U52" t="s">
        <v>337</v>
      </c>
      <c r="X52" t="s">
        <v>338</v>
      </c>
      <c r="AB52" t="s">
        <v>339</v>
      </c>
      <c r="AH52" t="s">
        <v>64</v>
      </c>
      <c r="AJ52" s="3" t="s">
        <v>360</v>
      </c>
      <c r="AL52" s="3" t="s">
        <v>67</v>
      </c>
      <c r="AM52" s="4" t="s">
        <v>361</v>
      </c>
      <c r="AN52" s="4" t="s">
        <v>341</v>
      </c>
      <c r="AO52" s="4" t="s">
        <v>362</v>
      </c>
      <c r="AP52" s="5" t="s">
        <v>373</v>
      </c>
      <c r="AQ52" s="5" t="s">
        <v>341</v>
      </c>
      <c r="AR52" s="5" t="s">
        <v>374</v>
      </c>
      <c r="AU52" s="3" t="s">
        <v>359</v>
      </c>
      <c r="AV52">
        <v>140</v>
      </c>
      <c r="AW52">
        <v>35</v>
      </c>
    </row>
    <row r="53" spans="1:49" x14ac:dyDescent="0.2">
      <c r="A53" t="s">
        <v>332</v>
      </c>
      <c r="B53">
        <v>2018</v>
      </c>
      <c r="C53" t="s">
        <v>333</v>
      </c>
      <c r="D53" t="s">
        <v>49</v>
      </c>
      <c r="E53" t="s">
        <v>75</v>
      </c>
      <c r="F53" t="s">
        <v>334</v>
      </c>
      <c r="G53" t="s">
        <v>335</v>
      </c>
      <c r="H53" t="s">
        <v>91</v>
      </c>
      <c r="I53" t="s">
        <v>54</v>
      </c>
      <c r="J53" t="s">
        <v>92</v>
      </c>
      <c r="K53" t="s">
        <v>56</v>
      </c>
      <c r="L53" t="s">
        <v>58</v>
      </c>
      <c r="M53" t="s">
        <v>58</v>
      </c>
      <c r="N53" t="s">
        <v>93</v>
      </c>
      <c r="O53" t="s">
        <v>57</v>
      </c>
      <c r="P53" t="s">
        <v>58</v>
      </c>
      <c r="Q53" t="s">
        <v>57</v>
      </c>
      <c r="T53" t="s">
        <v>336</v>
      </c>
      <c r="U53" t="s">
        <v>337</v>
      </c>
      <c r="X53" t="s">
        <v>338</v>
      </c>
      <c r="AB53" t="s">
        <v>339</v>
      </c>
      <c r="AH53" t="s">
        <v>64</v>
      </c>
      <c r="AJ53" s="3" t="s">
        <v>360</v>
      </c>
      <c r="AL53" s="3" t="s">
        <v>67</v>
      </c>
      <c r="AM53" s="4" t="s">
        <v>365</v>
      </c>
      <c r="AN53" s="4" t="s">
        <v>341</v>
      </c>
      <c r="AO53" s="4" t="s">
        <v>366</v>
      </c>
      <c r="AP53" s="5" t="s">
        <v>369</v>
      </c>
      <c r="AQ53" s="5" t="s">
        <v>341</v>
      </c>
      <c r="AR53" s="5" t="s">
        <v>375</v>
      </c>
      <c r="AU53" s="3" t="s">
        <v>359</v>
      </c>
      <c r="AV53">
        <v>140</v>
      </c>
      <c r="AW53">
        <v>35</v>
      </c>
    </row>
    <row r="54" spans="1:49" x14ac:dyDescent="0.2">
      <c r="A54" t="s">
        <v>332</v>
      </c>
      <c r="B54">
        <v>2018</v>
      </c>
      <c r="C54" t="s">
        <v>333</v>
      </c>
      <c r="D54" t="s">
        <v>49</v>
      </c>
      <c r="E54" t="s">
        <v>75</v>
      </c>
      <c r="F54" t="s">
        <v>334</v>
      </c>
      <c r="G54" t="s">
        <v>335</v>
      </c>
      <c r="H54" t="s">
        <v>91</v>
      </c>
      <c r="I54" t="s">
        <v>54</v>
      </c>
      <c r="J54" t="s">
        <v>92</v>
      </c>
      <c r="K54" t="s">
        <v>56</v>
      </c>
      <c r="L54" t="s">
        <v>58</v>
      </c>
      <c r="M54" t="s">
        <v>58</v>
      </c>
      <c r="N54" t="s">
        <v>93</v>
      </c>
      <c r="O54" t="s">
        <v>57</v>
      </c>
      <c r="P54" t="s">
        <v>58</v>
      </c>
      <c r="Q54" t="s">
        <v>57</v>
      </c>
      <c r="T54" t="s">
        <v>336</v>
      </c>
      <c r="U54" t="s">
        <v>337</v>
      </c>
      <c r="X54" t="s">
        <v>338</v>
      </c>
      <c r="AB54" t="s">
        <v>339</v>
      </c>
      <c r="AH54" t="s">
        <v>64</v>
      </c>
      <c r="AJ54" s="3" t="s">
        <v>676</v>
      </c>
      <c r="AK54" s="3" t="s">
        <v>675</v>
      </c>
      <c r="AL54" s="3" t="s">
        <v>67</v>
      </c>
      <c r="AM54" s="4" t="s">
        <v>340</v>
      </c>
      <c r="AN54" s="4" t="s">
        <v>341</v>
      </c>
      <c r="AO54" s="4" t="s">
        <v>342</v>
      </c>
      <c r="AP54" s="5" t="s">
        <v>355</v>
      </c>
      <c r="AQ54" s="5" t="s">
        <v>341</v>
      </c>
      <c r="AR54" s="5" t="s">
        <v>356</v>
      </c>
      <c r="AU54" s="3" t="s">
        <v>73</v>
      </c>
      <c r="AV54">
        <v>56</v>
      </c>
      <c r="AW54">
        <v>35</v>
      </c>
    </row>
    <row r="55" spans="1:49" x14ac:dyDescent="0.2">
      <c r="A55" t="s">
        <v>332</v>
      </c>
      <c r="B55">
        <v>2018</v>
      </c>
      <c r="C55" t="s">
        <v>346</v>
      </c>
      <c r="D55" t="s">
        <v>88</v>
      </c>
      <c r="E55" t="s">
        <v>88</v>
      </c>
      <c r="F55" t="s">
        <v>334</v>
      </c>
      <c r="G55" t="s">
        <v>335</v>
      </c>
      <c r="H55" t="s">
        <v>91</v>
      </c>
      <c r="I55" t="s">
        <v>54</v>
      </c>
      <c r="J55" t="s">
        <v>92</v>
      </c>
      <c r="K55" t="s">
        <v>56</v>
      </c>
      <c r="L55" t="s">
        <v>58</v>
      </c>
      <c r="M55" t="s">
        <v>58</v>
      </c>
      <c r="N55" t="s">
        <v>93</v>
      </c>
      <c r="O55" t="s">
        <v>57</v>
      </c>
      <c r="P55" t="s">
        <v>58</v>
      </c>
      <c r="Q55" t="s">
        <v>57</v>
      </c>
      <c r="T55" t="s">
        <v>347</v>
      </c>
      <c r="U55" t="s">
        <v>348</v>
      </c>
      <c r="X55" t="s">
        <v>349</v>
      </c>
      <c r="AB55" t="s">
        <v>350</v>
      </c>
      <c r="AH55" t="s">
        <v>100</v>
      </c>
      <c r="AJ55" s="3" t="s">
        <v>676</v>
      </c>
      <c r="AK55" s="3" t="s">
        <v>675</v>
      </c>
      <c r="AL55" s="3" t="s">
        <v>67</v>
      </c>
      <c r="AM55" s="4" t="s">
        <v>351</v>
      </c>
      <c r="AN55" s="4" t="s">
        <v>341</v>
      </c>
      <c r="AO55" s="4" t="s">
        <v>352</v>
      </c>
      <c r="AP55" s="5" t="s">
        <v>357</v>
      </c>
      <c r="AQ55" s="5" t="s">
        <v>341</v>
      </c>
      <c r="AR55" s="5" t="s">
        <v>358</v>
      </c>
      <c r="AU55" s="3" t="s">
        <v>73</v>
      </c>
      <c r="AV55">
        <v>56</v>
      </c>
      <c r="AW55">
        <v>35</v>
      </c>
    </row>
    <row r="56" spans="1:49" x14ac:dyDescent="0.2">
      <c r="A56" t="s">
        <v>332</v>
      </c>
      <c r="B56">
        <v>2018</v>
      </c>
      <c r="C56" t="s">
        <v>333</v>
      </c>
      <c r="D56" t="s">
        <v>49</v>
      </c>
      <c r="E56" t="s">
        <v>75</v>
      </c>
      <c r="F56" t="s">
        <v>334</v>
      </c>
      <c r="G56" t="s">
        <v>335</v>
      </c>
      <c r="H56" t="s">
        <v>91</v>
      </c>
      <c r="I56" t="s">
        <v>54</v>
      </c>
      <c r="J56" t="s">
        <v>92</v>
      </c>
      <c r="K56" t="s">
        <v>56</v>
      </c>
      <c r="L56" t="s">
        <v>58</v>
      </c>
      <c r="M56" t="s">
        <v>58</v>
      </c>
      <c r="N56" t="s">
        <v>93</v>
      </c>
      <c r="O56" t="s">
        <v>57</v>
      </c>
      <c r="P56" t="s">
        <v>58</v>
      </c>
      <c r="Q56" t="s">
        <v>57</v>
      </c>
      <c r="T56" t="s">
        <v>336</v>
      </c>
      <c r="U56" t="s">
        <v>337</v>
      </c>
      <c r="X56" t="s">
        <v>338</v>
      </c>
      <c r="AB56" t="s">
        <v>339</v>
      </c>
      <c r="AH56" t="s">
        <v>64</v>
      </c>
      <c r="AJ56" s="3" t="s">
        <v>360</v>
      </c>
      <c r="AL56" s="3" t="s">
        <v>67</v>
      </c>
      <c r="AM56" s="4" t="s">
        <v>361</v>
      </c>
      <c r="AN56" s="4" t="s">
        <v>341</v>
      </c>
      <c r="AO56" s="4" t="s">
        <v>362</v>
      </c>
      <c r="AP56" s="5" t="s">
        <v>363</v>
      </c>
      <c r="AQ56" s="5" t="s">
        <v>341</v>
      </c>
      <c r="AR56" s="5" t="s">
        <v>364</v>
      </c>
      <c r="AU56" s="3" t="s">
        <v>73</v>
      </c>
      <c r="AV56">
        <v>56</v>
      </c>
      <c r="AW56">
        <v>35</v>
      </c>
    </row>
    <row r="57" spans="1:49" x14ac:dyDescent="0.2">
      <c r="A57" t="s">
        <v>332</v>
      </c>
      <c r="B57">
        <v>2018</v>
      </c>
      <c r="C57" t="s">
        <v>333</v>
      </c>
      <c r="D57" t="s">
        <v>49</v>
      </c>
      <c r="E57" t="s">
        <v>75</v>
      </c>
      <c r="F57" t="s">
        <v>334</v>
      </c>
      <c r="G57" t="s">
        <v>335</v>
      </c>
      <c r="H57" t="s">
        <v>91</v>
      </c>
      <c r="I57" t="s">
        <v>54</v>
      </c>
      <c r="J57" t="s">
        <v>92</v>
      </c>
      <c r="K57" t="s">
        <v>56</v>
      </c>
      <c r="L57" t="s">
        <v>58</v>
      </c>
      <c r="M57" t="s">
        <v>58</v>
      </c>
      <c r="N57" t="s">
        <v>93</v>
      </c>
      <c r="O57" t="s">
        <v>57</v>
      </c>
      <c r="P57" t="s">
        <v>58</v>
      </c>
      <c r="Q57" t="s">
        <v>57</v>
      </c>
      <c r="T57" t="s">
        <v>336</v>
      </c>
      <c r="U57" t="s">
        <v>337</v>
      </c>
      <c r="X57" t="s">
        <v>338</v>
      </c>
      <c r="AB57" t="s">
        <v>339</v>
      </c>
      <c r="AH57" t="s">
        <v>64</v>
      </c>
      <c r="AJ57" s="3" t="s">
        <v>360</v>
      </c>
      <c r="AL57" s="3" t="s">
        <v>67</v>
      </c>
      <c r="AM57" s="4" t="s">
        <v>365</v>
      </c>
      <c r="AN57" s="4" t="s">
        <v>341</v>
      </c>
      <c r="AO57" s="4" t="s">
        <v>366</v>
      </c>
      <c r="AP57" s="5" t="s">
        <v>367</v>
      </c>
      <c r="AQ57" s="5" t="s">
        <v>341</v>
      </c>
      <c r="AR57" s="5" t="s">
        <v>368</v>
      </c>
      <c r="AU57" s="3" t="s">
        <v>73</v>
      </c>
      <c r="AV57">
        <v>56</v>
      </c>
      <c r="AW57">
        <v>35</v>
      </c>
    </row>
    <row r="58" spans="1:49" x14ac:dyDescent="0.2">
      <c r="A58" t="s">
        <v>376</v>
      </c>
      <c r="B58">
        <v>2010</v>
      </c>
      <c r="C58" t="s">
        <v>87</v>
      </c>
      <c r="D58" t="s">
        <v>88</v>
      </c>
      <c r="E58" t="s">
        <v>88</v>
      </c>
      <c r="F58" t="s">
        <v>279</v>
      </c>
      <c r="G58" t="s">
        <v>377</v>
      </c>
      <c r="H58" t="s">
        <v>91</v>
      </c>
      <c r="I58" t="s">
        <v>54</v>
      </c>
      <c r="J58" t="s">
        <v>260</v>
      </c>
      <c r="K58" t="s">
        <v>56</v>
      </c>
      <c r="L58" t="s">
        <v>58</v>
      </c>
      <c r="M58" t="s">
        <v>57</v>
      </c>
      <c r="N58" t="s">
        <v>57</v>
      </c>
      <c r="O58" t="s">
        <v>57</v>
      </c>
      <c r="P58" t="s">
        <v>58</v>
      </c>
      <c r="Q58" t="s">
        <v>57</v>
      </c>
      <c r="R58" t="s">
        <v>378</v>
      </c>
      <c r="S58" t="s">
        <v>379</v>
      </c>
      <c r="T58" t="s">
        <v>380</v>
      </c>
      <c r="U58" t="s">
        <v>381</v>
      </c>
      <c r="X58" t="s">
        <v>87</v>
      </c>
      <c r="AB58" t="s">
        <v>382</v>
      </c>
      <c r="AH58" t="s">
        <v>100</v>
      </c>
      <c r="AJ58" s="3" t="s">
        <v>65</v>
      </c>
      <c r="AK58" s="3" t="s">
        <v>66</v>
      </c>
      <c r="AL58" s="3" t="s">
        <v>67</v>
      </c>
      <c r="AM58" s="4" t="s">
        <v>383</v>
      </c>
      <c r="AN58" s="4" t="s">
        <v>384</v>
      </c>
      <c r="AO58" s="4" t="s">
        <v>385</v>
      </c>
      <c r="AP58" s="5" t="s">
        <v>400</v>
      </c>
      <c r="AQ58" s="5" t="s">
        <v>384</v>
      </c>
      <c r="AR58" s="5" t="s">
        <v>401</v>
      </c>
      <c r="AU58" s="3" t="s">
        <v>402</v>
      </c>
      <c r="AV58">
        <v>65</v>
      </c>
      <c r="AW58">
        <v>35</v>
      </c>
    </row>
    <row r="59" spans="1:49" x14ac:dyDescent="0.2">
      <c r="A59" t="s">
        <v>376</v>
      </c>
      <c r="B59">
        <v>2010</v>
      </c>
      <c r="C59" t="s">
        <v>388</v>
      </c>
      <c r="D59" t="s">
        <v>49</v>
      </c>
      <c r="E59" t="s">
        <v>75</v>
      </c>
      <c r="F59" t="s">
        <v>279</v>
      </c>
      <c r="G59" t="s">
        <v>377</v>
      </c>
      <c r="H59" t="s">
        <v>91</v>
      </c>
      <c r="I59" t="s">
        <v>54</v>
      </c>
      <c r="J59" t="s">
        <v>260</v>
      </c>
      <c r="K59" t="s">
        <v>56</v>
      </c>
      <c r="L59" t="s">
        <v>58</v>
      </c>
      <c r="M59" t="s">
        <v>57</v>
      </c>
      <c r="N59" t="s">
        <v>57</v>
      </c>
      <c r="O59" t="s">
        <v>57</v>
      </c>
      <c r="P59" t="s">
        <v>58</v>
      </c>
      <c r="Q59" t="s">
        <v>57</v>
      </c>
      <c r="R59" t="s">
        <v>389</v>
      </c>
      <c r="S59" t="s">
        <v>390</v>
      </c>
      <c r="T59" t="s">
        <v>391</v>
      </c>
      <c r="U59" t="s">
        <v>392</v>
      </c>
      <c r="X59" t="s">
        <v>393</v>
      </c>
      <c r="AB59" t="s">
        <v>394</v>
      </c>
      <c r="AH59" t="s">
        <v>395</v>
      </c>
      <c r="AJ59" s="3" t="s">
        <v>65</v>
      </c>
      <c r="AK59" s="3" t="s">
        <v>66</v>
      </c>
      <c r="AL59" s="3" t="s">
        <v>67</v>
      </c>
      <c r="AM59" s="4" t="s">
        <v>396</v>
      </c>
      <c r="AN59" s="4" t="s">
        <v>384</v>
      </c>
      <c r="AO59" s="4" t="s">
        <v>397</v>
      </c>
      <c r="AP59" s="5" t="s">
        <v>403</v>
      </c>
      <c r="AQ59" s="5" t="s">
        <v>384</v>
      </c>
      <c r="AR59" s="5" t="s">
        <v>404</v>
      </c>
      <c r="AU59" s="3" t="s">
        <v>402</v>
      </c>
      <c r="AV59">
        <v>65</v>
      </c>
      <c r="AW59">
        <v>35</v>
      </c>
    </row>
    <row r="60" spans="1:49" x14ac:dyDescent="0.2">
      <c r="A60" t="s">
        <v>376</v>
      </c>
      <c r="B60">
        <v>2010</v>
      </c>
      <c r="C60" t="s">
        <v>87</v>
      </c>
      <c r="D60" t="s">
        <v>88</v>
      </c>
      <c r="E60" t="s">
        <v>88</v>
      </c>
      <c r="F60" t="s">
        <v>279</v>
      </c>
      <c r="G60" t="s">
        <v>377</v>
      </c>
      <c r="H60" t="s">
        <v>91</v>
      </c>
      <c r="I60" t="s">
        <v>54</v>
      </c>
      <c r="J60" t="s">
        <v>260</v>
      </c>
      <c r="K60" t="s">
        <v>56</v>
      </c>
      <c r="L60" t="s">
        <v>58</v>
      </c>
      <c r="M60" t="s">
        <v>57</v>
      </c>
      <c r="N60" t="s">
        <v>57</v>
      </c>
      <c r="O60" t="s">
        <v>57</v>
      </c>
      <c r="P60" t="s">
        <v>58</v>
      </c>
      <c r="Q60" t="s">
        <v>57</v>
      </c>
      <c r="R60" t="s">
        <v>378</v>
      </c>
      <c r="S60" t="s">
        <v>379</v>
      </c>
      <c r="T60" t="s">
        <v>380</v>
      </c>
      <c r="U60" t="s">
        <v>381</v>
      </c>
      <c r="X60" t="s">
        <v>87</v>
      </c>
      <c r="AB60" t="s">
        <v>382</v>
      </c>
      <c r="AH60" t="s">
        <v>100</v>
      </c>
      <c r="AJ60" s="3" t="s">
        <v>65</v>
      </c>
      <c r="AK60" s="3" t="s">
        <v>66</v>
      </c>
      <c r="AL60" s="3" t="s">
        <v>67</v>
      </c>
      <c r="AM60" s="4" t="s">
        <v>383</v>
      </c>
      <c r="AN60" s="4" t="s">
        <v>384</v>
      </c>
      <c r="AO60" s="4" t="s">
        <v>385</v>
      </c>
      <c r="AP60" s="5" t="s">
        <v>386</v>
      </c>
      <c r="AQ60" s="5" t="s">
        <v>384</v>
      </c>
      <c r="AR60" s="5" t="s">
        <v>387</v>
      </c>
      <c r="AU60" s="3" t="s">
        <v>683</v>
      </c>
      <c r="AV60">
        <v>35</v>
      </c>
      <c r="AW60">
        <v>35</v>
      </c>
    </row>
    <row r="61" spans="1:49" x14ac:dyDescent="0.2">
      <c r="A61" t="s">
        <v>376</v>
      </c>
      <c r="B61">
        <v>2010</v>
      </c>
      <c r="C61" t="s">
        <v>388</v>
      </c>
      <c r="D61" t="s">
        <v>49</v>
      </c>
      <c r="E61" t="s">
        <v>75</v>
      </c>
      <c r="F61" t="s">
        <v>279</v>
      </c>
      <c r="G61" t="s">
        <v>377</v>
      </c>
      <c r="H61" t="s">
        <v>91</v>
      </c>
      <c r="I61" t="s">
        <v>54</v>
      </c>
      <c r="J61" t="s">
        <v>260</v>
      </c>
      <c r="K61" t="s">
        <v>56</v>
      </c>
      <c r="L61" t="s">
        <v>58</v>
      </c>
      <c r="M61" t="s">
        <v>57</v>
      </c>
      <c r="N61" t="s">
        <v>57</v>
      </c>
      <c r="O61" t="s">
        <v>57</v>
      </c>
      <c r="P61" t="s">
        <v>58</v>
      </c>
      <c r="Q61" t="s">
        <v>57</v>
      </c>
      <c r="R61" t="s">
        <v>389</v>
      </c>
      <c r="S61" t="s">
        <v>390</v>
      </c>
      <c r="T61" t="s">
        <v>391</v>
      </c>
      <c r="U61" t="s">
        <v>392</v>
      </c>
      <c r="X61" t="s">
        <v>393</v>
      </c>
      <c r="AB61" t="s">
        <v>394</v>
      </c>
      <c r="AH61" t="s">
        <v>395</v>
      </c>
      <c r="AJ61" s="3" t="s">
        <v>65</v>
      </c>
      <c r="AK61" s="3" t="s">
        <v>66</v>
      </c>
      <c r="AL61" s="3" t="s">
        <v>67</v>
      </c>
      <c r="AM61" s="4" t="s">
        <v>396</v>
      </c>
      <c r="AN61" s="4" t="s">
        <v>384</v>
      </c>
      <c r="AO61" s="4" t="s">
        <v>397</v>
      </c>
      <c r="AP61" s="5" t="s">
        <v>398</v>
      </c>
      <c r="AQ61" s="5" t="s">
        <v>384</v>
      </c>
      <c r="AR61" s="5" t="s">
        <v>399</v>
      </c>
      <c r="AU61" s="3" t="s">
        <v>683</v>
      </c>
      <c r="AV61">
        <v>35</v>
      </c>
      <c r="AW61">
        <v>35</v>
      </c>
    </row>
    <row r="62" spans="1:49" x14ac:dyDescent="0.2">
      <c r="A62" t="s">
        <v>405</v>
      </c>
      <c r="B62">
        <v>2017</v>
      </c>
      <c r="C62" t="s">
        <v>87</v>
      </c>
      <c r="D62" t="s">
        <v>88</v>
      </c>
      <c r="E62" t="s">
        <v>88</v>
      </c>
      <c r="F62" t="s">
        <v>279</v>
      </c>
      <c r="G62" t="s">
        <v>406</v>
      </c>
      <c r="H62" t="s">
        <v>53</v>
      </c>
      <c r="I62" t="s">
        <v>54</v>
      </c>
      <c r="J62" t="s">
        <v>260</v>
      </c>
      <c r="K62" t="s">
        <v>56</v>
      </c>
      <c r="L62" t="s">
        <v>58</v>
      </c>
      <c r="M62" t="s">
        <v>57</v>
      </c>
      <c r="N62" t="s">
        <v>57</v>
      </c>
      <c r="O62" t="s">
        <v>57</v>
      </c>
      <c r="P62" t="s">
        <v>58</v>
      </c>
      <c r="Q62" t="s">
        <v>57</v>
      </c>
      <c r="T62" t="s">
        <v>407</v>
      </c>
      <c r="U62" t="s">
        <v>408</v>
      </c>
      <c r="V62" t="s">
        <v>409</v>
      </c>
      <c r="X62" t="s">
        <v>87</v>
      </c>
      <c r="AB62" t="s">
        <v>410</v>
      </c>
      <c r="AH62" t="s">
        <v>100</v>
      </c>
      <c r="AJ62" s="3" t="s">
        <v>411</v>
      </c>
      <c r="AL62" s="3" t="s">
        <v>67</v>
      </c>
      <c r="AM62" s="4" t="s">
        <v>412</v>
      </c>
      <c r="AN62" s="4" t="s">
        <v>413</v>
      </c>
      <c r="AO62" s="4" t="s">
        <v>414</v>
      </c>
      <c r="AP62" s="5" t="s">
        <v>415</v>
      </c>
      <c r="AQ62" s="5" t="s">
        <v>413</v>
      </c>
      <c r="AR62" s="5" t="s">
        <v>416</v>
      </c>
      <c r="AU62" s="3" t="s">
        <v>684</v>
      </c>
      <c r="AV62">
        <v>56</v>
      </c>
      <c r="AW62">
        <v>35</v>
      </c>
    </row>
    <row r="63" spans="1:49" x14ac:dyDescent="0.2">
      <c r="A63" t="s">
        <v>405</v>
      </c>
      <c r="B63">
        <v>2017</v>
      </c>
      <c r="C63" t="s">
        <v>417</v>
      </c>
      <c r="D63" t="s">
        <v>49</v>
      </c>
      <c r="E63" t="s">
        <v>75</v>
      </c>
      <c r="F63" t="s">
        <v>279</v>
      </c>
      <c r="G63" t="s">
        <v>406</v>
      </c>
      <c r="H63" t="s">
        <v>53</v>
      </c>
      <c r="I63" t="s">
        <v>54</v>
      </c>
      <c r="J63" t="s">
        <v>260</v>
      </c>
      <c r="K63" t="s">
        <v>56</v>
      </c>
      <c r="L63" t="s">
        <v>58</v>
      </c>
      <c r="M63" t="s">
        <v>57</v>
      </c>
      <c r="N63" t="s">
        <v>57</v>
      </c>
      <c r="O63" t="s">
        <v>57</v>
      </c>
      <c r="P63" t="s">
        <v>58</v>
      </c>
      <c r="Q63" t="s">
        <v>57</v>
      </c>
      <c r="T63" t="s">
        <v>418</v>
      </c>
      <c r="U63" t="s">
        <v>419</v>
      </c>
      <c r="V63" t="s">
        <v>420</v>
      </c>
      <c r="X63" t="s">
        <v>421</v>
      </c>
      <c r="AB63" t="s">
        <v>422</v>
      </c>
      <c r="AH63" t="s">
        <v>64</v>
      </c>
      <c r="AJ63" s="3" t="s">
        <v>411</v>
      </c>
      <c r="AL63" s="3" t="s">
        <v>67</v>
      </c>
      <c r="AM63" s="4" t="s">
        <v>423</v>
      </c>
      <c r="AN63" s="4" t="s">
        <v>102</v>
      </c>
      <c r="AO63" s="4" t="s">
        <v>424</v>
      </c>
      <c r="AP63" s="5" t="s">
        <v>425</v>
      </c>
      <c r="AQ63" s="5" t="s">
        <v>102</v>
      </c>
      <c r="AR63" s="5" t="s">
        <v>426</v>
      </c>
      <c r="AU63" s="3" t="s">
        <v>684</v>
      </c>
      <c r="AV63">
        <v>56</v>
      </c>
      <c r="AW63">
        <v>35</v>
      </c>
    </row>
    <row r="64" spans="1:49" x14ac:dyDescent="0.2">
      <c r="A64" t="s">
        <v>427</v>
      </c>
      <c r="B64">
        <v>2017</v>
      </c>
      <c r="C64" t="s">
        <v>428</v>
      </c>
      <c r="D64" t="s">
        <v>88</v>
      </c>
      <c r="E64" t="s">
        <v>88</v>
      </c>
      <c r="F64" t="s">
        <v>429</v>
      </c>
      <c r="G64" t="s">
        <v>430</v>
      </c>
      <c r="H64" t="s">
        <v>91</v>
      </c>
      <c r="I64" t="s">
        <v>54</v>
      </c>
      <c r="J64" t="s">
        <v>260</v>
      </c>
      <c r="K64" t="s">
        <v>56</v>
      </c>
      <c r="L64" t="s">
        <v>93</v>
      </c>
      <c r="M64" t="s">
        <v>57</v>
      </c>
      <c r="N64" t="s">
        <v>57</v>
      </c>
      <c r="O64" t="s">
        <v>57</v>
      </c>
      <c r="P64" t="s">
        <v>58</v>
      </c>
      <c r="Q64" t="s">
        <v>57</v>
      </c>
      <c r="T64" t="s">
        <v>431</v>
      </c>
      <c r="U64" t="s">
        <v>432</v>
      </c>
      <c r="X64" t="s">
        <v>88</v>
      </c>
      <c r="AB64" t="s">
        <v>88</v>
      </c>
      <c r="AH64" t="s">
        <v>100</v>
      </c>
      <c r="AJ64" s="3" t="s">
        <v>65</v>
      </c>
      <c r="AK64" s="3" t="s">
        <v>66</v>
      </c>
      <c r="AL64" s="3" t="s">
        <v>67</v>
      </c>
      <c r="AM64" s="4" t="s">
        <v>433</v>
      </c>
      <c r="AN64" s="4" t="s">
        <v>434</v>
      </c>
      <c r="AO64" s="4" t="s">
        <v>435</v>
      </c>
      <c r="AP64" s="5" t="s">
        <v>436</v>
      </c>
      <c r="AQ64" s="5" t="s">
        <v>434</v>
      </c>
      <c r="AR64" s="5" t="s">
        <v>437</v>
      </c>
      <c r="AU64" s="3" t="s">
        <v>438</v>
      </c>
      <c r="AV64">
        <f>56+90</f>
        <v>146</v>
      </c>
      <c r="AW64">
        <v>56</v>
      </c>
    </row>
    <row r="65" spans="1:49" x14ac:dyDescent="0.2">
      <c r="A65" t="s">
        <v>427</v>
      </c>
      <c r="B65">
        <v>2017</v>
      </c>
      <c r="C65" t="s">
        <v>439</v>
      </c>
      <c r="D65" t="s">
        <v>49</v>
      </c>
      <c r="E65" t="s">
        <v>50</v>
      </c>
      <c r="F65" t="s">
        <v>429</v>
      </c>
      <c r="G65" t="s">
        <v>430</v>
      </c>
      <c r="H65" t="s">
        <v>91</v>
      </c>
      <c r="I65" t="s">
        <v>54</v>
      </c>
      <c r="J65" t="s">
        <v>260</v>
      </c>
      <c r="K65" t="s">
        <v>56</v>
      </c>
      <c r="L65" t="s">
        <v>93</v>
      </c>
      <c r="M65" t="s">
        <v>57</v>
      </c>
      <c r="N65" t="s">
        <v>57</v>
      </c>
      <c r="O65" t="s">
        <v>57</v>
      </c>
      <c r="P65" t="s">
        <v>58</v>
      </c>
      <c r="Q65" t="s">
        <v>57</v>
      </c>
      <c r="T65" t="s">
        <v>440</v>
      </c>
      <c r="U65" t="s">
        <v>441</v>
      </c>
      <c r="X65" t="s">
        <v>442</v>
      </c>
      <c r="AB65" t="s">
        <v>443</v>
      </c>
      <c r="AH65" t="s">
        <v>64</v>
      </c>
      <c r="AJ65" s="3" t="s">
        <v>65</v>
      </c>
      <c r="AK65" s="3" t="s">
        <v>66</v>
      </c>
      <c r="AL65" s="3" t="s">
        <v>67</v>
      </c>
      <c r="AM65" s="4" t="s">
        <v>444</v>
      </c>
      <c r="AN65" s="4" t="s">
        <v>445</v>
      </c>
      <c r="AO65" s="4" t="s">
        <v>212</v>
      </c>
      <c r="AP65" s="5">
        <v>-17.399999999999999</v>
      </c>
      <c r="AQ65" s="5" t="s">
        <v>445</v>
      </c>
      <c r="AR65" s="5">
        <v>8.3800000000000008</v>
      </c>
      <c r="AU65" s="3" t="s">
        <v>438</v>
      </c>
      <c r="AV65">
        <f>56+90</f>
        <v>146</v>
      </c>
      <c r="AW65">
        <v>56</v>
      </c>
    </row>
    <row r="66" spans="1:49" x14ac:dyDescent="0.2">
      <c r="A66" t="s">
        <v>427</v>
      </c>
      <c r="B66">
        <v>2017</v>
      </c>
      <c r="C66" t="s">
        <v>428</v>
      </c>
      <c r="D66" t="s">
        <v>88</v>
      </c>
      <c r="E66" t="s">
        <v>88</v>
      </c>
      <c r="F66" t="s">
        <v>429</v>
      </c>
      <c r="G66" t="s">
        <v>430</v>
      </c>
      <c r="H66" t="s">
        <v>91</v>
      </c>
      <c r="I66" t="s">
        <v>54</v>
      </c>
      <c r="J66" t="s">
        <v>260</v>
      </c>
      <c r="K66" t="s">
        <v>56</v>
      </c>
      <c r="L66" t="s">
        <v>93</v>
      </c>
      <c r="M66" t="s">
        <v>57</v>
      </c>
      <c r="N66" t="s">
        <v>57</v>
      </c>
      <c r="O66" t="s">
        <v>57</v>
      </c>
      <c r="P66" t="s">
        <v>58</v>
      </c>
      <c r="Q66" t="s">
        <v>57</v>
      </c>
      <c r="T66" t="s">
        <v>431</v>
      </c>
      <c r="U66" t="s">
        <v>432</v>
      </c>
      <c r="X66" t="s">
        <v>88</v>
      </c>
      <c r="AB66" t="s">
        <v>88</v>
      </c>
      <c r="AH66" t="s">
        <v>100</v>
      </c>
      <c r="AJ66" s="3" t="s">
        <v>65</v>
      </c>
      <c r="AK66" s="3" t="s">
        <v>66</v>
      </c>
      <c r="AL66" s="3" t="s">
        <v>67</v>
      </c>
      <c r="AM66" s="4" t="s">
        <v>433</v>
      </c>
      <c r="AN66" s="4" t="s">
        <v>434</v>
      </c>
      <c r="AO66" s="4" t="s">
        <v>435</v>
      </c>
      <c r="AP66" s="5" t="s">
        <v>446</v>
      </c>
      <c r="AQ66" s="5" t="s">
        <v>434</v>
      </c>
      <c r="AR66" s="5" t="s">
        <v>154</v>
      </c>
      <c r="AU66" s="3" t="s">
        <v>682</v>
      </c>
      <c r="AV66">
        <v>56</v>
      </c>
      <c r="AW66">
        <v>56</v>
      </c>
    </row>
    <row r="67" spans="1:49" x14ac:dyDescent="0.2">
      <c r="A67" t="s">
        <v>427</v>
      </c>
      <c r="B67">
        <v>2017</v>
      </c>
      <c r="C67" t="s">
        <v>439</v>
      </c>
      <c r="D67" t="s">
        <v>49</v>
      </c>
      <c r="E67" t="s">
        <v>50</v>
      </c>
      <c r="F67" t="s">
        <v>429</v>
      </c>
      <c r="G67" t="s">
        <v>430</v>
      </c>
      <c r="H67" t="s">
        <v>91</v>
      </c>
      <c r="I67" t="s">
        <v>54</v>
      </c>
      <c r="J67" t="s">
        <v>260</v>
      </c>
      <c r="K67" t="s">
        <v>56</v>
      </c>
      <c r="L67" t="s">
        <v>93</v>
      </c>
      <c r="M67" t="s">
        <v>57</v>
      </c>
      <c r="N67" t="s">
        <v>57</v>
      </c>
      <c r="O67" t="s">
        <v>57</v>
      </c>
      <c r="P67" t="s">
        <v>58</v>
      </c>
      <c r="Q67" t="s">
        <v>57</v>
      </c>
      <c r="T67" t="s">
        <v>440</v>
      </c>
      <c r="U67" t="s">
        <v>441</v>
      </c>
      <c r="X67" t="s">
        <v>442</v>
      </c>
      <c r="AB67" t="s">
        <v>443</v>
      </c>
      <c r="AH67" t="s">
        <v>64</v>
      </c>
      <c r="AJ67" s="3" t="s">
        <v>65</v>
      </c>
      <c r="AK67" s="3" t="s">
        <v>66</v>
      </c>
      <c r="AL67" s="3" t="s">
        <v>67</v>
      </c>
      <c r="AM67" s="4" t="s">
        <v>444</v>
      </c>
      <c r="AN67" s="4" t="s">
        <v>445</v>
      </c>
      <c r="AO67" s="4" t="s">
        <v>212</v>
      </c>
      <c r="AP67" s="5" t="s">
        <v>447</v>
      </c>
      <c r="AQ67" s="5" t="s">
        <v>445</v>
      </c>
      <c r="AR67" s="5" t="s">
        <v>448</v>
      </c>
      <c r="AU67" s="3" t="s">
        <v>682</v>
      </c>
      <c r="AV67">
        <v>56</v>
      </c>
      <c r="AW67">
        <v>56</v>
      </c>
    </row>
    <row r="68" spans="1:49" x14ac:dyDescent="0.2">
      <c r="A68" t="s">
        <v>449</v>
      </c>
      <c r="B68">
        <v>2016</v>
      </c>
      <c r="C68" t="s">
        <v>450</v>
      </c>
      <c r="D68" t="s">
        <v>49</v>
      </c>
      <c r="E68" t="s">
        <v>75</v>
      </c>
      <c r="F68" t="s">
        <v>258</v>
      </c>
      <c r="G68" t="s">
        <v>451</v>
      </c>
      <c r="H68" t="s">
        <v>53</v>
      </c>
      <c r="I68" t="s">
        <v>54</v>
      </c>
      <c r="J68" t="s">
        <v>452</v>
      </c>
      <c r="K68" t="s">
        <v>56</v>
      </c>
      <c r="L68" t="s">
        <v>58</v>
      </c>
      <c r="M68" t="s">
        <v>58</v>
      </c>
      <c r="N68" t="s">
        <v>58</v>
      </c>
      <c r="O68" t="s">
        <v>57</v>
      </c>
      <c r="P68" t="s">
        <v>58</v>
      </c>
      <c r="Q68" t="s">
        <v>57</v>
      </c>
      <c r="R68" t="s">
        <v>453</v>
      </c>
      <c r="S68" t="s">
        <v>454</v>
      </c>
      <c r="T68" t="s">
        <v>455</v>
      </c>
      <c r="U68" t="s">
        <v>456</v>
      </c>
      <c r="X68" t="s">
        <v>457</v>
      </c>
      <c r="AB68" t="s">
        <v>458</v>
      </c>
      <c r="AH68" t="s">
        <v>209</v>
      </c>
      <c r="AJ68" s="3" t="s">
        <v>65</v>
      </c>
      <c r="AK68" s="3" t="s">
        <v>459</v>
      </c>
      <c r="AL68" s="3" t="s">
        <v>67</v>
      </c>
      <c r="AM68" s="4" t="s">
        <v>460</v>
      </c>
      <c r="AN68" s="4" t="s">
        <v>461</v>
      </c>
      <c r="AO68" s="4" t="s">
        <v>462</v>
      </c>
      <c r="AP68" s="5" t="s">
        <v>463</v>
      </c>
      <c r="AQ68" s="5" t="s">
        <v>461</v>
      </c>
      <c r="AR68" s="5" t="s">
        <v>464</v>
      </c>
      <c r="AU68" s="3" t="s">
        <v>465</v>
      </c>
      <c r="AV68">
        <v>180</v>
      </c>
      <c r="AW68">
        <v>90</v>
      </c>
    </row>
    <row r="69" spans="1:49" x14ac:dyDescent="0.2">
      <c r="A69" t="s">
        <v>449</v>
      </c>
      <c r="B69">
        <v>2016</v>
      </c>
      <c r="C69" t="s">
        <v>466</v>
      </c>
      <c r="D69" t="s">
        <v>88</v>
      </c>
      <c r="E69" t="s">
        <v>88</v>
      </c>
      <c r="F69" t="s">
        <v>258</v>
      </c>
      <c r="G69" t="s">
        <v>451</v>
      </c>
      <c r="H69" t="s">
        <v>53</v>
      </c>
      <c r="I69" t="s">
        <v>54</v>
      </c>
      <c r="J69" t="s">
        <v>452</v>
      </c>
      <c r="K69" t="s">
        <v>56</v>
      </c>
      <c r="L69" t="s">
        <v>58</v>
      </c>
      <c r="M69" t="s">
        <v>58</v>
      </c>
      <c r="N69" t="s">
        <v>58</v>
      </c>
      <c r="O69" t="s">
        <v>57</v>
      </c>
      <c r="P69" t="s">
        <v>58</v>
      </c>
      <c r="Q69" t="s">
        <v>57</v>
      </c>
      <c r="R69" t="s">
        <v>467</v>
      </c>
      <c r="S69" t="s">
        <v>468</v>
      </c>
      <c r="T69" t="s">
        <v>469</v>
      </c>
      <c r="U69" t="s">
        <v>470</v>
      </c>
      <c r="X69" t="s">
        <v>471</v>
      </c>
      <c r="AB69" t="s">
        <v>472</v>
      </c>
      <c r="AH69" t="s">
        <v>100</v>
      </c>
      <c r="AJ69" s="3" t="s">
        <v>65</v>
      </c>
      <c r="AK69" s="3" t="s">
        <v>459</v>
      </c>
      <c r="AL69" s="3" t="s">
        <v>67</v>
      </c>
      <c r="AM69" s="4" t="s">
        <v>473</v>
      </c>
      <c r="AN69" s="4" t="s">
        <v>461</v>
      </c>
      <c r="AO69" s="4" t="s">
        <v>474</v>
      </c>
      <c r="AP69" s="5" t="s">
        <v>475</v>
      </c>
      <c r="AQ69" s="5" t="s">
        <v>461</v>
      </c>
      <c r="AR69" s="5" t="s">
        <v>476</v>
      </c>
      <c r="AU69" s="3" t="s">
        <v>465</v>
      </c>
      <c r="AV69">
        <v>180</v>
      </c>
      <c r="AW69">
        <v>90</v>
      </c>
    </row>
    <row r="70" spans="1:49" x14ac:dyDescent="0.2">
      <c r="A70" t="s">
        <v>449</v>
      </c>
      <c r="B70">
        <v>2016</v>
      </c>
      <c r="C70" t="s">
        <v>450</v>
      </c>
      <c r="D70" t="s">
        <v>49</v>
      </c>
      <c r="E70" t="s">
        <v>75</v>
      </c>
      <c r="F70" t="s">
        <v>258</v>
      </c>
      <c r="G70" t="s">
        <v>451</v>
      </c>
      <c r="H70" t="s">
        <v>53</v>
      </c>
      <c r="I70" t="s">
        <v>54</v>
      </c>
      <c r="J70" t="s">
        <v>452</v>
      </c>
      <c r="K70" t="s">
        <v>56</v>
      </c>
      <c r="L70" t="s">
        <v>58</v>
      </c>
      <c r="M70" t="s">
        <v>58</v>
      </c>
      <c r="N70" t="s">
        <v>58</v>
      </c>
      <c r="O70" t="s">
        <v>57</v>
      </c>
      <c r="P70" t="s">
        <v>58</v>
      </c>
      <c r="Q70" t="s">
        <v>57</v>
      </c>
      <c r="R70" t="s">
        <v>453</v>
      </c>
      <c r="S70" t="s">
        <v>454</v>
      </c>
      <c r="T70" t="s">
        <v>455</v>
      </c>
      <c r="U70" t="s">
        <v>456</v>
      </c>
      <c r="X70" t="s">
        <v>457</v>
      </c>
      <c r="AB70" t="s">
        <v>458</v>
      </c>
      <c r="AH70" t="s">
        <v>209</v>
      </c>
      <c r="AJ70" s="3" t="s">
        <v>477</v>
      </c>
      <c r="AK70" s="3" t="s">
        <v>143</v>
      </c>
      <c r="AL70" s="3" t="s">
        <v>67</v>
      </c>
      <c r="AM70" s="4" t="s">
        <v>478</v>
      </c>
      <c r="AN70" s="4" t="s">
        <v>461</v>
      </c>
      <c r="AO70" s="4" t="s">
        <v>479</v>
      </c>
      <c r="AP70" s="5" t="s">
        <v>480</v>
      </c>
      <c r="AQ70" s="5" t="s">
        <v>461</v>
      </c>
      <c r="AR70" s="5" t="s">
        <v>481</v>
      </c>
      <c r="AU70" s="3" t="s">
        <v>465</v>
      </c>
      <c r="AV70">
        <v>180</v>
      </c>
      <c r="AW70">
        <v>90</v>
      </c>
    </row>
    <row r="71" spans="1:49" x14ac:dyDescent="0.2">
      <c r="A71" t="s">
        <v>449</v>
      </c>
      <c r="B71">
        <v>2016</v>
      </c>
      <c r="C71" t="s">
        <v>466</v>
      </c>
      <c r="D71" t="s">
        <v>88</v>
      </c>
      <c r="E71" t="s">
        <v>88</v>
      </c>
      <c r="F71" t="s">
        <v>258</v>
      </c>
      <c r="G71" t="s">
        <v>451</v>
      </c>
      <c r="H71" t="s">
        <v>53</v>
      </c>
      <c r="I71" t="s">
        <v>54</v>
      </c>
      <c r="J71" t="s">
        <v>452</v>
      </c>
      <c r="K71" t="s">
        <v>56</v>
      </c>
      <c r="L71" t="s">
        <v>58</v>
      </c>
      <c r="M71" t="s">
        <v>58</v>
      </c>
      <c r="N71" t="s">
        <v>58</v>
      </c>
      <c r="O71" t="s">
        <v>57</v>
      </c>
      <c r="P71" t="s">
        <v>58</v>
      </c>
      <c r="Q71" t="s">
        <v>57</v>
      </c>
      <c r="R71" t="s">
        <v>467</v>
      </c>
      <c r="S71" t="s">
        <v>468</v>
      </c>
      <c r="T71" t="s">
        <v>469</v>
      </c>
      <c r="U71" t="s">
        <v>470</v>
      </c>
      <c r="X71" t="s">
        <v>471</v>
      </c>
      <c r="AB71" t="s">
        <v>472</v>
      </c>
      <c r="AH71" t="s">
        <v>100</v>
      </c>
      <c r="AJ71" s="3" t="s">
        <v>477</v>
      </c>
      <c r="AK71" s="3" t="s">
        <v>143</v>
      </c>
      <c r="AL71" s="3" t="s">
        <v>67</v>
      </c>
      <c r="AM71" s="4" t="s">
        <v>482</v>
      </c>
      <c r="AN71" s="4" t="s">
        <v>461</v>
      </c>
      <c r="AO71" s="4" t="s">
        <v>483</v>
      </c>
      <c r="AP71" s="5" t="s">
        <v>484</v>
      </c>
      <c r="AQ71" s="5" t="s">
        <v>461</v>
      </c>
      <c r="AR71" s="5" t="s">
        <v>485</v>
      </c>
      <c r="AU71" s="3" t="s">
        <v>465</v>
      </c>
      <c r="AV71">
        <v>180</v>
      </c>
      <c r="AW71">
        <v>90</v>
      </c>
    </row>
    <row r="72" spans="1:49" x14ac:dyDescent="0.2">
      <c r="A72" t="s">
        <v>486</v>
      </c>
      <c r="B72">
        <v>2012</v>
      </c>
      <c r="C72" t="s">
        <v>487</v>
      </c>
      <c r="D72" t="s">
        <v>191</v>
      </c>
      <c r="E72" t="s">
        <v>192</v>
      </c>
      <c r="F72" t="s">
        <v>175</v>
      </c>
      <c r="G72" t="s">
        <v>176</v>
      </c>
      <c r="H72" t="s">
        <v>53</v>
      </c>
      <c r="I72" t="s">
        <v>54</v>
      </c>
      <c r="J72" t="s">
        <v>260</v>
      </c>
      <c r="K72" t="s">
        <v>488</v>
      </c>
      <c r="L72" t="s">
        <v>58</v>
      </c>
      <c r="M72" t="s">
        <v>58</v>
      </c>
      <c r="N72" t="s">
        <v>93</v>
      </c>
      <c r="O72" t="s">
        <v>57</v>
      </c>
      <c r="P72" t="s">
        <v>58</v>
      </c>
      <c r="Q72" t="s">
        <v>57</v>
      </c>
      <c r="R72" t="s">
        <v>491</v>
      </c>
      <c r="S72" t="s">
        <v>433</v>
      </c>
      <c r="AA72" t="s">
        <v>492</v>
      </c>
      <c r="AC72" t="s">
        <v>493</v>
      </c>
      <c r="AH72" t="s">
        <v>494</v>
      </c>
      <c r="AJ72" s="3" t="s">
        <v>188</v>
      </c>
      <c r="AK72" s="3" t="s">
        <v>178</v>
      </c>
      <c r="AL72" s="3" t="s">
        <v>67</v>
      </c>
      <c r="AM72" s="4" t="s">
        <v>489</v>
      </c>
      <c r="AN72" s="4" t="s">
        <v>222</v>
      </c>
      <c r="AO72" s="4" t="s">
        <v>490</v>
      </c>
      <c r="AP72" s="5" t="s">
        <v>495</v>
      </c>
      <c r="AQ72" s="5" t="s">
        <v>222</v>
      </c>
      <c r="AR72" s="5" t="s">
        <v>496</v>
      </c>
      <c r="AU72" s="3" t="s">
        <v>685</v>
      </c>
      <c r="AV72">
        <v>194</v>
      </c>
      <c r="AW72">
        <v>14</v>
      </c>
    </row>
    <row r="73" spans="1:49" x14ac:dyDescent="0.2">
      <c r="A73" t="s">
        <v>486</v>
      </c>
      <c r="B73">
        <v>2012</v>
      </c>
      <c r="C73" t="s">
        <v>87</v>
      </c>
      <c r="D73" t="s">
        <v>88</v>
      </c>
      <c r="E73" t="s">
        <v>88</v>
      </c>
      <c r="F73" t="s">
        <v>175</v>
      </c>
      <c r="G73" t="s">
        <v>176</v>
      </c>
      <c r="H73" t="s">
        <v>53</v>
      </c>
      <c r="I73" t="s">
        <v>54</v>
      </c>
      <c r="J73" t="s">
        <v>260</v>
      </c>
      <c r="K73" t="s">
        <v>488</v>
      </c>
      <c r="L73" t="s">
        <v>58</v>
      </c>
      <c r="M73" t="s">
        <v>58</v>
      </c>
      <c r="N73" t="s">
        <v>93</v>
      </c>
      <c r="O73" t="s">
        <v>57</v>
      </c>
      <c r="P73" t="s">
        <v>58</v>
      </c>
      <c r="Q73" t="s">
        <v>57</v>
      </c>
      <c r="R73" t="s">
        <v>498</v>
      </c>
      <c r="S73" t="s">
        <v>445</v>
      </c>
      <c r="AA73" t="s">
        <v>499</v>
      </c>
      <c r="AC73" t="s">
        <v>500</v>
      </c>
      <c r="AH73" t="s">
        <v>501</v>
      </c>
      <c r="AJ73" s="3" t="s">
        <v>188</v>
      </c>
      <c r="AK73" s="3" t="s">
        <v>178</v>
      </c>
      <c r="AL73" s="3" t="s">
        <v>67</v>
      </c>
      <c r="AM73" s="4" t="s">
        <v>502</v>
      </c>
      <c r="AN73" s="4" t="s">
        <v>222</v>
      </c>
      <c r="AO73" s="4" t="s">
        <v>497</v>
      </c>
      <c r="AP73" s="5" t="s">
        <v>503</v>
      </c>
      <c r="AQ73" s="5" t="s">
        <v>222</v>
      </c>
      <c r="AR73" s="5" t="s">
        <v>504</v>
      </c>
      <c r="AU73" s="3" t="s">
        <v>685</v>
      </c>
      <c r="AV73">
        <v>194</v>
      </c>
      <c r="AW73">
        <v>14</v>
      </c>
    </row>
    <row r="74" spans="1:49" x14ac:dyDescent="0.2">
      <c r="A74" t="s">
        <v>505</v>
      </c>
      <c r="B74">
        <v>2010</v>
      </c>
      <c r="C74" t="s">
        <v>506</v>
      </c>
      <c r="D74" t="s">
        <v>88</v>
      </c>
      <c r="E74" t="s">
        <v>88</v>
      </c>
      <c r="F74" t="s">
        <v>175</v>
      </c>
      <c r="G74" t="s">
        <v>507</v>
      </c>
      <c r="H74" t="s">
        <v>53</v>
      </c>
      <c r="I74" t="s">
        <v>54</v>
      </c>
      <c r="J74" t="s">
        <v>92</v>
      </c>
      <c r="K74" t="s">
        <v>177</v>
      </c>
      <c r="L74" t="s">
        <v>58</v>
      </c>
      <c r="M74" t="s">
        <v>58</v>
      </c>
      <c r="N74" t="s">
        <v>93</v>
      </c>
      <c r="O74" t="s">
        <v>58</v>
      </c>
      <c r="P74" t="s">
        <v>58</v>
      </c>
      <c r="Q74" t="s">
        <v>58</v>
      </c>
      <c r="R74" t="s">
        <v>508</v>
      </c>
      <c r="S74" t="s">
        <v>509</v>
      </c>
      <c r="X74" t="s">
        <v>510</v>
      </c>
      <c r="AB74" t="s">
        <v>511</v>
      </c>
      <c r="AH74" t="s">
        <v>512</v>
      </c>
      <c r="AJ74" s="3" t="s">
        <v>168</v>
      </c>
      <c r="AK74" s="3" t="s">
        <v>513</v>
      </c>
      <c r="AL74" s="3" t="s">
        <v>67</v>
      </c>
      <c r="AM74" s="4" t="s">
        <v>514</v>
      </c>
      <c r="AN74" s="4" t="s">
        <v>515</v>
      </c>
      <c r="AO74" s="4" t="s">
        <v>516</v>
      </c>
      <c r="AP74" s="5" t="s">
        <v>517</v>
      </c>
      <c r="AQ74" s="5" t="s">
        <v>515</v>
      </c>
      <c r="AR74" s="5" t="s">
        <v>518</v>
      </c>
      <c r="AU74" s="3" t="s">
        <v>519</v>
      </c>
      <c r="AV74">
        <v>365</v>
      </c>
      <c r="AW74">
        <v>365</v>
      </c>
    </row>
    <row r="75" spans="1:49" x14ac:dyDescent="0.2">
      <c r="A75" t="s">
        <v>505</v>
      </c>
      <c r="B75">
        <v>2010</v>
      </c>
      <c r="C75" t="s">
        <v>520</v>
      </c>
      <c r="D75" t="s">
        <v>191</v>
      </c>
      <c r="E75" t="s">
        <v>192</v>
      </c>
      <c r="F75" t="s">
        <v>175</v>
      </c>
      <c r="G75" t="s">
        <v>507</v>
      </c>
      <c r="H75" t="s">
        <v>53</v>
      </c>
      <c r="I75" t="s">
        <v>54</v>
      </c>
      <c r="J75" t="s">
        <v>92</v>
      </c>
      <c r="K75" t="s">
        <v>177</v>
      </c>
      <c r="L75" t="s">
        <v>58</v>
      </c>
      <c r="M75" t="s">
        <v>58</v>
      </c>
      <c r="N75" t="s">
        <v>93</v>
      </c>
      <c r="O75" t="s">
        <v>58</v>
      </c>
      <c r="P75" t="s">
        <v>58</v>
      </c>
      <c r="Q75" t="s">
        <v>58</v>
      </c>
      <c r="R75" t="s">
        <v>521</v>
      </c>
      <c r="S75" t="s">
        <v>522</v>
      </c>
      <c r="X75" t="s">
        <v>523</v>
      </c>
      <c r="AB75" t="s">
        <v>524</v>
      </c>
      <c r="AH75" t="s">
        <v>525</v>
      </c>
      <c r="AJ75" s="3" t="s">
        <v>168</v>
      </c>
      <c r="AK75" s="3" t="s">
        <v>513</v>
      </c>
      <c r="AL75" s="3" t="s">
        <v>67</v>
      </c>
      <c r="AM75" s="4" t="s">
        <v>526</v>
      </c>
      <c r="AN75" s="4" t="s">
        <v>515</v>
      </c>
      <c r="AO75" s="4" t="s">
        <v>527</v>
      </c>
      <c r="AP75" s="5" t="s">
        <v>528</v>
      </c>
      <c r="AQ75" s="5" t="s">
        <v>515</v>
      </c>
      <c r="AR75" s="5" t="s">
        <v>529</v>
      </c>
      <c r="AU75" s="3" t="s">
        <v>519</v>
      </c>
      <c r="AV75">
        <v>365</v>
      </c>
      <c r="AW75">
        <v>365</v>
      </c>
    </row>
    <row r="76" spans="1:49" x14ac:dyDescent="0.2">
      <c r="A76" t="s">
        <v>530</v>
      </c>
      <c r="B76">
        <v>2010</v>
      </c>
      <c r="C76" t="s">
        <v>506</v>
      </c>
      <c r="D76" t="s">
        <v>88</v>
      </c>
      <c r="E76" t="s">
        <v>88</v>
      </c>
      <c r="F76" t="s">
        <v>175</v>
      </c>
      <c r="G76" t="s">
        <v>531</v>
      </c>
      <c r="H76" t="s">
        <v>53</v>
      </c>
      <c r="I76" t="s">
        <v>54</v>
      </c>
      <c r="J76" t="s">
        <v>92</v>
      </c>
      <c r="K76" t="s">
        <v>532</v>
      </c>
      <c r="L76" t="s">
        <v>58</v>
      </c>
      <c r="M76" t="s">
        <v>58</v>
      </c>
      <c r="N76" t="s">
        <v>93</v>
      </c>
      <c r="O76" t="s">
        <v>58</v>
      </c>
      <c r="P76" t="s">
        <v>58</v>
      </c>
      <c r="Q76" t="s">
        <v>58</v>
      </c>
      <c r="X76" t="s">
        <v>538</v>
      </c>
      <c r="AJ76" s="3" t="s">
        <v>188</v>
      </c>
      <c r="AK76" s="3" t="s">
        <v>178</v>
      </c>
      <c r="AL76" s="3" t="s">
        <v>67</v>
      </c>
      <c r="AM76" s="4" t="s">
        <v>533</v>
      </c>
      <c r="AN76" s="4" t="s">
        <v>534</v>
      </c>
      <c r="AO76" s="4" t="s">
        <v>535</v>
      </c>
      <c r="AP76" s="5" t="s">
        <v>536</v>
      </c>
      <c r="AQ76" s="5" t="s">
        <v>534</v>
      </c>
      <c r="AR76" s="5" t="s">
        <v>537</v>
      </c>
      <c r="AU76" s="3" t="s">
        <v>688</v>
      </c>
      <c r="AW76" s="3" t="s">
        <v>688</v>
      </c>
    </row>
    <row r="77" spans="1:49" x14ac:dyDescent="0.2">
      <c r="A77" t="s">
        <v>530</v>
      </c>
      <c r="B77">
        <v>2010</v>
      </c>
      <c r="C77" t="s">
        <v>539</v>
      </c>
      <c r="D77" t="s">
        <v>105</v>
      </c>
      <c r="E77" t="s">
        <v>687</v>
      </c>
      <c r="F77" t="s">
        <v>175</v>
      </c>
      <c r="G77" t="s">
        <v>531</v>
      </c>
      <c r="H77" t="s">
        <v>53</v>
      </c>
      <c r="I77" t="s">
        <v>54</v>
      </c>
      <c r="J77" t="s">
        <v>92</v>
      </c>
      <c r="K77" t="s">
        <v>532</v>
      </c>
      <c r="L77" t="s">
        <v>58</v>
      </c>
      <c r="M77" t="s">
        <v>58</v>
      </c>
      <c r="N77" t="s">
        <v>93</v>
      </c>
      <c r="O77" t="s">
        <v>58</v>
      </c>
      <c r="P77" t="s">
        <v>58</v>
      </c>
      <c r="Q77" t="s">
        <v>58</v>
      </c>
      <c r="R77" t="s">
        <v>543</v>
      </c>
      <c r="S77" t="s">
        <v>544</v>
      </c>
      <c r="X77" t="s">
        <v>545</v>
      </c>
      <c r="AB77" t="s">
        <v>546</v>
      </c>
      <c r="AH77" t="s">
        <v>525</v>
      </c>
      <c r="AJ77" s="3" t="s">
        <v>188</v>
      </c>
      <c r="AK77" s="3" t="s">
        <v>178</v>
      </c>
      <c r="AL77" s="3" t="s">
        <v>67</v>
      </c>
      <c r="AM77" s="4" t="s">
        <v>212</v>
      </c>
      <c r="AN77" s="4" t="s">
        <v>534</v>
      </c>
      <c r="AO77" s="4" t="s">
        <v>540</v>
      </c>
      <c r="AP77" s="5" t="s">
        <v>541</v>
      </c>
      <c r="AQ77" s="5" t="s">
        <v>534</v>
      </c>
      <c r="AR77" s="5" t="s">
        <v>542</v>
      </c>
      <c r="AU77" s="3" t="s">
        <v>688</v>
      </c>
      <c r="AW77" s="3" t="s">
        <v>688</v>
      </c>
    </row>
    <row r="78" spans="1:49" x14ac:dyDescent="0.2">
      <c r="A78" t="s">
        <v>547</v>
      </c>
      <c r="B78">
        <v>2010</v>
      </c>
      <c r="C78" t="s">
        <v>548</v>
      </c>
      <c r="D78" t="s">
        <v>88</v>
      </c>
      <c r="E78" t="s">
        <v>88</v>
      </c>
      <c r="F78" t="s">
        <v>175</v>
      </c>
      <c r="G78" t="s">
        <v>549</v>
      </c>
      <c r="H78" t="s">
        <v>53</v>
      </c>
      <c r="I78" t="s">
        <v>54</v>
      </c>
      <c r="J78" t="s">
        <v>92</v>
      </c>
      <c r="K78" t="s">
        <v>177</v>
      </c>
      <c r="L78" t="s">
        <v>58</v>
      </c>
      <c r="M78" t="s">
        <v>57</v>
      </c>
      <c r="N78" t="s">
        <v>93</v>
      </c>
      <c r="O78" t="s">
        <v>57</v>
      </c>
      <c r="P78" t="s">
        <v>58</v>
      </c>
      <c r="Q78" t="s">
        <v>57</v>
      </c>
      <c r="X78" t="s">
        <v>554</v>
      </c>
      <c r="AB78" t="s">
        <v>555</v>
      </c>
      <c r="AH78" t="s">
        <v>525</v>
      </c>
      <c r="AJ78" s="3" t="s">
        <v>656</v>
      </c>
      <c r="AK78" s="3" t="s">
        <v>657</v>
      </c>
      <c r="AL78" s="3" t="s">
        <v>67</v>
      </c>
      <c r="AM78" s="4" t="s">
        <v>550</v>
      </c>
      <c r="AN78" s="4" t="s">
        <v>551</v>
      </c>
      <c r="AO78" s="4" t="s">
        <v>542</v>
      </c>
      <c r="AP78" s="5" t="s">
        <v>552</v>
      </c>
      <c r="AQ78" s="5" t="s">
        <v>551</v>
      </c>
      <c r="AR78" s="5" t="s">
        <v>553</v>
      </c>
      <c r="AU78" s="3" t="s">
        <v>189</v>
      </c>
      <c r="AV78">
        <v>365</v>
      </c>
      <c r="AW78">
        <v>365</v>
      </c>
    </row>
    <row r="79" spans="1:49" x14ac:dyDescent="0.2">
      <c r="A79" t="s">
        <v>547</v>
      </c>
      <c r="B79">
        <v>2010</v>
      </c>
      <c r="C79" t="s">
        <v>118</v>
      </c>
      <c r="D79" t="s">
        <v>191</v>
      </c>
      <c r="E79" t="s">
        <v>192</v>
      </c>
      <c r="F79" t="s">
        <v>175</v>
      </c>
      <c r="G79" t="s">
        <v>549</v>
      </c>
      <c r="H79" t="s">
        <v>53</v>
      </c>
      <c r="I79" t="s">
        <v>54</v>
      </c>
      <c r="J79" t="s">
        <v>92</v>
      </c>
      <c r="K79" t="s">
        <v>177</v>
      </c>
      <c r="L79" t="s">
        <v>58</v>
      </c>
      <c r="M79" t="s">
        <v>57</v>
      </c>
      <c r="N79" t="s">
        <v>93</v>
      </c>
      <c r="O79" t="s">
        <v>57</v>
      </c>
      <c r="P79" t="s">
        <v>58</v>
      </c>
      <c r="Q79" t="s">
        <v>57</v>
      </c>
      <c r="X79" t="s">
        <v>560</v>
      </c>
      <c r="AB79" t="s">
        <v>561</v>
      </c>
      <c r="AH79" t="s">
        <v>562</v>
      </c>
      <c r="AJ79" s="3" t="s">
        <v>656</v>
      </c>
      <c r="AK79" s="3" t="s">
        <v>657</v>
      </c>
      <c r="AL79" s="3" t="s">
        <v>67</v>
      </c>
      <c r="AM79" s="4" t="s">
        <v>556</v>
      </c>
      <c r="AN79" s="4" t="s">
        <v>551</v>
      </c>
      <c r="AO79" s="4" t="s">
        <v>557</v>
      </c>
      <c r="AP79" s="5" t="s">
        <v>558</v>
      </c>
      <c r="AQ79" s="5" t="s">
        <v>551</v>
      </c>
      <c r="AR79" s="5" t="s">
        <v>559</v>
      </c>
      <c r="AU79" s="3" t="s">
        <v>189</v>
      </c>
      <c r="AV79">
        <v>365</v>
      </c>
      <c r="AW79">
        <v>365</v>
      </c>
    </row>
    <row r="80" spans="1:49" x14ac:dyDescent="0.2">
      <c r="A80" t="s">
        <v>547</v>
      </c>
      <c r="B80">
        <v>2010</v>
      </c>
      <c r="C80" t="s">
        <v>548</v>
      </c>
      <c r="D80" t="s">
        <v>88</v>
      </c>
      <c r="E80" t="s">
        <v>88</v>
      </c>
      <c r="F80" t="s">
        <v>175</v>
      </c>
      <c r="G80" t="s">
        <v>549</v>
      </c>
      <c r="H80" t="s">
        <v>53</v>
      </c>
      <c r="I80" t="s">
        <v>54</v>
      </c>
      <c r="J80" t="s">
        <v>92</v>
      </c>
      <c r="K80" t="s">
        <v>177</v>
      </c>
      <c r="L80" t="s">
        <v>58</v>
      </c>
      <c r="M80" t="s">
        <v>57</v>
      </c>
      <c r="N80" t="s">
        <v>93</v>
      </c>
      <c r="O80" t="s">
        <v>57</v>
      </c>
      <c r="P80" t="s">
        <v>58</v>
      </c>
      <c r="Q80" t="s">
        <v>57</v>
      </c>
      <c r="X80" t="s">
        <v>554</v>
      </c>
      <c r="AB80" t="s">
        <v>555</v>
      </c>
      <c r="AH80" t="s">
        <v>525</v>
      </c>
      <c r="AJ80" s="3" t="s">
        <v>188</v>
      </c>
      <c r="AK80" s="3" t="s">
        <v>178</v>
      </c>
      <c r="AL80" s="3" t="s">
        <v>67</v>
      </c>
      <c r="AM80" s="4" t="s">
        <v>550</v>
      </c>
      <c r="AN80" s="4" t="s">
        <v>551</v>
      </c>
      <c r="AO80" s="4" t="s">
        <v>542</v>
      </c>
      <c r="AP80" s="5" t="s">
        <v>552</v>
      </c>
      <c r="AQ80" s="5" t="s">
        <v>551</v>
      </c>
      <c r="AR80" s="5" t="s">
        <v>553</v>
      </c>
      <c r="AU80" s="3" t="s">
        <v>189</v>
      </c>
      <c r="AV80">
        <v>365</v>
      </c>
      <c r="AW80">
        <v>365</v>
      </c>
    </row>
    <row r="81" spans="1:49" x14ac:dyDescent="0.2">
      <c r="A81" t="s">
        <v>547</v>
      </c>
      <c r="B81">
        <v>2010</v>
      </c>
      <c r="C81" t="s">
        <v>118</v>
      </c>
      <c r="D81" t="s">
        <v>191</v>
      </c>
      <c r="E81" t="s">
        <v>192</v>
      </c>
      <c r="F81" t="s">
        <v>175</v>
      </c>
      <c r="G81" t="s">
        <v>549</v>
      </c>
      <c r="H81" t="s">
        <v>53</v>
      </c>
      <c r="I81" t="s">
        <v>54</v>
      </c>
      <c r="J81" t="s">
        <v>92</v>
      </c>
      <c r="K81" t="s">
        <v>177</v>
      </c>
      <c r="L81" t="s">
        <v>58</v>
      </c>
      <c r="M81" t="s">
        <v>57</v>
      </c>
      <c r="N81" t="s">
        <v>93</v>
      </c>
      <c r="O81" t="s">
        <v>57</v>
      </c>
      <c r="P81" t="s">
        <v>58</v>
      </c>
      <c r="Q81" t="s">
        <v>57</v>
      </c>
      <c r="X81" t="s">
        <v>560</v>
      </c>
      <c r="AB81" t="s">
        <v>561</v>
      </c>
      <c r="AH81" t="s">
        <v>562</v>
      </c>
      <c r="AJ81" s="3" t="s">
        <v>188</v>
      </c>
      <c r="AK81" s="3" t="s">
        <v>178</v>
      </c>
      <c r="AL81" s="3" t="s">
        <v>67</v>
      </c>
      <c r="AM81" s="4" t="s">
        <v>556</v>
      </c>
      <c r="AN81" s="4" t="s">
        <v>551</v>
      </c>
      <c r="AO81" s="4" t="s">
        <v>557</v>
      </c>
      <c r="AP81" s="5" t="s">
        <v>558</v>
      </c>
      <c r="AQ81" s="5" t="s">
        <v>551</v>
      </c>
      <c r="AR81" s="5" t="s">
        <v>559</v>
      </c>
      <c r="AU81" s="3" t="s">
        <v>189</v>
      </c>
      <c r="AV81">
        <v>365</v>
      </c>
      <c r="AW81">
        <v>365</v>
      </c>
    </row>
    <row r="82" spans="1:49" x14ac:dyDescent="0.2">
      <c r="A82" t="s">
        <v>563</v>
      </c>
      <c r="B82">
        <v>2012</v>
      </c>
      <c r="C82" t="s">
        <v>564</v>
      </c>
      <c r="D82" t="s">
        <v>49</v>
      </c>
      <c r="E82" t="s">
        <v>50</v>
      </c>
      <c r="F82" t="s">
        <v>175</v>
      </c>
      <c r="G82" t="s">
        <v>565</v>
      </c>
      <c r="H82" t="s">
        <v>91</v>
      </c>
      <c r="I82" t="s">
        <v>54</v>
      </c>
      <c r="J82" t="s">
        <v>121</v>
      </c>
      <c r="K82" t="s">
        <v>56</v>
      </c>
      <c r="L82" t="s">
        <v>58</v>
      </c>
      <c r="M82" t="s">
        <v>57</v>
      </c>
      <c r="N82" t="s">
        <v>57</v>
      </c>
      <c r="O82" t="s">
        <v>57</v>
      </c>
      <c r="P82" t="s">
        <v>58</v>
      </c>
      <c r="Q82" t="s">
        <v>57</v>
      </c>
      <c r="S82" t="s">
        <v>566</v>
      </c>
      <c r="T82" t="s">
        <v>567</v>
      </c>
      <c r="U82" t="s">
        <v>568</v>
      </c>
      <c r="V82" t="s">
        <v>569</v>
      </c>
      <c r="W82" t="s">
        <v>570</v>
      </c>
      <c r="X82" t="s">
        <v>571</v>
      </c>
      <c r="AB82" t="s">
        <v>572</v>
      </c>
      <c r="AH82" t="s">
        <v>64</v>
      </c>
      <c r="AJ82" s="3" t="s">
        <v>477</v>
      </c>
      <c r="AK82" s="3" t="s">
        <v>143</v>
      </c>
      <c r="AL82" s="3" t="s">
        <v>67</v>
      </c>
      <c r="AM82" s="4" t="s">
        <v>573</v>
      </c>
      <c r="AN82" s="4" t="s">
        <v>574</v>
      </c>
      <c r="AO82" s="4" t="s">
        <v>575</v>
      </c>
      <c r="AP82" s="5" t="s">
        <v>576</v>
      </c>
      <c r="AQ82" s="5" t="s">
        <v>574</v>
      </c>
      <c r="AR82" s="5" t="s">
        <v>577</v>
      </c>
      <c r="AU82" s="3" t="s">
        <v>578</v>
      </c>
      <c r="AV82">
        <v>198</v>
      </c>
      <c r="AW82">
        <v>168</v>
      </c>
    </row>
    <row r="83" spans="1:49" x14ac:dyDescent="0.2">
      <c r="A83" t="s">
        <v>563</v>
      </c>
      <c r="B83">
        <v>2012</v>
      </c>
      <c r="C83" t="s">
        <v>579</v>
      </c>
      <c r="D83" t="s">
        <v>88</v>
      </c>
      <c r="E83" t="s">
        <v>88</v>
      </c>
      <c r="F83" t="s">
        <v>175</v>
      </c>
      <c r="G83" t="s">
        <v>565</v>
      </c>
      <c r="H83" t="s">
        <v>91</v>
      </c>
      <c r="I83" t="s">
        <v>54</v>
      </c>
      <c r="J83" t="s">
        <v>121</v>
      </c>
      <c r="K83" t="s">
        <v>56</v>
      </c>
      <c r="L83" t="s">
        <v>58</v>
      </c>
      <c r="M83" t="s">
        <v>57</v>
      </c>
      <c r="N83" t="s">
        <v>57</v>
      </c>
      <c r="O83" t="s">
        <v>57</v>
      </c>
      <c r="P83" t="s">
        <v>58</v>
      </c>
      <c r="Q83" t="s">
        <v>57</v>
      </c>
      <c r="S83" t="s">
        <v>96</v>
      </c>
      <c r="T83" t="s">
        <v>580</v>
      </c>
      <c r="U83" t="s">
        <v>581</v>
      </c>
      <c r="V83" t="s">
        <v>582</v>
      </c>
      <c r="W83" t="s">
        <v>570</v>
      </c>
      <c r="X83" t="s">
        <v>583</v>
      </c>
      <c r="AB83" t="s">
        <v>584</v>
      </c>
      <c r="AH83" t="s">
        <v>100</v>
      </c>
      <c r="AJ83" s="3" t="s">
        <v>477</v>
      </c>
      <c r="AK83" s="3" t="s">
        <v>143</v>
      </c>
      <c r="AL83" s="3" t="s">
        <v>67</v>
      </c>
      <c r="AM83" s="4" t="s">
        <v>585</v>
      </c>
      <c r="AN83" s="4" t="s">
        <v>574</v>
      </c>
      <c r="AO83" s="4" t="s">
        <v>586</v>
      </c>
      <c r="AP83" s="5" t="s">
        <v>587</v>
      </c>
      <c r="AQ83" s="5" t="s">
        <v>574</v>
      </c>
      <c r="AR83" s="5" t="s">
        <v>588</v>
      </c>
      <c r="AU83" s="3" t="s">
        <v>578</v>
      </c>
      <c r="AV83">
        <v>198</v>
      </c>
      <c r="AW83">
        <v>168</v>
      </c>
    </row>
    <row r="84" spans="1:49" x14ac:dyDescent="0.2">
      <c r="A84" t="s">
        <v>589</v>
      </c>
      <c r="B84">
        <v>2014</v>
      </c>
      <c r="C84" t="s">
        <v>506</v>
      </c>
      <c r="D84" t="s">
        <v>88</v>
      </c>
      <c r="E84" t="s">
        <v>88</v>
      </c>
      <c r="F84" t="s">
        <v>175</v>
      </c>
      <c r="G84" t="s">
        <v>590</v>
      </c>
      <c r="H84" t="s">
        <v>53</v>
      </c>
      <c r="I84" t="s">
        <v>54</v>
      </c>
      <c r="J84" t="s">
        <v>260</v>
      </c>
      <c r="K84" t="s">
        <v>56</v>
      </c>
      <c r="L84" t="s">
        <v>58</v>
      </c>
      <c r="M84" t="s">
        <v>57</v>
      </c>
      <c r="N84" t="s">
        <v>93</v>
      </c>
      <c r="O84" t="s">
        <v>57</v>
      </c>
      <c r="P84" t="s">
        <v>58</v>
      </c>
      <c r="Q84" t="s">
        <v>57</v>
      </c>
      <c r="X84" t="s">
        <v>596</v>
      </c>
      <c r="AB84" t="s">
        <v>597</v>
      </c>
      <c r="AH84" t="s">
        <v>598</v>
      </c>
      <c r="AJ84" s="3" t="s">
        <v>188</v>
      </c>
      <c r="AK84" s="3" t="s">
        <v>657</v>
      </c>
      <c r="AL84" s="3" t="s">
        <v>67</v>
      </c>
      <c r="AM84" s="4" t="s">
        <v>663</v>
      </c>
      <c r="AN84" s="4" t="s">
        <v>592</v>
      </c>
      <c r="AO84" s="4" t="s">
        <v>664</v>
      </c>
      <c r="AP84" s="5" t="s">
        <v>665</v>
      </c>
      <c r="AQ84" s="5" t="s">
        <v>592</v>
      </c>
      <c r="AR84" s="5" t="s">
        <v>588</v>
      </c>
      <c r="AU84" s="3" t="s">
        <v>189</v>
      </c>
      <c r="AV84">
        <v>365</v>
      </c>
      <c r="AW84">
        <v>365</v>
      </c>
    </row>
    <row r="85" spans="1:49" x14ac:dyDescent="0.2">
      <c r="A85" t="s">
        <v>589</v>
      </c>
      <c r="B85">
        <v>2014</v>
      </c>
      <c r="C85" t="s">
        <v>520</v>
      </c>
      <c r="D85" t="s">
        <v>191</v>
      </c>
      <c r="E85" t="s">
        <v>192</v>
      </c>
      <c r="F85" t="s">
        <v>175</v>
      </c>
      <c r="G85" t="s">
        <v>590</v>
      </c>
      <c r="H85" t="s">
        <v>53</v>
      </c>
      <c r="I85" t="s">
        <v>54</v>
      </c>
      <c r="J85" t="s">
        <v>260</v>
      </c>
      <c r="K85" t="s">
        <v>56</v>
      </c>
      <c r="L85" t="s">
        <v>58</v>
      </c>
      <c r="M85" t="s">
        <v>57</v>
      </c>
      <c r="N85" t="s">
        <v>93</v>
      </c>
      <c r="O85" t="s">
        <v>57</v>
      </c>
      <c r="P85" t="s">
        <v>58</v>
      </c>
      <c r="Q85" t="s">
        <v>57</v>
      </c>
      <c r="X85" t="s">
        <v>603</v>
      </c>
      <c r="AB85" t="s">
        <v>604</v>
      </c>
      <c r="AH85" t="s">
        <v>605</v>
      </c>
      <c r="AJ85" s="3" t="s">
        <v>188</v>
      </c>
      <c r="AK85" s="3" t="s">
        <v>657</v>
      </c>
      <c r="AL85" s="3" t="s">
        <v>67</v>
      </c>
      <c r="AM85" s="4" t="s">
        <v>666</v>
      </c>
      <c r="AN85" s="4" t="s">
        <v>600</v>
      </c>
      <c r="AO85" s="4" t="s">
        <v>667</v>
      </c>
      <c r="AP85" s="5" t="s">
        <v>668</v>
      </c>
      <c r="AQ85" s="5" t="s">
        <v>600</v>
      </c>
      <c r="AR85" s="5" t="s">
        <v>669</v>
      </c>
      <c r="AU85" s="3" t="s">
        <v>189</v>
      </c>
      <c r="AV85">
        <v>365</v>
      </c>
      <c r="AW85">
        <v>365</v>
      </c>
    </row>
    <row r="86" spans="1:49" x14ac:dyDescent="0.2">
      <c r="A86" t="s">
        <v>589</v>
      </c>
      <c r="B86">
        <v>2014</v>
      </c>
      <c r="C86" t="s">
        <v>506</v>
      </c>
      <c r="D86" t="s">
        <v>88</v>
      </c>
      <c r="E86" t="s">
        <v>88</v>
      </c>
      <c r="F86" t="s">
        <v>175</v>
      </c>
      <c r="G86" t="s">
        <v>590</v>
      </c>
      <c r="H86" t="s">
        <v>53</v>
      </c>
      <c r="I86" t="s">
        <v>54</v>
      </c>
      <c r="J86" t="s">
        <v>260</v>
      </c>
      <c r="K86" t="s">
        <v>56</v>
      </c>
      <c r="L86" t="s">
        <v>58</v>
      </c>
      <c r="M86" t="s">
        <v>57</v>
      </c>
      <c r="N86" t="s">
        <v>93</v>
      </c>
      <c r="O86" t="s">
        <v>57</v>
      </c>
      <c r="P86" t="s">
        <v>58</v>
      </c>
      <c r="Q86" t="s">
        <v>57</v>
      </c>
      <c r="X86" t="s">
        <v>596</v>
      </c>
      <c r="AB86" t="s">
        <v>597</v>
      </c>
      <c r="AH86" t="s">
        <v>598</v>
      </c>
      <c r="AJ86" s="3" t="s">
        <v>188</v>
      </c>
      <c r="AK86" s="3" t="s">
        <v>178</v>
      </c>
      <c r="AL86" s="3" t="s">
        <v>67</v>
      </c>
      <c r="AM86" s="4" t="s">
        <v>591</v>
      </c>
      <c r="AN86" s="4" t="s">
        <v>592</v>
      </c>
      <c r="AO86" s="4" t="s">
        <v>593</v>
      </c>
      <c r="AP86" s="5" t="s">
        <v>594</v>
      </c>
      <c r="AQ86" s="5" t="s">
        <v>592</v>
      </c>
      <c r="AR86" s="5" t="s">
        <v>595</v>
      </c>
      <c r="AU86" s="3" t="s">
        <v>189</v>
      </c>
      <c r="AV86">
        <v>365</v>
      </c>
      <c r="AW86">
        <v>365</v>
      </c>
    </row>
    <row r="87" spans="1:49" x14ac:dyDescent="0.2">
      <c r="A87" t="s">
        <v>589</v>
      </c>
      <c r="B87">
        <v>2014</v>
      </c>
      <c r="C87" t="s">
        <v>520</v>
      </c>
      <c r="D87" t="s">
        <v>191</v>
      </c>
      <c r="E87" t="s">
        <v>192</v>
      </c>
      <c r="F87" t="s">
        <v>175</v>
      </c>
      <c r="G87" t="s">
        <v>590</v>
      </c>
      <c r="H87" t="s">
        <v>53</v>
      </c>
      <c r="I87" t="s">
        <v>54</v>
      </c>
      <c r="J87" t="s">
        <v>260</v>
      </c>
      <c r="K87" t="s">
        <v>56</v>
      </c>
      <c r="L87" t="s">
        <v>58</v>
      </c>
      <c r="M87" t="s">
        <v>57</v>
      </c>
      <c r="N87" t="s">
        <v>93</v>
      </c>
      <c r="O87" t="s">
        <v>57</v>
      </c>
      <c r="P87" t="s">
        <v>58</v>
      </c>
      <c r="Q87" t="s">
        <v>57</v>
      </c>
      <c r="X87" t="s">
        <v>603</v>
      </c>
      <c r="AB87" t="s">
        <v>604</v>
      </c>
      <c r="AH87" t="s">
        <v>605</v>
      </c>
      <c r="AJ87" s="3" t="s">
        <v>188</v>
      </c>
      <c r="AK87" s="3" t="s">
        <v>178</v>
      </c>
      <c r="AL87" s="3" t="s">
        <v>67</v>
      </c>
      <c r="AM87" s="4" t="s">
        <v>599</v>
      </c>
      <c r="AN87" s="4" t="s">
        <v>600</v>
      </c>
      <c r="AO87" s="4" t="s">
        <v>593</v>
      </c>
      <c r="AP87" s="5" t="s">
        <v>601</v>
      </c>
      <c r="AQ87" s="5" t="s">
        <v>600</v>
      </c>
      <c r="AR87" s="5" t="s">
        <v>602</v>
      </c>
      <c r="AU87" s="3" t="s">
        <v>189</v>
      </c>
      <c r="AV87">
        <v>365</v>
      </c>
      <c r="AW87">
        <v>365</v>
      </c>
    </row>
    <row r="88" spans="1:49" x14ac:dyDescent="0.2">
      <c r="A88" t="s">
        <v>589</v>
      </c>
      <c r="B88">
        <v>2014</v>
      </c>
      <c r="C88" t="s">
        <v>506</v>
      </c>
      <c r="D88" t="s">
        <v>88</v>
      </c>
      <c r="E88" t="s">
        <v>88</v>
      </c>
      <c r="F88" t="s">
        <v>175</v>
      </c>
      <c r="G88" t="s">
        <v>590</v>
      </c>
      <c r="H88" t="s">
        <v>53</v>
      </c>
      <c r="I88" t="s">
        <v>54</v>
      </c>
      <c r="J88" t="s">
        <v>260</v>
      </c>
      <c r="K88" t="s">
        <v>56</v>
      </c>
      <c r="L88" t="s">
        <v>58</v>
      </c>
      <c r="M88" t="s">
        <v>57</v>
      </c>
      <c r="N88" t="s">
        <v>93</v>
      </c>
      <c r="O88" t="s">
        <v>57</v>
      </c>
      <c r="P88" t="s">
        <v>58</v>
      </c>
      <c r="Q88" t="s">
        <v>57</v>
      </c>
      <c r="X88" t="s">
        <v>596</v>
      </c>
      <c r="AB88" t="s">
        <v>597</v>
      </c>
      <c r="AH88" t="s">
        <v>598</v>
      </c>
      <c r="AJ88" s="3" t="s">
        <v>658</v>
      </c>
      <c r="AK88" s="3" t="s">
        <v>657</v>
      </c>
      <c r="AL88" s="3" t="s">
        <v>67</v>
      </c>
      <c r="AM88" s="4" t="s">
        <v>663</v>
      </c>
      <c r="AN88" s="4" t="s">
        <v>592</v>
      </c>
      <c r="AO88" s="4" t="s">
        <v>664</v>
      </c>
      <c r="AP88" s="5" t="s">
        <v>670</v>
      </c>
      <c r="AQ88" s="5" t="s">
        <v>592</v>
      </c>
      <c r="AR88" s="5" t="s">
        <v>671</v>
      </c>
      <c r="AU88" s="3" t="s">
        <v>103</v>
      </c>
      <c r="AV88">
        <v>180</v>
      </c>
      <c r="AW88">
        <v>365</v>
      </c>
    </row>
    <row r="89" spans="1:49" x14ac:dyDescent="0.2">
      <c r="A89" t="s">
        <v>589</v>
      </c>
      <c r="B89">
        <v>2014</v>
      </c>
      <c r="C89" t="s">
        <v>520</v>
      </c>
      <c r="D89" t="s">
        <v>191</v>
      </c>
      <c r="E89" t="s">
        <v>192</v>
      </c>
      <c r="F89" t="s">
        <v>175</v>
      </c>
      <c r="G89" t="s">
        <v>590</v>
      </c>
      <c r="H89" t="s">
        <v>53</v>
      </c>
      <c r="I89" t="s">
        <v>54</v>
      </c>
      <c r="J89" t="s">
        <v>260</v>
      </c>
      <c r="K89" t="s">
        <v>56</v>
      </c>
      <c r="L89" t="s">
        <v>58</v>
      </c>
      <c r="M89" t="s">
        <v>57</v>
      </c>
      <c r="N89" t="s">
        <v>93</v>
      </c>
      <c r="O89" t="s">
        <v>57</v>
      </c>
      <c r="P89" t="s">
        <v>58</v>
      </c>
      <c r="Q89" t="s">
        <v>57</v>
      </c>
      <c r="X89" t="s">
        <v>603</v>
      </c>
      <c r="AB89" t="s">
        <v>604</v>
      </c>
      <c r="AH89" t="s">
        <v>605</v>
      </c>
      <c r="AJ89" s="3" t="s">
        <v>658</v>
      </c>
      <c r="AK89" s="3" t="s">
        <v>657</v>
      </c>
      <c r="AL89" s="3" t="s">
        <v>67</v>
      </c>
      <c r="AM89" s="4" t="s">
        <v>666</v>
      </c>
      <c r="AN89" s="4" t="s">
        <v>600</v>
      </c>
      <c r="AO89" s="4" t="s">
        <v>667</v>
      </c>
      <c r="AP89" s="5" t="s">
        <v>672</v>
      </c>
      <c r="AQ89" s="5" t="s">
        <v>600</v>
      </c>
      <c r="AR89" s="5" t="s">
        <v>673</v>
      </c>
      <c r="AU89" s="3" t="s">
        <v>103</v>
      </c>
      <c r="AV89">
        <v>180</v>
      </c>
      <c r="AW89">
        <v>365</v>
      </c>
    </row>
    <row r="90" spans="1:49" x14ac:dyDescent="0.2">
      <c r="A90" t="s">
        <v>589</v>
      </c>
      <c r="B90">
        <v>2014</v>
      </c>
      <c r="C90" t="s">
        <v>506</v>
      </c>
      <c r="D90" t="s">
        <v>88</v>
      </c>
      <c r="E90" t="s">
        <v>88</v>
      </c>
      <c r="F90" t="s">
        <v>175</v>
      </c>
      <c r="G90" t="s">
        <v>590</v>
      </c>
      <c r="H90" t="s">
        <v>53</v>
      </c>
      <c r="I90" t="s">
        <v>54</v>
      </c>
      <c r="J90" t="s">
        <v>260</v>
      </c>
      <c r="K90" t="s">
        <v>56</v>
      </c>
      <c r="L90" t="s">
        <v>58</v>
      </c>
      <c r="M90" t="s">
        <v>57</v>
      </c>
      <c r="N90" t="s">
        <v>93</v>
      </c>
      <c r="O90" t="s">
        <v>57</v>
      </c>
      <c r="P90" t="s">
        <v>58</v>
      </c>
      <c r="Q90" t="s">
        <v>57</v>
      </c>
      <c r="X90" t="s">
        <v>596</v>
      </c>
      <c r="AB90" t="s">
        <v>597</v>
      </c>
      <c r="AH90" t="s">
        <v>598</v>
      </c>
      <c r="AJ90" s="3" t="s">
        <v>658</v>
      </c>
      <c r="AK90" s="3" t="s">
        <v>178</v>
      </c>
      <c r="AL90" s="3" t="s">
        <v>67</v>
      </c>
      <c r="AM90" s="4" t="s">
        <v>591</v>
      </c>
      <c r="AN90" s="4" t="s">
        <v>592</v>
      </c>
      <c r="AO90" s="4" t="s">
        <v>593</v>
      </c>
      <c r="AP90" s="5" t="s">
        <v>659</v>
      </c>
      <c r="AQ90" s="5" t="s">
        <v>592</v>
      </c>
      <c r="AR90" s="5" t="s">
        <v>660</v>
      </c>
      <c r="AU90" s="3" t="s">
        <v>103</v>
      </c>
      <c r="AV90">
        <v>180</v>
      </c>
      <c r="AW90">
        <v>365</v>
      </c>
    </row>
    <row r="91" spans="1:49" x14ac:dyDescent="0.2">
      <c r="A91" t="s">
        <v>589</v>
      </c>
      <c r="B91">
        <v>2014</v>
      </c>
      <c r="C91" t="s">
        <v>520</v>
      </c>
      <c r="D91" t="s">
        <v>191</v>
      </c>
      <c r="E91" t="s">
        <v>192</v>
      </c>
      <c r="F91" t="s">
        <v>175</v>
      </c>
      <c r="G91" t="s">
        <v>590</v>
      </c>
      <c r="H91" t="s">
        <v>53</v>
      </c>
      <c r="I91" t="s">
        <v>54</v>
      </c>
      <c r="J91" t="s">
        <v>260</v>
      </c>
      <c r="K91" t="s">
        <v>56</v>
      </c>
      <c r="L91" t="s">
        <v>58</v>
      </c>
      <c r="M91" t="s">
        <v>57</v>
      </c>
      <c r="N91" t="s">
        <v>93</v>
      </c>
      <c r="O91" t="s">
        <v>57</v>
      </c>
      <c r="P91" t="s">
        <v>58</v>
      </c>
      <c r="Q91" t="s">
        <v>57</v>
      </c>
      <c r="X91" t="s">
        <v>603</v>
      </c>
      <c r="AB91" t="s">
        <v>604</v>
      </c>
      <c r="AH91" t="s">
        <v>605</v>
      </c>
      <c r="AJ91" s="3" t="s">
        <v>658</v>
      </c>
      <c r="AK91" s="3" t="s">
        <v>178</v>
      </c>
      <c r="AL91" s="3" t="s">
        <v>67</v>
      </c>
      <c r="AM91" s="4" t="s">
        <v>599</v>
      </c>
      <c r="AN91" s="4" t="s">
        <v>600</v>
      </c>
      <c r="AO91" s="4" t="s">
        <v>593</v>
      </c>
      <c r="AP91" s="5" t="s">
        <v>661</v>
      </c>
      <c r="AQ91" s="5" t="s">
        <v>600</v>
      </c>
      <c r="AR91" s="5" t="s">
        <v>662</v>
      </c>
      <c r="AU91" s="3" t="s">
        <v>103</v>
      </c>
      <c r="AV91">
        <v>180</v>
      </c>
      <c r="AW91">
        <v>365</v>
      </c>
    </row>
    <row r="92" spans="1:49" x14ac:dyDescent="0.2">
      <c r="A92" t="s">
        <v>606</v>
      </c>
      <c r="B92">
        <v>2017</v>
      </c>
      <c r="C92" t="s">
        <v>607</v>
      </c>
      <c r="D92" t="s">
        <v>105</v>
      </c>
      <c r="E92" t="s">
        <v>608</v>
      </c>
      <c r="F92" t="s">
        <v>175</v>
      </c>
      <c r="G92" t="s">
        <v>609</v>
      </c>
      <c r="H92" t="s">
        <v>91</v>
      </c>
      <c r="I92" t="s">
        <v>54</v>
      </c>
      <c r="J92" t="s">
        <v>260</v>
      </c>
      <c r="K92" t="s">
        <v>610</v>
      </c>
      <c r="L92" t="s">
        <v>58</v>
      </c>
      <c r="M92" t="s">
        <v>58</v>
      </c>
      <c r="N92" t="s">
        <v>57</v>
      </c>
      <c r="O92" t="s">
        <v>57</v>
      </c>
      <c r="P92" t="s">
        <v>58</v>
      </c>
      <c r="Q92" t="s">
        <v>57</v>
      </c>
      <c r="T92" t="s">
        <v>611</v>
      </c>
      <c r="U92" t="s">
        <v>612</v>
      </c>
      <c r="V92" t="s">
        <v>613</v>
      </c>
      <c r="W92" t="s">
        <v>614</v>
      </c>
      <c r="X92" t="s">
        <v>615</v>
      </c>
      <c r="AB92" t="s">
        <v>616</v>
      </c>
      <c r="AH92" t="s">
        <v>64</v>
      </c>
      <c r="AJ92" s="3" t="s">
        <v>674</v>
      </c>
    </row>
    <row r="93" spans="1:49" x14ac:dyDescent="0.2">
      <c r="A93" t="s">
        <v>606</v>
      </c>
      <c r="B93">
        <v>2017</v>
      </c>
      <c r="C93" t="s">
        <v>617</v>
      </c>
      <c r="D93" t="s">
        <v>88</v>
      </c>
      <c r="E93" t="s">
        <v>88</v>
      </c>
      <c r="F93" t="s">
        <v>175</v>
      </c>
      <c r="G93" t="s">
        <v>609</v>
      </c>
      <c r="H93" t="s">
        <v>91</v>
      </c>
      <c r="I93" t="s">
        <v>54</v>
      </c>
      <c r="J93" t="s">
        <v>260</v>
      </c>
      <c r="K93" t="s">
        <v>610</v>
      </c>
      <c r="L93" t="s">
        <v>58</v>
      </c>
      <c r="M93" t="s">
        <v>58</v>
      </c>
      <c r="N93" t="s">
        <v>57</v>
      </c>
      <c r="O93" t="s">
        <v>57</v>
      </c>
      <c r="P93" t="s">
        <v>58</v>
      </c>
      <c r="Q93" t="s">
        <v>57</v>
      </c>
      <c r="T93" t="s">
        <v>618</v>
      </c>
      <c r="U93" t="s">
        <v>619</v>
      </c>
      <c r="V93" t="s">
        <v>569</v>
      </c>
      <c r="W93" t="s">
        <v>620</v>
      </c>
      <c r="X93" t="s">
        <v>621</v>
      </c>
      <c r="AB93" t="s">
        <v>622</v>
      </c>
      <c r="AH93" t="s">
        <v>64</v>
      </c>
      <c r="AJ93" s="3" t="s">
        <v>674</v>
      </c>
    </row>
    <row r="94" spans="1:49" x14ac:dyDescent="0.2">
      <c r="A94" t="s">
        <v>623</v>
      </c>
      <c r="B94">
        <v>2017</v>
      </c>
      <c r="C94" t="s">
        <v>87</v>
      </c>
      <c r="D94" t="s">
        <v>88</v>
      </c>
      <c r="E94" t="s">
        <v>88</v>
      </c>
      <c r="F94" t="s">
        <v>175</v>
      </c>
      <c r="G94" t="s">
        <v>624</v>
      </c>
      <c r="H94" t="s">
        <v>91</v>
      </c>
      <c r="I94" t="s">
        <v>54</v>
      </c>
      <c r="J94" t="s">
        <v>260</v>
      </c>
      <c r="K94" t="s">
        <v>56</v>
      </c>
      <c r="L94" t="s">
        <v>58</v>
      </c>
      <c r="M94" t="s">
        <v>57</v>
      </c>
      <c r="N94" t="s">
        <v>57</v>
      </c>
      <c r="O94" t="s">
        <v>57</v>
      </c>
      <c r="P94" t="s">
        <v>58</v>
      </c>
      <c r="Q94" t="s">
        <v>57</v>
      </c>
      <c r="R94" t="s">
        <v>625</v>
      </c>
      <c r="S94" t="s">
        <v>626</v>
      </c>
      <c r="X94" t="s">
        <v>88</v>
      </c>
      <c r="AB94" t="s">
        <v>88</v>
      </c>
      <c r="AH94" t="s">
        <v>88</v>
      </c>
      <c r="AJ94" s="3" t="s">
        <v>674</v>
      </c>
    </row>
    <row r="95" spans="1:49" x14ac:dyDescent="0.2">
      <c r="A95" t="s">
        <v>623</v>
      </c>
      <c r="B95">
        <v>2017</v>
      </c>
      <c r="C95" t="s">
        <v>627</v>
      </c>
      <c r="D95" t="s">
        <v>105</v>
      </c>
      <c r="E95" t="s">
        <v>608</v>
      </c>
      <c r="F95" t="s">
        <v>175</v>
      </c>
      <c r="G95" t="s">
        <v>624</v>
      </c>
      <c r="H95" t="s">
        <v>91</v>
      </c>
      <c r="I95" t="s">
        <v>54</v>
      </c>
      <c r="J95" t="s">
        <v>260</v>
      </c>
      <c r="K95" t="s">
        <v>56</v>
      </c>
      <c r="L95" t="s">
        <v>58</v>
      </c>
      <c r="M95" t="s">
        <v>57</v>
      </c>
      <c r="N95" t="s">
        <v>57</v>
      </c>
      <c r="O95" t="s">
        <v>57</v>
      </c>
      <c r="P95" t="s">
        <v>58</v>
      </c>
      <c r="Q95" t="s">
        <v>57</v>
      </c>
      <c r="R95" t="s">
        <v>628</v>
      </c>
      <c r="S95" t="s">
        <v>629</v>
      </c>
      <c r="X95" t="s">
        <v>630</v>
      </c>
      <c r="AB95" t="s">
        <v>631</v>
      </c>
      <c r="AH95" t="s">
        <v>64</v>
      </c>
      <c r="AJ95" s="3" t="s">
        <v>674</v>
      </c>
    </row>
    <row r="96" spans="1:49" x14ac:dyDescent="0.2">
      <c r="A96" t="s">
        <v>632</v>
      </c>
      <c r="B96">
        <v>2017</v>
      </c>
      <c r="C96" t="s">
        <v>174</v>
      </c>
      <c r="D96" t="s">
        <v>88</v>
      </c>
      <c r="E96" t="s">
        <v>88</v>
      </c>
      <c r="F96" t="s">
        <v>175</v>
      </c>
      <c r="G96" t="s">
        <v>633</v>
      </c>
      <c r="H96" t="s">
        <v>91</v>
      </c>
      <c r="I96" t="s">
        <v>54</v>
      </c>
      <c r="J96" t="s">
        <v>55</v>
      </c>
      <c r="K96" t="s">
        <v>634</v>
      </c>
      <c r="L96" t="s">
        <v>58</v>
      </c>
      <c r="M96" t="s">
        <v>57</v>
      </c>
      <c r="N96" t="s">
        <v>57</v>
      </c>
      <c r="O96" t="s">
        <v>57</v>
      </c>
      <c r="P96" t="s">
        <v>58</v>
      </c>
      <c r="Q96" t="s">
        <v>57</v>
      </c>
      <c r="R96" t="s">
        <v>635</v>
      </c>
      <c r="S96" t="s">
        <v>636</v>
      </c>
      <c r="X96" t="s">
        <v>637</v>
      </c>
      <c r="AB96" t="s">
        <v>638</v>
      </c>
      <c r="AH96" t="s">
        <v>639</v>
      </c>
      <c r="AJ96" s="3" t="s">
        <v>188</v>
      </c>
      <c r="AK96" s="3" t="s">
        <v>178</v>
      </c>
      <c r="AL96" s="3" t="s">
        <v>67</v>
      </c>
      <c r="AM96" s="6">
        <v>9.85</v>
      </c>
      <c r="AN96" s="6">
        <v>70</v>
      </c>
      <c r="AO96" s="6">
        <v>1.89</v>
      </c>
      <c r="AP96" s="6">
        <v>13.27</v>
      </c>
      <c r="AQ96" s="6">
        <v>70</v>
      </c>
      <c r="AR96" s="6">
        <v>3.02</v>
      </c>
      <c r="AU96" s="3" t="s">
        <v>189</v>
      </c>
      <c r="AV96">
        <v>365</v>
      </c>
      <c r="AW96">
        <v>365</v>
      </c>
    </row>
    <row r="97" spans="1:49" x14ac:dyDescent="0.2">
      <c r="A97" t="s">
        <v>632</v>
      </c>
      <c r="B97">
        <v>2017</v>
      </c>
      <c r="C97" t="s">
        <v>640</v>
      </c>
      <c r="D97" t="s">
        <v>191</v>
      </c>
      <c r="E97" t="s">
        <v>641</v>
      </c>
      <c r="F97" t="s">
        <v>175</v>
      </c>
      <c r="G97" t="s">
        <v>633</v>
      </c>
      <c r="H97" t="s">
        <v>91</v>
      </c>
      <c r="I97" t="s">
        <v>54</v>
      </c>
      <c r="J97" t="s">
        <v>55</v>
      </c>
      <c r="K97" t="s">
        <v>634</v>
      </c>
      <c r="L97" t="s">
        <v>58</v>
      </c>
      <c r="M97" t="s">
        <v>57</v>
      </c>
      <c r="N97" t="s">
        <v>57</v>
      </c>
      <c r="O97" t="s">
        <v>57</v>
      </c>
      <c r="P97" t="s">
        <v>58</v>
      </c>
      <c r="Q97" t="s">
        <v>57</v>
      </c>
      <c r="R97" t="s">
        <v>642</v>
      </c>
      <c r="S97" t="s">
        <v>643</v>
      </c>
      <c r="X97" t="s">
        <v>644</v>
      </c>
      <c r="AB97" t="s">
        <v>645</v>
      </c>
      <c r="AH97" t="s">
        <v>646</v>
      </c>
      <c r="AJ97" s="3" t="s">
        <v>188</v>
      </c>
      <c r="AK97" s="3" t="s">
        <v>178</v>
      </c>
      <c r="AL97" s="3" t="s">
        <v>67</v>
      </c>
      <c r="AM97" s="6">
        <v>9.8800000000000008</v>
      </c>
      <c r="AN97" s="6">
        <v>71</v>
      </c>
      <c r="AO97" s="6">
        <v>2.33</v>
      </c>
      <c r="AP97" s="6">
        <v>14.97</v>
      </c>
      <c r="AQ97" s="6">
        <v>71</v>
      </c>
      <c r="AR97" s="6">
        <v>3.03</v>
      </c>
      <c r="AU97" s="3" t="s">
        <v>189</v>
      </c>
      <c r="AV97">
        <v>365</v>
      </c>
      <c r="AW97">
        <v>365</v>
      </c>
    </row>
    <row r="98" spans="1:49" x14ac:dyDescent="0.2">
      <c r="A98" t="s">
        <v>647</v>
      </c>
      <c r="B98">
        <v>2010</v>
      </c>
      <c r="C98" t="s">
        <v>648</v>
      </c>
      <c r="D98" t="s">
        <v>191</v>
      </c>
      <c r="E98" t="s">
        <v>192</v>
      </c>
      <c r="F98" t="s">
        <v>175</v>
      </c>
      <c r="G98" t="s">
        <v>176</v>
      </c>
      <c r="H98" t="s">
        <v>53</v>
      </c>
      <c r="I98" t="s">
        <v>54</v>
      </c>
      <c r="J98" t="s">
        <v>260</v>
      </c>
      <c r="K98" t="s">
        <v>488</v>
      </c>
      <c r="L98" t="s">
        <v>58</v>
      </c>
      <c r="M98" t="s">
        <v>58</v>
      </c>
      <c r="N98" t="s">
        <v>93</v>
      </c>
      <c r="O98" t="s">
        <v>58</v>
      </c>
      <c r="P98" t="s">
        <v>58</v>
      </c>
      <c r="Q98" t="s">
        <v>58</v>
      </c>
      <c r="X98" t="s">
        <v>649</v>
      </c>
      <c r="AB98" t="s">
        <v>650</v>
      </c>
      <c r="AH98" t="s">
        <v>651</v>
      </c>
      <c r="AJ98" s="3" t="s">
        <v>168</v>
      </c>
      <c r="AK98" s="3" t="s">
        <v>513</v>
      </c>
      <c r="AL98" s="3" t="s">
        <v>67</v>
      </c>
      <c r="AM98" s="6">
        <v>431.4</v>
      </c>
      <c r="AN98" s="6">
        <v>25</v>
      </c>
      <c r="AO98" s="6">
        <v>126.5</v>
      </c>
      <c r="AP98" s="6">
        <v>524.70000000000005</v>
      </c>
      <c r="AQ98" s="6">
        <v>25</v>
      </c>
      <c r="AR98" s="6">
        <v>128.4</v>
      </c>
      <c r="AU98" s="3" t="s">
        <v>189</v>
      </c>
      <c r="AV98">
        <v>365</v>
      </c>
      <c r="AW98">
        <v>365</v>
      </c>
    </row>
    <row r="99" spans="1:49" x14ac:dyDescent="0.2">
      <c r="A99" t="s">
        <v>647</v>
      </c>
      <c r="B99">
        <v>2010</v>
      </c>
      <c r="C99" t="s">
        <v>652</v>
      </c>
      <c r="D99" t="s">
        <v>88</v>
      </c>
      <c r="E99" t="s">
        <v>88</v>
      </c>
      <c r="F99" t="s">
        <v>175</v>
      </c>
      <c r="G99" t="s">
        <v>176</v>
      </c>
      <c r="H99" t="s">
        <v>53</v>
      </c>
      <c r="I99" t="s">
        <v>54</v>
      </c>
      <c r="J99" t="s">
        <v>260</v>
      </c>
      <c r="K99" t="s">
        <v>488</v>
      </c>
      <c r="L99" t="s">
        <v>58</v>
      </c>
      <c r="M99" t="s">
        <v>58</v>
      </c>
      <c r="N99" t="s">
        <v>93</v>
      </c>
      <c r="O99" t="s">
        <v>58</v>
      </c>
      <c r="P99" t="s">
        <v>58</v>
      </c>
      <c r="Q99" t="s">
        <v>58</v>
      </c>
      <c r="X99" t="s">
        <v>653</v>
      </c>
      <c r="AB99" t="s">
        <v>654</v>
      </c>
      <c r="AH99" t="s">
        <v>655</v>
      </c>
      <c r="AJ99" s="3" t="s">
        <v>168</v>
      </c>
      <c r="AK99" s="3" t="s">
        <v>513</v>
      </c>
      <c r="AL99" s="3" t="s">
        <v>67</v>
      </c>
      <c r="AM99" s="6">
        <v>415.3</v>
      </c>
      <c r="AN99" s="6">
        <v>25</v>
      </c>
      <c r="AO99" s="6">
        <v>140.80000000000001</v>
      </c>
      <c r="AP99" s="6">
        <v>370.8</v>
      </c>
      <c r="AQ99" s="6">
        <v>25</v>
      </c>
      <c r="AR99" s="6">
        <v>132.6</v>
      </c>
      <c r="AU99" s="3" t="s">
        <v>189</v>
      </c>
      <c r="AV99">
        <v>365</v>
      </c>
      <c r="AW99">
        <v>365</v>
      </c>
    </row>
  </sheetData>
  <autoFilter ref="A1:AW99" xr:uid="{00000000-0001-0000-0000-000000000000}"/>
  <phoneticPr fontId="1" type="noConversion"/>
  <pageMargins left="0.7" right="0.7" top="0.75" bottom="0.75" header="0.3" footer="0.3"/>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2F604D-13A0-934F-9364-9F35E6508370}">
  <dimension ref="A1:AW51"/>
  <sheetViews>
    <sheetView zoomScale="84" workbookViewId="0">
      <pane xSplit="5" ySplit="1" topLeftCell="AS2" activePane="bottomRight" state="frozen"/>
      <selection pane="topRight" activeCell="F1" sqref="F1"/>
      <selection pane="bottomLeft" activeCell="A2" sqref="A2"/>
      <selection pane="bottomRight" activeCell="H52" sqref="H52"/>
    </sheetView>
  </sheetViews>
  <sheetFormatPr baseColWidth="10" defaultRowHeight="15" x14ac:dyDescent="0.2"/>
  <cols>
    <col min="1" max="35" width="10.83203125" style="8"/>
    <col min="36" max="38" width="10.83203125" style="11"/>
    <col min="39" max="41" width="10.83203125" style="13"/>
    <col min="42" max="44" width="10.83203125" style="15"/>
    <col min="45" max="46" width="10.83203125" style="8"/>
    <col min="47" max="47" width="10.83203125" style="11"/>
    <col min="48" max="16384" width="10.83203125" style="8"/>
  </cols>
  <sheetData>
    <row r="1" spans="1:49" x14ac:dyDescent="0.2">
      <c r="A1" s="8" t="s">
        <v>0</v>
      </c>
      <c r="B1" s="8" t="s">
        <v>1</v>
      </c>
      <c r="C1" s="8" t="s">
        <v>2</v>
      </c>
      <c r="D1" s="8" t="s">
        <v>3</v>
      </c>
      <c r="E1" s="8" t="s">
        <v>4</v>
      </c>
      <c r="F1" s="8" t="s">
        <v>5</v>
      </c>
      <c r="G1" s="8" t="s">
        <v>6</v>
      </c>
      <c r="H1" s="8" t="s">
        <v>7</v>
      </c>
      <c r="I1" s="8" t="s">
        <v>8</v>
      </c>
      <c r="J1" s="8" t="s">
        <v>9</v>
      </c>
      <c r="K1" s="8" t="s">
        <v>10</v>
      </c>
      <c r="L1" s="8" t="s">
        <v>11</v>
      </c>
      <c r="M1" s="8" t="s">
        <v>12</v>
      </c>
      <c r="N1" s="8" t="s">
        <v>13</v>
      </c>
      <c r="O1" s="8" t="s">
        <v>14</v>
      </c>
      <c r="P1" s="8" t="s">
        <v>15</v>
      </c>
      <c r="Q1" s="8" t="s">
        <v>16</v>
      </c>
      <c r="R1" s="8" t="s">
        <v>17</v>
      </c>
      <c r="S1" s="8" t="s">
        <v>18</v>
      </c>
      <c r="T1" s="8" t="s">
        <v>19</v>
      </c>
      <c r="U1" s="8" t="s">
        <v>20</v>
      </c>
      <c r="V1" s="8" t="s">
        <v>21</v>
      </c>
      <c r="W1" s="8" t="s">
        <v>22</v>
      </c>
      <c r="X1" s="8" t="s">
        <v>23</v>
      </c>
      <c r="Y1" s="8" t="s">
        <v>24</v>
      </c>
      <c r="Z1" s="8" t="s">
        <v>25</v>
      </c>
      <c r="AA1" s="8" t="s">
        <v>26</v>
      </c>
      <c r="AB1" s="8" t="s">
        <v>27</v>
      </c>
      <c r="AC1" s="8" t="s">
        <v>28</v>
      </c>
      <c r="AD1" s="8" t="s">
        <v>29</v>
      </c>
      <c r="AE1" s="8" t="s">
        <v>30</v>
      </c>
      <c r="AF1" s="8" t="s">
        <v>31</v>
      </c>
      <c r="AG1" s="8" t="s">
        <v>32</v>
      </c>
      <c r="AH1" s="8" t="s">
        <v>33</v>
      </c>
      <c r="AI1" s="8" t="s">
        <v>34</v>
      </c>
      <c r="AJ1" s="11" t="s">
        <v>35</v>
      </c>
      <c r="AK1" s="11" t="s">
        <v>36</v>
      </c>
      <c r="AL1" s="11" t="s">
        <v>37</v>
      </c>
      <c r="AM1" s="12" t="s">
        <v>38</v>
      </c>
      <c r="AN1" s="12" t="s">
        <v>39</v>
      </c>
      <c r="AO1" s="12" t="s">
        <v>40</v>
      </c>
      <c r="AP1" s="14" t="s">
        <v>41</v>
      </c>
      <c r="AQ1" s="14" t="s">
        <v>42</v>
      </c>
      <c r="AR1" s="14" t="s">
        <v>43</v>
      </c>
      <c r="AS1" s="8" t="s">
        <v>44</v>
      </c>
      <c r="AT1" s="8" t="s">
        <v>45</v>
      </c>
      <c r="AU1" s="11" t="s">
        <v>46</v>
      </c>
      <c r="AV1" s="8" t="s">
        <v>686</v>
      </c>
      <c r="AW1" s="8" t="s">
        <v>689</v>
      </c>
    </row>
    <row r="2" spans="1:49" x14ac:dyDescent="0.2">
      <c r="A2" s="8" t="s">
        <v>698</v>
      </c>
      <c r="B2" s="8">
        <v>2020</v>
      </c>
      <c r="C2" s="8" t="s">
        <v>699</v>
      </c>
      <c r="D2" s="8" t="s">
        <v>49</v>
      </c>
      <c r="E2" s="8" t="s">
        <v>75</v>
      </c>
      <c r="F2" s="8" t="s">
        <v>175</v>
      </c>
      <c r="G2" s="8" t="s">
        <v>700</v>
      </c>
      <c r="H2" s="8" t="s">
        <v>701</v>
      </c>
      <c r="I2" s="8" t="s">
        <v>695</v>
      </c>
      <c r="J2" s="8" t="s">
        <v>702</v>
      </c>
      <c r="K2" s="8" t="s">
        <v>703</v>
      </c>
      <c r="L2" s="8" t="s">
        <v>93</v>
      </c>
      <c r="M2" s="8" t="s">
        <v>57</v>
      </c>
      <c r="N2" s="8" t="s">
        <v>93</v>
      </c>
      <c r="O2" s="8" t="s">
        <v>93</v>
      </c>
      <c r="P2" s="8" t="s">
        <v>93</v>
      </c>
      <c r="Q2" s="8" t="s">
        <v>58</v>
      </c>
      <c r="S2" s="10">
        <v>0.52800000000000002</v>
      </c>
      <c r="X2" s="8" t="s">
        <v>736</v>
      </c>
      <c r="AA2" s="8" t="s">
        <v>395</v>
      </c>
      <c r="AJ2" s="11" t="s">
        <v>188</v>
      </c>
      <c r="AK2" s="11" t="s">
        <v>752</v>
      </c>
      <c r="AL2" s="11" t="s">
        <v>67</v>
      </c>
      <c r="AM2" s="8">
        <v>17.760000000000002</v>
      </c>
      <c r="AN2" s="8">
        <v>51</v>
      </c>
      <c r="AO2" s="8">
        <v>3.68</v>
      </c>
      <c r="AP2" s="8">
        <v>14.64</v>
      </c>
      <c r="AQ2" s="8">
        <v>51</v>
      </c>
      <c r="AR2" s="8">
        <v>2.38</v>
      </c>
      <c r="AU2" s="11" t="s">
        <v>189</v>
      </c>
      <c r="AV2" s="8">
        <v>365</v>
      </c>
      <c r="AW2" s="8">
        <v>365</v>
      </c>
    </row>
    <row r="3" spans="1:49" x14ac:dyDescent="0.2">
      <c r="A3" s="8" t="s">
        <v>698</v>
      </c>
      <c r="B3" s="8">
        <v>2020</v>
      </c>
      <c r="C3" s="8" t="s">
        <v>548</v>
      </c>
      <c r="D3" s="8" t="s">
        <v>88</v>
      </c>
      <c r="E3" s="8" t="s">
        <v>88</v>
      </c>
      <c r="F3" s="8" t="s">
        <v>175</v>
      </c>
      <c r="G3" s="8" t="s">
        <v>700</v>
      </c>
      <c r="H3" s="8" t="s">
        <v>701</v>
      </c>
      <c r="I3" s="8" t="s">
        <v>695</v>
      </c>
      <c r="J3" s="8" t="s">
        <v>702</v>
      </c>
      <c r="K3" s="8" t="s">
        <v>703</v>
      </c>
      <c r="L3" s="8" t="s">
        <v>93</v>
      </c>
      <c r="M3" s="8" t="s">
        <v>57</v>
      </c>
      <c r="N3" s="8" t="s">
        <v>93</v>
      </c>
      <c r="O3" s="8" t="s">
        <v>93</v>
      </c>
      <c r="P3" s="8" t="s">
        <v>93</v>
      </c>
      <c r="Q3" s="8" t="s">
        <v>58</v>
      </c>
      <c r="S3" s="10">
        <v>0.52900000000000003</v>
      </c>
      <c r="X3" s="8" t="s">
        <v>736</v>
      </c>
      <c r="AA3" s="8" t="s">
        <v>395</v>
      </c>
      <c r="AJ3" s="11" t="s">
        <v>188</v>
      </c>
      <c r="AK3" s="11" t="s">
        <v>752</v>
      </c>
      <c r="AL3" s="11" t="s">
        <v>67</v>
      </c>
      <c r="AM3" s="8">
        <v>17.04</v>
      </c>
      <c r="AN3" s="8">
        <v>51</v>
      </c>
      <c r="AO3" s="8">
        <v>3.52</v>
      </c>
      <c r="AP3" s="8">
        <v>12.59</v>
      </c>
      <c r="AQ3" s="8">
        <v>51</v>
      </c>
      <c r="AR3" s="8">
        <v>2.7</v>
      </c>
      <c r="AU3" s="11" t="s">
        <v>189</v>
      </c>
      <c r="AV3" s="8">
        <v>365</v>
      </c>
      <c r="AW3" s="8">
        <v>365</v>
      </c>
    </row>
    <row r="4" spans="1:49" x14ac:dyDescent="0.2">
      <c r="A4" s="8" t="s">
        <v>698</v>
      </c>
      <c r="B4" s="8">
        <v>2020</v>
      </c>
      <c r="C4" s="8" t="s">
        <v>699</v>
      </c>
      <c r="D4" s="8" t="s">
        <v>49</v>
      </c>
      <c r="E4" s="8" t="s">
        <v>75</v>
      </c>
      <c r="F4" s="8" t="s">
        <v>175</v>
      </c>
      <c r="G4" s="8" t="s">
        <v>700</v>
      </c>
      <c r="H4" s="8" t="s">
        <v>701</v>
      </c>
      <c r="I4" s="8" t="s">
        <v>695</v>
      </c>
      <c r="J4" s="8" t="s">
        <v>702</v>
      </c>
      <c r="K4" s="8" t="s">
        <v>703</v>
      </c>
      <c r="L4" s="8" t="s">
        <v>93</v>
      </c>
      <c r="M4" s="8" t="s">
        <v>57</v>
      </c>
      <c r="N4" s="8" t="s">
        <v>93</v>
      </c>
      <c r="O4" s="8" t="s">
        <v>93</v>
      </c>
      <c r="P4" s="8" t="s">
        <v>93</v>
      </c>
      <c r="Q4" s="8" t="s">
        <v>58</v>
      </c>
      <c r="S4" s="10">
        <v>0.52800000000000002</v>
      </c>
      <c r="X4" s="8" t="s">
        <v>736</v>
      </c>
      <c r="AA4" s="8" t="s">
        <v>395</v>
      </c>
      <c r="AJ4" s="11" t="s">
        <v>753</v>
      </c>
      <c r="AK4" s="11" t="s">
        <v>754</v>
      </c>
      <c r="AL4" s="11" t="s">
        <v>67</v>
      </c>
      <c r="AM4" s="13">
        <v>19.32</v>
      </c>
      <c r="AN4" s="13">
        <v>51</v>
      </c>
      <c r="AO4" s="13">
        <v>3.53</v>
      </c>
      <c r="AP4" s="15">
        <v>7.21</v>
      </c>
      <c r="AQ4" s="15">
        <v>51</v>
      </c>
      <c r="AR4" s="15">
        <v>2.88</v>
      </c>
      <c r="AU4" s="11" t="s">
        <v>189</v>
      </c>
      <c r="AV4" s="8">
        <v>365</v>
      </c>
      <c r="AW4" s="8">
        <v>365</v>
      </c>
    </row>
    <row r="5" spans="1:49" x14ac:dyDescent="0.2">
      <c r="A5" s="8" t="s">
        <v>698</v>
      </c>
      <c r="B5" s="8">
        <v>2020</v>
      </c>
      <c r="C5" s="8" t="s">
        <v>548</v>
      </c>
      <c r="D5" s="8" t="s">
        <v>88</v>
      </c>
      <c r="E5" s="8" t="s">
        <v>88</v>
      </c>
      <c r="F5" s="8" t="s">
        <v>175</v>
      </c>
      <c r="G5" s="8" t="s">
        <v>700</v>
      </c>
      <c r="H5" s="8" t="s">
        <v>701</v>
      </c>
      <c r="I5" s="8" t="s">
        <v>695</v>
      </c>
      <c r="J5" s="8" t="s">
        <v>702</v>
      </c>
      <c r="K5" s="8" t="s">
        <v>703</v>
      </c>
      <c r="L5" s="8" t="s">
        <v>93</v>
      </c>
      <c r="M5" s="8" t="s">
        <v>57</v>
      </c>
      <c r="N5" s="8" t="s">
        <v>93</v>
      </c>
      <c r="O5" s="8" t="s">
        <v>93</v>
      </c>
      <c r="P5" s="8" t="s">
        <v>93</v>
      </c>
      <c r="Q5" s="8" t="s">
        <v>58</v>
      </c>
      <c r="S5" s="10">
        <v>0.52900000000000003</v>
      </c>
      <c r="X5" s="8" t="s">
        <v>736</v>
      </c>
      <c r="AA5" s="8" t="s">
        <v>395</v>
      </c>
      <c r="AJ5" s="11" t="s">
        <v>753</v>
      </c>
      <c r="AK5" s="11" t="s">
        <v>754</v>
      </c>
      <c r="AL5" s="11" t="s">
        <v>67</v>
      </c>
      <c r="AM5" s="13">
        <v>19.47</v>
      </c>
      <c r="AN5" s="13">
        <v>51</v>
      </c>
      <c r="AO5" s="13">
        <v>3.37</v>
      </c>
      <c r="AP5" s="15">
        <v>10.37</v>
      </c>
      <c r="AQ5" s="15">
        <v>51</v>
      </c>
      <c r="AR5" s="15">
        <v>2.17</v>
      </c>
      <c r="AU5" s="11" t="s">
        <v>189</v>
      </c>
      <c r="AV5" s="8">
        <v>365</v>
      </c>
      <c r="AW5" s="8">
        <v>365</v>
      </c>
    </row>
    <row r="6" spans="1:49" x14ac:dyDescent="0.2">
      <c r="A6" s="8" t="s">
        <v>698</v>
      </c>
      <c r="B6" s="8">
        <v>2020</v>
      </c>
      <c r="C6" s="8" t="s">
        <v>699</v>
      </c>
      <c r="D6" s="8" t="s">
        <v>49</v>
      </c>
      <c r="E6" s="8" t="s">
        <v>75</v>
      </c>
      <c r="F6" s="8" t="s">
        <v>175</v>
      </c>
      <c r="G6" s="8" t="s">
        <v>700</v>
      </c>
      <c r="H6" s="8" t="s">
        <v>701</v>
      </c>
      <c r="I6" s="8" t="s">
        <v>695</v>
      </c>
      <c r="J6" s="8" t="s">
        <v>702</v>
      </c>
      <c r="K6" s="8" t="s">
        <v>703</v>
      </c>
      <c r="L6" s="8" t="s">
        <v>93</v>
      </c>
      <c r="M6" s="8" t="s">
        <v>57</v>
      </c>
      <c r="N6" s="8" t="s">
        <v>93</v>
      </c>
      <c r="O6" s="8" t="s">
        <v>93</v>
      </c>
      <c r="P6" s="8" t="s">
        <v>93</v>
      </c>
      <c r="Q6" s="8" t="s">
        <v>58</v>
      </c>
      <c r="S6" s="10">
        <v>0.52800000000000002</v>
      </c>
      <c r="X6" s="8" t="s">
        <v>736</v>
      </c>
      <c r="AA6" s="8" t="s">
        <v>395</v>
      </c>
      <c r="AJ6" s="11" t="s">
        <v>656</v>
      </c>
      <c r="AK6" s="11" t="s">
        <v>755</v>
      </c>
      <c r="AL6" s="11" t="s">
        <v>67</v>
      </c>
      <c r="AM6" s="13">
        <v>14.53</v>
      </c>
      <c r="AN6" s="13">
        <v>51</v>
      </c>
      <c r="AO6" s="13">
        <v>1.77</v>
      </c>
      <c r="AP6" s="15">
        <v>11.41</v>
      </c>
      <c r="AQ6" s="15">
        <v>51</v>
      </c>
      <c r="AR6" s="15">
        <v>1.08</v>
      </c>
      <c r="AU6" s="11" t="s">
        <v>189</v>
      </c>
      <c r="AV6" s="8">
        <v>365</v>
      </c>
      <c r="AW6" s="8">
        <v>365</v>
      </c>
    </row>
    <row r="7" spans="1:49" x14ac:dyDescent="0.2">
      <c r="A7" s="8" t="s">
        <v>698</v>
      </c>
      <c r="B7" s="8">
        <v>2020</v>
      </c>
      <c r="C7" s="8" t="s">
        <v>548</v>
      </c>
      <c r="D7" s="8" t="s">
        <v>88</v>
      </c>
      <c r="E7" s="8" t="s">
        <v>88</v>
      </c>
      <c r="F7" s="8" t="s">
        <v>175</v>
      </c>
      <c r="G7" s="8" t="s">
        <v>700</v>
      </c>
      <c r="H7" s="8" t="s">
        <v>701</v>
      </c>
      <c r="I7" s="8" t="s">
        <v>695</v>
      </c>
      <c r="J7" s="8" t="s">
        <v>702</v>
      </c>
      <c r="K7" s="8" t="s">
        <v>703</v>
      </c>
      <c r="L7" s="8" t="s">
        <v>93</v>
      </c>
      <c r="M7" s="8" t="s">
        <v>57</v>
      </c>
      <c r="N7" s="8" t="s">
        <v>93</v>
      </c>
      <c r="O7" s="8" t="s">
        <v>93</v>
      </c>
      <c r="P7" s="8" t="s">
        <v>93</v>
      </c>
      <c r="Q7" s="8" t="s">
        <v>58</v>
      </c>
      <c r="S7" s="10">
        <v>0.52900000000000003</v>
      </c>
      <c r="X7" s="8" t="s">
        <v>736</v>
      </c>
      <c r="AA7" s="8" t="s">
        <v>395</v>
      </c>
      <c r="AJ7" s="11" t="s">
        <v>656</v>
      </c>
      <c r="AK7" s="11" t="s">
        <v>755</v>
      </c>
      <c r="AL7" s="11" t="s">
        <v>67</v>
      </c>
      <c r="AM7" s="13">
        <v>15.02</v>
      </c>
      <c r="AN7" s="13">
        <v>51</v>
      </c>
      <c r="AO7" s="13">
        <v>1.82</v>
      </c>
      <c r="AP7" s="15">
        <v>9.31</v>
      </c>
      <c r="AQ7" s="15">
        <v>51</v>
      </c>
      <c r="AR7" s="15">
        <v>1.52</v>
      </c>
      <c r="AU7" s="11" t="s">
        <v>189</v>
      </c>
      <c r="AV7" s="8">
        <v>365</v>
      </c>
      <c r="AW7" s="8">
        <v>365</v>
      </c>
    </row>
    <row r="8" spans="1:49" x14ac:dyDescent="0.2">
      <c r="A8" s="8" t="s">
        <v>713</v>
      </c>
      <c r="B8" s="8">
        <v>2019</v>
      </c>
      <c r="C8" s="8" t="s">
        <v>118</v>
      </c>
      <c r="D8" s="8" t="s">
        <v>49</v>
      </c>
      <c r="E8" s="8" t="s">
        <v>75</v>
      </c>
      <c r="F8" s="8" t="s">
        <v>279</v>
      </c>
      <c r="G8" s="8" t="s">
        <v>714</v>
      </c>
      <c r="H8" s="8" t="s">
        <v>715</v>
      </c>
      <c r="I8" s="8" t="s">
        <v>716</v>
      </c>
      <c r="J8" s="8" t="s">
        <v>452</v>
      </c>
      <c r="K8" s="8" t="s">
        <v>56</v>
      </c>
      <c r="L8" s="8" t="s">
        <v>712</v>
      </c>
      <c r="M8" s="8" t="s">
        <v>57</v>
      </c>
      <c r="N8" s="8" t="s">
        <v>93</v>
      </c>
      <c r="O8" s="8" t="s">
        <v>58</v>
      </c>
      <c r="P8" s="8" t="s">
        <v>58</v>
      </c>
      <c r="Q8" s="8" t="s">
        <v>57</v>
      </c>
      <c r="R8" s="8" t="s">
        <v>724</v>
      </c>
      <c r="T8" s="8" t="s">
        <v>730</v>
      </c>
      <c r="U8" s="9">
        <v>0.88</v>
      </c>
      <c r="X8" s="8" t="s">
        <v>741</v>
      </c>
      <c r="AA8" s="8" t="s">
        <v>395</v>
      </c>
      <c r="AJ8" s="7" t="s">
        <v>317</v>
      </c>
      <c r="AK8" s="7" t="s">
        <v>756</v>
      </c>
      <c r="AL8" s="7" t="s">
        <v>67</v>
      </c>
      <c r="AM8" s="16">
        <v>4.5</v>
      </c>
      <c r="AN8" s="16">
        <v>27</v>
      </c>
      <c r="AO8" s="16">
        <v>3.04</v>
      </c>
      <c r="AP8" s="16">
        <v>0.4</v>
      </c>
      <c r="AQ8" s="16">
        <v>25</v>
      </c>
      <c r="AR8" s="16">
        <v>0.7</v>
      </c>
      <c r="AU8" s="11" t="s">
        <v>774</v>
      </c>
      <c r="AV8" s="8">
        <v>91</v>
      </c>
      <c r="AW8" s="8">
        <v>56</v>
      </c>
    </row>
    <row r="9" spans="1:49" x14ac:dyDescent="0.2">
      <c r="A9" s="8" t="s">
        <v>713</v>
      </c>
      <c r="B9" s="8">
        <v>2019</v>
      </c>
      <c r="C9" s="8" t="s">
        <v>87</v>
      </c>
      <c r="D9" s="8" t="s">
        <v>88</v>
      </c>
      <c r="E9" s="8" t="s">
        <v>88</v>
      </c>
      <c r="F9" s="8" t="s">
        <v>279</v>
      </c>
      <c r="G9" s="8" t="s">
        <v>714</v>
      </c>
      <c r="H9" s="8" t="s">
        <v>715</v>
      </c>
      <c r="I9" s="8" t="s">
        <v>716</v>
      </c>
      <c r="J9" s="8" t="s">
        <v>452</v>
      </c>
      <c r="K9" s="8" t="s">
        <v>56</v>
      </c>
      <c r="L9" s="8" t="s">
        <v>712</v>
      </c>
      <c r="M9" s="8" t="s">
        <v>57</v>
      </c>
      <c r="N9" s="8" t="s">
        <v>93</v>
      </c>
      <c r="O9" s="8" t="s">
        <v>58</v>
      </c>
      <c r="P9" s="8" t="s">
        <v>58</v>
      </c>
      <c r="Q9" s="8" t="s">
        <v>57</v>
      </c>
      <c r="R9" s="8" t="s">
        <v>725</v>
      </c>
      <c r="T9" s="8" t="s">
        <v>731</v>
      </c>
      <c r="U9" s="9">
        <v>0.72</v>
      </c>
      <c r="X9" s="8" t="s">
        <v>742</v>
      </c>
      <c r="AA9" s="8" t="s">
        <v>395</v>
      </c>
      <c r="AJ9" s="7" t="s">
        <v>317</v>
      </c>
      <c r="AK9" s="7" t="s">
        <v>756</v>
      </c>
      <c r="AL9" s="7" t="s">
        <v>67</v>
      </c>
      <c r="AM9" s="16">
        <v>4.8</v>
      </c>
      <c r="AN9" s="7">
        <v>27</v>
      </c>
      <c r="AO9" s="16">
        <v>3.6</v>
      </c>
      <c r="AP9" s="16">
        <v>5.08</v>
      </c>
      <c r="AQ9" s="16">
        <v>25</v>
      </c>
      <c r="AR9" s="16">
        <v>3.7</v>
      </c>
      <c r="AU9" s="11" t="s">
        <v>774</v>
      </c>
      <c r="AV9" s="8">
        <v>91</v>
      </c>
      <c r="AW9" s="8">
        <v>56</v>
      </c>
    </row>
    <row r="10" spans="1:49" x14ac:dyDescent="0.2">
      <c r="A10" s="8" t="s">
        <v>713</v>
      </c>
      <c r="B10" s="8">
        <v>2019</v>
      </c>
      <c r="C10" s="8" t="s">
        <v>118</v>
      </c>
      <c r="D10" s="8" t="s">
        <v>49</v>
      </c>
      <c r="E10" s="8" t="s">
        <v>75</v>
      </c>
      <c r="F10" s="8" t="s">
        <v>279</v>
      </c>
      <c r="G10" s="8" t="s">
        <v>714</v>
      </c>
      <c r="H10" s="8" t="s">
        <v>715</v>
      </c>
      <c r="I10" s="8" t="s">
        <v>716</v>
      </c>
      <c r="J10" s="8" t="s">
        <v>452</v>
      </c>
      <c r="K10" s="8" t="s">
        <v>56</v>
      </c>
      <c r="L10" s="8" t="s">
        <v>712</v>
      </c>
      <c r="M10" s="8" t="s">
        <v>57</v>
      </c>
      <c r="N10" s="8" t="s">
        <v>93</v>
      </c>
      <c r="O10" s="8" t="s">
        <v>58</v>
      </c>
      <c r="P10" s="8" t="s">
        <v>58</v>
      </c>
      <c r="Q10" s="8" t="s">
        <v>57</v>
      </c>
      <c r="R10" s="8" t="s">
        <v>724</v>
      </c>
      <c r="T10" s="8" t="s">
        <v>730</v>
      </c>
      <c r="U10" s="9">
        <v>0.88</v>
      </c>
      <c r="X10" s="8" t="s">
        <v>741</v>
      </c>
      <c r="AA10" s="8" t="s">
        <v>395</v>
      </c>
      <c r="AJ10" s="7" t="s">
        <v>757</v>
      </c>
      <c r="AK10" s="7" t="s">
        <v>756</v>
      </c>
      <c r="AL10" s="7" t="s">
        <v>67</v>
      </c>
      <c r="AM10" s="7">
        <v>11.6</v>
      </c>
      <c r="AN10" s="7">
        <v>27</v>
      </c>
      <c r="AO10" s="7">
        <v>2.8</v>
      </c>
      <c r="AP10" s="7">
        <v>3.4</v>
      </c>
      <c r="AQ10" s="7">
        <v>25</v>
      </c>
      <c r="AR10" s="7">
        <v>1.5</v>
      </c>
      <c r="AU10" s="11" t="s">
        <v>774</v>
      </c>
      <c r="AV10" s="8">
        <v>91</v>
      </c>
      <c r="AW10" s="8">
        <v>56</v>
      </c>
    </row>
    <row r="11" spans="1:49" x14ac:dyDescent="0.2">
      <c r="A11" s="8" t="s">
        <v>713</v>
      </c>
      <c r="B11" s="8">
        <v>2019</v>
      </c>
      <c r="C11" s="8" t="s">
        <v>87</v>
      </c>
      <c r="D11" s="8" t="s">
        <v>88</v>
      </c>
      <c r="E11" s="8" t="s">
        <v>88</v>
      </c>
      <c r="F11" s="8" t="s">
        <v>279</v>
      </c>
      <c r="G11" s="8" t="s">
        <v>714</v>
      </c>
      <c r="H11" s="8" t="s">
        <v>715</v>
      </c>
      <c r="I11" s="8" t="s">
        <v>716</v>
      </c>
      <c r="J11" s="8" t="s">
        <v>452</v>
      </c>
      <c r="K11" s="8" t="s">
        <v>56</v>
      </c>
      <c r="L11" s="8" t="s">
        <v>712</v>
      </c>
      <c r="M11" s="8" t="s">
        <v>57</v>
      </c>
      <c r="N11" s="8" t="s">
        <v>93</v>
      </c>
      <c r="O11" s="8" t="s">
        <v>58</v>
      </c>
      <c r="P11" s="8" t="s">
        <v>58</v>
      </c>
      <c r="Q11" s="8" t="s">
        <v>57</v>
      </c>
      <c r="R11" s="8" t="s">
        <v>725</v>
      </c>
      <c r="T11" s="8" t="s">
        <v>731</v>
      </c>
      <c r="U11" s="9">
        <v>0.72</v>
      </c>
      <c r="X11" s="8" t="s">
        <v>742</v>
      </c>
      <c r="AA11" s="8" t="s">
        <v>395</v>
      </c>
      <c r="AJ11" s="7" t="s">
        <v>757</v>
      </c>
      <c r="AK11" s="7" t="s">
        <v>756</v>
      </c>
      <c r="AL11" s="7" t="s">
        <v>67</v>
      </c>
      <c r="AM11" s="7">
        <v>10.039999999999999</v>
      </c>
      <c r="AN11" s="7">
        <v>27</v>
      </c>
      <c r="AO11" s="7">
        <v>4.0199999999999996</v>
      </c>
      <c r="AP11" s="7">
        <v>10.5</v>
      </c>
      <c r="AQ11" s="7">
        <v>25</v>
      </c>
      <c r="AR11" s="7">
        <v>3.7</v>
      </c>
      <c r="AU11" s="11" t="s">
        <v>774</v>
      </c>
      <c r="AV11" s="8">
        <v>91</v>
      </c>
      <c r="AW11" s="8">
        <v>56</v>
      </c>
    </row>
    <row r="12" spans="1:49" x14ac:dyDescent="0.2">
      <c r="A12" s="8" t="s">
        <v>713</v>
      </c>
      <c r="B12" s="8">
        <v>2019</v>
      </c>
      <c r="C12" s="8" t="s">
        <v>118</v>
      </c>
      <c r="D12" s="8" t="s">
        <v>49</v>
      </c>
      <c r="E12" s="8" t="s">
        <v>75</v>
      </c>
      <c r="F12" s="8" t="s">
        <v>279</v>
      </c>
      <c r="G12" s="8" t="s">
        <v>714</v>
      </c>
      <c r="H12" s="8" t="s">
        <v>715</v>
      </c>
      <c r="I12" s="8" t="s">
        <v>716</v>
      </c>
      <c r="J12" s="8" t="s">
        <v>452</v>
      </c>
      <c r="K12" s="8" t="s">
        <v>56</v>
      </c>
      <c r="L12" s="8" t="s">
        <v>712</v>
      </c>
      <c r="M12" s="8" t="s">
        <v>57</v>
      </c>
      <c r="N12" s="8" t="s">
        <v>93</v>
      </c>
      <c r="O12" s="8" t="s">
        <v>58</v>
      </c>
      <c r="P12" s="8" t="s">
        <v>58</v>
      </c>
      <c r="Q12" s="8" t="s">
        <v>57</v>
      </c>
      <c r="R12" s="8" t="s">
        <v>724</v>
      </c>
      <c r="T12" s="8" t="s">
        <v>730</v>
      </c>
      <c r="U12" s="9">
        <v>0.88</v>
      </c>
      <c r="X12" s="8" t="s">
        <v>741</v>
      </c>
      <c r="AA12" s="8" t="s">
        <v>395</v>
      </c>
      <c r="AJ12" s="7" t="s">
        <v>751</v>
      </c>
      <c r="AK12" s="7" t="s">
        <v>756</v>
      </c>
      <c r="AL12" s="7" t="s">
        <v>67</v>
      </c>
      <c r="AM12" s="7">
        <v>39.9</v>
      </c>
      <c r="AN12" s="7">
        <v>27</v>
      </c>
      <c r="AO12" s="7">
        <v>8.4</v>
      </c>
      <c r="AP12" s="7">
        <v>16.079999999999998</v>
      </c>
      <c r="AQ12" s="7">
        <v>25</v>
      </c>
      <c r="AR12" s="7">
        <v>3.7</v>
      </c>
      <c r="AU12" s="11" t="s">
        <v>774</v>
      </c>
      <c r="AV12" s="8">
        <v>91</v>
      </c>
      <c r="AW12" s="8">
        <v>56</v>
      </c>
    </row>
    <row r="13" spans="1:49" x14ac:dyDescent="0.2">
      <c r="A13" s="8" t="s">
        <v>713</v>
      </c>
      <c r="B13" s="8">
        <v>2019</v>
      </c>
      <c r="C13" s="8" t="s">
        <v>87</v>
      </c>
      <c r="D13" s="8" t="s">
        <v>88</v>
      </c>
      <c r="E13" s="8" t="s">
        <v>88</v>
      </c>
      <c r="F13" s="8" t="s">
        <v>279</v>
      </c>
      <c r="G13" s="8" t="s">
        <v>714</v>
      </c>
      <c r="H13" s="8" t="s">
        <v>715</v>
      </c>
      <c r="I13" s="8" t="s">
        <v>716</v>
      </c>
      <c r="J13" s="8" t="s">
        <v>452</v>
      </c>
      <c r="K13" s="8" t="s">
        <v>56</v>
      </c>
      <c r="L13" s="8" t="s">
        <v>712</v>
      </c>
      <c r="M13" s="8" t="s">
        <v>57</v>
      </c>
      <c r="N13" s="8" t="s">
        <v>93</v>
      </c>
      <c r="O13" s="8" t="s">
        <v>58</v>
      </c>
      <c r="P13" s="8" t="s">
        <v>58</v>
      </c>
      <c r="Q13" s="8" t="s">
        <v>57</v>
      </c>
      <c r="R13" s="8" t="s">
        <v>725</v>
      </c>
      <c r="T13" s="8" t="s">
        <v>731</v>
      </c>
      <c r="U13" s="9">
        <v>0.72</v>
      </c>
      <c r="X13" s="8" t="s">
        <v>742</v>
      </c>
      <c r="AA13" s="8" t="s">
        <v>395</v>
      </c>
      <c r="AJ13" s="7" t="s">
        <v>751</v>
      </c>
      <c r="AK13" s="7" t="s">
        <v>756</v>
      </c>
      <c r="AL13" s="7" t="s">
        <v>67</v>
      </c>
      <c r="AM13" s="7">
        <v>32.04</v>
      </c>
      <c r="AN13" s="7">
        <v>27</v>
      </c>
      <c r="AO13" s="7">
        <v>7.02</v>
      </c>
      <c r="AP13" s="7">
        <v>32.9</v>
      </c>
      <c r="AQ13" s="7">
        <v>25</v>
      </c>
      <c r="AR13" s="7">
        <v>7.2</v>
      </c>
      <c r="AU13" s="11" t="s">
        <v>774</v>
      </c>
      <c r="AV13" s="8">
        <v>91</v>
      </c>
      <c r="AW13" s="8">
        <v>56</v>
      </c>
    </row>
    <row r="14" spans="1:49" x14ac:dyDescent="0.2">
      <c r="A14" s="8" t="s">
        <v>708</v>
      </c>
      <c r="B14" s="8">
        <v>2020</v>
      </c>
      <c r="C14" s="8" t="s">
        <v>312</v>
      </c>
      <c r="D14" s="8" t="s">
        <v>105</v>
      </c>
      <c r="E14" s="8" t="s">
        <v>106</v>
      </c>
      <c r="F14" s="8" t="s">
        <v>89</v>
      </c>
      <c r="G14" s="8" t="s">
        <v>709</v>
      </c>
      <c r="H14" s="8" t="s">
        <v>710</v>
      </c>
      <c r="I14" s="8" t="s">
        <v>711</v>
      </c>
      <c r="J14" s="8" t="s">
        <v>452</v>
      </c>
      <c r="K14" s="8" t="s">
        <v>56</v>
      </c>
      <c r="L14" s="8" t="s">
        <v>712</v>
      </c>
      <c r="M14" s="8" t="s">
        <v>712</v>
      </c>
      <c r="N14" s="8" t="s">
        <v>57</v>
      </c>
      <c r="O14" s="8" t="s">
        <v>57</v>
      </c>
      <c r="P14" s="8" t="s">
        <v>57</v>
      </c>
      <c r="Q14" s="8" t="s">
        <v>57</v>
      </c>
      <c r="X14" s="8" t="s">
        <v>739</v>
      </c>
      <c r="AA14" s="8" t="s">
        <v>395</v>
      </c>
      <c r="AJ14" s="11" t="s">
        <v>65</v>
      </c>
      <c r="AK14" s="11" t="s">
        <v>234</v>
      </c>
      <c r="AL14" s="11" t="s">
        <v>67</v>
      </c>
      <c r="AM14" s="13">
        <v>55.36</v>
      </c>
      <c r="AN14" s="13">
        <v>157</v>
      </c>
      <c r="AO14" s="13">
        <f>0.45*SQRT(AN14)</f>
        <v>5.6384838387637508</v>
      </c>
      <c r="AP14" s="15">
        <v>53.87</v>
      </c>
      <c r="AQ14" s="15">
        <v>157</v>
      </c>
      <c r="AR14" s="15">
        <f>0.49*SQRT(AQ14)</f>
        <v>6.1396824022094174</v>
      </c>
      <c r="AU14" s="11" t="s">
        <v>749</v>
      </c>
      <c r="AV14" s="8">
        <v>30</v>
      </c>
      <c r="AW14" s="8">
        <v>30</v>
      </c>
    </row>
    <row r="15" spans="1:49" x14ac:dyDescent="0.2">
      <c r="A15" s="8" t="s">
        <v>708</v>
      </c>
      <c r="B15" s="8">
        <v>2020</v>
      </c>
      <c r="C15" s="8" t="s">
        <v>87</v>
      </c>
      <c r="D15" s="8" t="s">
        <v>88</v>
      </c>
      <c r="E15" s="8" t="s">
        <v>88</v>
      </c>
      <c r="F15" s="8" t="s">
        <v>89</v>
      </c>
      <c r="G15" s="8" t="s">
        <v>709</v>
      </c>
      <c r="H15" s="8" t="s">
        <v>710</v>
      </c>
      <c r="I15" s="8" t="s">
        <v>711</v>
      </c>
      <c r="J15" s="8" t="s">
        <v>452</v>
      </c>
      <c r="K15" s="8" t="s">
        <v>56</v>
      </c>
      <c r="L15" s="8" t="s">
        <v>712</v>
      </c>
      <c r="M15" s="8" t="s">
        <v>712</v>
      </c>
      <c r="N15" s="8" t="s">
        <v>57</v>
      </c>
      <c r="O15" s="8" t="s">
        <v>57</v>
      </c>
      <c r="P15" s="8" t="s">
        <v>57</v>
      </c>
      <c r="Q15" s="8" t="s">
        <v>57</v>
      </c>
      <c r="X15" s="8" t="s">
        <v>740</v>
      </c>
      <c r="AA15" s="8" t="s">
        <v>395</v>
      </c>
      <c r="AJ15" s="11" t="s">
        <v>65</v>
      </c>
      <c r="AK15" s="11" t="s">
        <v>234</v>
      </c>
      <c r="AL15" s="11" t="s">
        <v>67</v>
      </c>
      <c r="AM15" s="13">
        <v>54.14</v>
      </c>
      <c r="AN15" s="13">
        <v>157</v>
      </c>
      <c r="AO15" s="13">
        <f>0.45*SQRT(AN15)</f>
        <v>5.6384838387637508</v>
      </c>
      <c r="AP15" s="15">
        <v>19.61</v>
      </c>
      <c r="AQ15" s="15">
        <v>157</v>
      </c>
      <c r="AR15" s="15">
        <f>0.49*SQRT(AQ15)</f>
        <v>6.1396824022094174</v>
      </c>
      <c r="AU15" s="11" t="s">
        <v>749</v>
      </c>
      <c r="AV15" s="8">
        <v>30</v>
      </c>
      <c r="AW15" s="8">
        <v>30</v>
      </c>
    </row>
    <row r="16" spans="1:49" x14ac:dyDescent="0.2">
      <c r="A16" s="8" t="s">
        <v>708</v>
      </c>
      <c r="B16" s="8">
        <v>2020</v>
      </c>
      <c r="C16" s="8" t="s">
        <v>312</v>
      </c>
      <c r="D16" s="8" t="s">
        <v>105</v>
      </c>
      <c r="E16" s="8" t="s">
        <v>106</v>
      </c>
      <c r="F16" s="8" t="s">
        <v>89</v>
      </c>
      <c r="G16" s="8" t="s">
        <v>709</v>
      </c>
      <c r="H16" s="8" t="s">
        <v>710</v>
      </c>
      <c r="I16" s="8" t="s">
        <v>711</v>
      </c>
      <c r="J16" s="8" t="s">
        <v>452</v>
      </c>
      <c r="K16" s="8" t="s">
        <v>56</v>
      </c>
      <c r="L16" s="8" t="s">
        <v>712</v>
      </c>
      <c r="M16" s="8" t="s">
        <v>712</v>
      </c>
      <c r="N16" s="8" t="s">
        <v>57</v>
      </c>
      <c r="O16" s="8" t="s">
        <v>57</v>
      </c>
      <c r="P16" s="8" t="s">
        <v>57</v>
      </c>
      <c r="Q16" s="8" t="s">
        <v>57</v>
      </c>
      <c r="X16" s="8" t="s">
        <v>739</v>
      </c>
      <c r="AA16" s="8" t="s">
        <v>395</v>
      </c>
      <c r="AJ16" s="1" t="s">
        <v>758</v>
      </c>
      <c r="AK16" s="1" t="s">
        <v>234</v>
      </c>
      <c r="AL16" s="1" t="s">
        <v>67</v>
      </c>
      <c r="AM16" s="1">
        <v>180.88</v>
      </c>
      <c r="AN16" s="1">
        <v>157</v>
      </c>
      <c r="AO16" s="7">
        <f>1.67*SQRT(AN16)</f>
        <v>20.925040023856585</v>
      </c>
      <c r="AP16" s="1">
        <v>182.36</v>
      </c>
      <c r="AQ16" s="1">
        <v>157</v>
      </c>
      <c r="AR16" s="7">
        <f>1.82*SQRT(AQ16)</f>
        <v>22.804534636777834</v>
      </c>
      <c r="AU16" s="11" t="s">
        <v>749</v>
      </c>
      <c r="AV16" s="8">
        <v>30</v>
      </c>
      <c r="AW16" s="8">
        <v>30</v>
      </c>
    </row>
    <row r="17" spans="1:49" x14ac:dyDescent="0.2">
      <c r="A17" s="8" t="s">
        <v>708</v>
      </c>
      <c r="B17" s="8">
        <v>2020</v>
      </c>
      <c r="C17" s="8" t="s">
        <v>87</v>
      </c>
      <c r="D17" s="8" t="s">
        <v>88</v>
      </c>
      <c r="E17" s="8" t="s">
        <v>88</v>
      </c>
      <c r="F17" s="8" t="s">
        <v>89</v>
      </c>
      <c r="G17" s="8" t="s">
        <v>709</v>
      </c>
      <c r="H17" s="8" t="s">
        <v>710</v>
      </c>
      <c r="I17" s="8" t="s">
        <v>711</v>
      </c>
      <c r="J17" s="8" t="s">
        <v>452</v>
      </c>
      <c r="K17" s="8" t="s">
        <v>56</v>
      </c>
      <c r="L17" s="8" t="s">
        <v>712</v>
      </c>
      <c r="M17" s="8" t="s">
        <v>712</v>
      </c>
      <c r="N17" s="8" t="s">
        <v>57</v>
      </c>
      <c r="O17" s="8" t="s">
        <v>57</v>
      </c>
      <c r="P17" s="8" t="s">
        <v>57</v>
      </c>
      <c r="Q17" s="8" t="s">
        <v>57</v>
      </c>
      <c r="X17" s="8" t="s">
        <v>740</v>
      </c>
      <c r="AA17" s="8" t="s">
        <v>395</v>
      </c>
      <c r="AJ17" s="1" t="s">
        <v>758</v>
      </c>
      <c r="AK17" s="1" t="s">
        <v>234</v>
      </c>
      <c r="AL17" s="1" t="s">
        <v>67</v>
      </c>
      <c r="AM17" s="1">
        <v>180.24</v>
      </c>
      <c r="AN17" s="1">
        <v>157</v>
      </c>
      <c r="AO17" s="7">
        <f>1.67*SQRT(AN17)</f>
        <v>20.925040023856585</v>
      </c>
      <c r="AP17" s="1">
        <v>279.73</v>
      </c>
      <c r="AQ17" s="1">
        <v>157</v>
      </c>
      <c r="AR17" s="7">
        <f>1.82*SQRT(AQ17)</f>
        <v>22.804534636777834</v>
      </c>
      <c r="AU17" s="11" t="s">
        <v>749</v>
      </c>
      <c r="AV17" s="8">
        <v>30</v>
      </c>
      <c r="AW17" s="8">
        <v>30</v>
      </c>
    </row>
    <row r="18" spans="1:49" x14ac:dyDescent="0.2">
      <c r="A18" s="8" t="s">
        <v>691</v>
      </c>
      <c r="B18" s="8">
        <v>2020</v>
      </c>
      <c r="C18" s="8" t="s">
        <v>692</v>
      </c>
      <c r="D18" s="8" t="s">
        <v>105</v>
      </c>
      <c r="E18" s="8" t="s">
        <v>106</v>
      </c>
      <c r="F18" s="8" t="s">
        <v>747</v>
      </c>
      <c r="G18" s="8" t="s">
        <v>693</v>
      </c>
      <c r="H18" s="8" t="s">
        <v>694</v>
      </c>
      <c r="I18" s="8" t="s">
        <v>695</v>
      </c>
      <c r="J18" s="8" t="s">
        <v>696</v>
      </c>
      <c r="K18" s="8" t="s">
        <v>56</v>
      </c>
      <c r="L18" s="8" t="s">
        <v>93</v>
      </c>
      <c r="M18" s="8" t="s">
        <v>58</v>
      </c>
      <c r="N18" s="8" t="s">
        <v>93</v>
      </c>
      <c r="O18" s="8" t="s">
        <v>58</v>
      </c>
      <c r="P18" s="8" t="s">
        <v>93</v>
      </c>
      <c r="Q18" s="8" t="s">
        <v>93</v>
      </c>
      <c r="S18" s="9">
        <v>0.76</v>
      </c>
      <c r="T18" s="8" t="s">
        <v>726</v>
      </c>
      <c r="U18" s="9">
        <v>0.92</v>
      </c>
      <c r="X18" s="8" t="s">
        <v>734</v>
      </c>
      <c r="AA18" s="8" t="s">
        <v>395</v>
      </c>
      <c r="AJ18" s="11" t="s">
        <v>65</v>
      </c>
      <c r="AK18" s="11" t="s">
        <v>66</v>
      </c>
      <c r="AL18" s="11" t="s">
        <v>67</v>
      </c>
      <c r="AM18" s="13">
        <v>6.7</v>
      </c>
      <c r="AN18" s="13">
        <v>25</v>
      </c>
      <c r="AO18" s="13">
        <v>2.1</v>
      </c>
      <c r="AP18" s="15">
        <v>2.9</v>
      </c>
      <c r="AQ18" s="15">
        <v>25</v>
      </c>
      <c r="AR18" s="15">
        <v>2.4</v>
      </c>
      <c r="AU18" s="11" t="s">
        <v>238</v>
      </c>
      <c r="AV18" s="8">
        <v>90</v>
      </c>
      <c r="AW18" s="8">
        <v>35</v>
      </c>
    </row>
    <row r="19" spans="1:49" x14ac:dyDescent="0.2">
      <c r="A19" s="8" t="s">
        <v>691</v>
      </c>
      <c r="B19" s="8">
        <v>2020</v>
      </c>
      <c r="C19" s="8" t="s">
        <v>697</v>
      </c>
      <c r="D19" s="8" t="s">
        <v>88</v>
      </c>
      <c r="E19" s="8" t="s">
        <v>88</v>
      </c>
      <c r="F19" s="8" t="s">
        <v>747</v>
      </c>
      <c r="G19" s="8" t="s">
        <v>693</v>
      </c>
      <c r="H19" s="8" t="s">
        <v>694</v>
      </c>
      <c r="I19" s="8" t="s">
        <v>695</v>
      </c>
      <c r="J19" s="8" t="s">
        <v>696</v>
      </c>
      <c r="K19" s="8" t="s">
        <v>56</v>
      </c>
      <c r="L19" s="8" t="s">
        <v>93</v>
      </c>
      <c r="M19" s="8" t="s">
        <v>58</v>
      </c>
      <c r="N19" s="8" t="s">
        <v>93</v>
      </c>
      <c r="O19" s="8" t="s">
        <v>58</v>
      </c>
      <c r="P19" s="8" t="s">
        <v>93</v>
      </c>
      <c r="Q19" s="8" t="s">
        <v>93</v>
      </c>
      <c r="S19" s="10">
        <v>0.76900000000000002</v>
      </c>
      <c r="T19" s="8" t="s">
        <v>727</v>
      </c>
      <c r="U19" s="10">
        <v>0.80800000000000005</v>
      </c>
      <c r="X19" s="8" t="s">
        <v>735</v>
      </c>
      <c r="AA19" s="8" t="s">
        <v>395</v>
      </c>
      <c r="AJ19" s="11" t="s">
        <v>65</v>
      </c>
      <c r="AK19" s="11" t="s">
        <v>66</v>
      </c>
      <c r="AL19" s="11" t="s">
        <v>67</v>
      </c>
      <c r="AM19" s="13">
        <v>6.8</v>
      </c>
      <c r="AN19" s="13">
        <v>26</v>
      </c>
      <c r="AO19" s="13">
        <v>2.2999999999999998</v>
      </c>
      <c r="AP19" s="15">
        <v>5.5</v>
      </c>
      <c r="AQ19" s="15">
        <v>26</v>
      </c>
      <c r="AR19" s="15">
        <v>3.4</v>
      </c>
      <c r="AU19" s="11" t="s">
        <v>238</v>
      </c>
      <c r="AV19" s="8">
        <v>90</v>
      </c>
      <c r="AW19" s="8">
        <v>35</v>
      </c>
    </row>
    <row r="20" spans="1:49" x14ac:dyDescent="0.2">
      <c r="A20" s="8" t="s">
        <v>691</v>
      </c>
      <c r="B20" s="8">
        <v>2020</v>
      </c>
      <c r="C20" s="8" t="s">
        <v>692</v>
      </c>
      <c r="D20" s="8" t="s">
        <v>105</v>
      </c>
      <c r="E20" s="8" t="s">
        <v>106</v>
      </c>
      <c r="F20" s="8" t="s">
        <v>747</v>
      </c>
      <c r="G20" s="8" t="s">
        <v>693</v>
      </c>
      <c r="H20" s="8" t="s">
        <v>694</v>
      </c>
      <c r="I20" s="8" t="s">
        <v>695</v>
      </c>
      <c r="J20" s="8" t="s">
        <v>696</v>
      </c>
      <c r="K20" s="8" t="s">
        <v>56</v>
      </c>
      <c r="L20" s="8" t="s">
        <v>93</v>
      </c>
      <c r="M20" s="8" t="s">
        <v>58</v>
      </c>
      <c r="N20" s="8" t="s">
        <v>93</v>
      </c>
      <c r="O20" s="8" t="s">
        <v>58</v>
      </c>
      <c r="P20" s="8" t="s">
        <v>93</v>
      </c>
      <c r="Q20" s="8" t="s">
        <v>93</v>
      </c>
      <c r="S20" s="9">
        <v>0.76</v>
      </c>
      <c r="T20" s="8" t="s">
        <v>726</v>
      </c>
      <c r="U20" s="9">
        <v>0.92</v>
      </c>
      <c r="X20" s="8" t="s">
        <v>734</v>
      </c>
      <c r="AA20" s="8" t="s">
        <v>395</v>
      </c>
      <c r="AJ20" s="11" t="s">
        <v>751</v>
      </c>
      <c r="AK20" s="3" t="s">
        <v>750</v>
      </c>
      <c r="AL20" s="3" t="s">
        <v>67</v>
      </c>
      <c r="AM20" s="1">
        <v>4.0999999999999996</v>
      </c>
      <c r="AN20" s="1">
        <v>25</v>
      </c>
      <c r="AO20" s="1">
        <v>3</v>
      </c>
      <c r="AP20" s="2">
        <v>0.9</v>
      </c>
      <c r="AQ20" s="2">
        <v>25</v>
      </c>
      <c r="AR20" s="2">
        <v>1</v>
      </c>
      <c r="AS20" s="1"/>
      <c r="AU20" s="11" t="s">
        <v>238</v>
      </c>
      <c r="AV20" s="8">
        <v>90</v>
      </c>
      <c r="AW20" s="8">
        <v>35</v>
      </c>
    </row>
    <row r="21" spans="1:49" x14ac:dyDescent="0.2">
      <c r="A21" s="8" t="s">
        <v>691</v>
      </c>
      <c r="B21" s="8">
        <v>2020</v>
      </c>
      <c r="C21" s="8" t="s">
        <v>697</v>
      </c>
      <c r="D21" s="8" t="s">
        <v>88</v>
      </c>
      <c r="E21" s="8" t="s">
        <v>88</v>
      </c>
      <c r="F21" s="8" t="s">
        <v>747</v>
      </c>
      <c r="G21" s="8" t="s">
        <v>693</v>
      </c>
      <c r="H21" s="8" t="s">
        <v>694</v>
      </c>
      <c r="I21" s="8" t="s">
        <v>695</v>
      </c>
      <c r="J21" s="8" t="s">
        <v>696</v>
      </c>
      <c r="K21" s="8" t="s">
        <v>56</v>
      </c>
      <c r="L21" s="8" t="s">
        <v>93</v>
      </c>
      <c r="M21" s="8" t="s">
        <v>58</v>
      </c>
      <c r="N21" s="8" t="s">
        <v>93</v>
      </c>
      <c r="O21" s="8" t="s">
        <v>58</v>
      </c>
      <c r="P21" s="8" t="s">
        <v>93</v>
      </c>
      <c r="Q21" s="8" t="s">
        <v>93</v>
      </c>
      <c r="S21" s="10">
        <v>0.76900000000000002</v>
      </c>
      <c r="T21" s="8" t="s">
        <v>727</v>
      </c>
      <c r="U21" s="10">
        <v>0.80800000000000005</v>
      </c>
      <c r="X21" s="8" t="s">
        <v>735</v>
      </c>
      <c r="AA21" s="8" t="s">
        <v>395</v>
      </c>
      <c r="AJ21" s="11" t="s">
        <v>751</v>
      </c>
      <c r="AK21" s="3" t="s">
        <v>750</v>
      </c>
      <c r="AL21" s="3" t="s">
        <v>67</v>
      </c>
      <c r="AM21" s="1">
        <v>4.5999999999999996</v>
      </c>
      <c r="AN21" s="1">
        <v>26</v>
      </c>
      <c r="AO21" s="1">
        <v>2.8</v>
      </c>
      <c r="AP21" s="2">
        <v>2.9</v>
      </c>
      <c r="AQ21" s="2">
        <v>26</v>
      </c>
      <c r="AR21" s="2">
        <v>2.8</v>
      </c>
      <c r="AS21" s="1"/>
      <c r="AU21" s="11" t="s">
        <v>238</v>
      </c>
      <c r="AV21" s="8">
        <v>90</v>
      </c>
      <c r="AW21" s="8">
        <v>35</v>
      </c>
    </row>
    <row r="22" spans="1:49" x14ac:dyDescent="0.2">
      <c r="A22" s="8" t="s">
        <v>717</v>
      </c>
      <c r="B22" s="8">
        <v>2019</v>
      </c>
      <c r="C22" s="8" t="s">
        <v>118</v>
      </c>
      <c r="D22" s="8" t="s">
        <v>49</v>
      </c>
      <c r="E22" s="8" t="s">
        <v>75</v>
      </c>
      <c r="F22" s="8" t="s">
        <v>175</v>
      </c>
      <c r="G22" s="8" t="s">
        <v>718</v>
      </c>
      <c r="H22" s="8" t="s">
        <v>719</v>
      </c>
      <c r="I22" s="8" t="s">
        <v>54</v>
      </c>
      <c r="J22" s="8" t="s">
        <v>121</v>
      </c>
      <c r="K22" s="8" t="s">
        <v>56</v>
      </c>
      <c r="L22" s="8" t="s">
        <v>93</v>
      </c>
      <c r="M22" s="8" t="s">
        <v>712</v>
      </c>
      <c r="N22" s="8" t="s">
        <v>58</v>
      </c>
      <c r="O22" s="8" t="s">
        <v>58</v>
      </c>
      <c r="P22" s="8" t="s">
        <v>58</v>
      </c>
      <c r="Q22" s="8" t="s">
        <v>58</v>
      </c>
      <c r="S22" s="10">
        <v>0.71430000000000005</v>
      </c>
      <c r="T22" s="8" t="s">
        <v>732</v>
      </c>
      <c r="U22" s="10">
        <v>0.55359999999999998</v>
      </c>
      <c r="X22" s="8" t="s">
        <v>743</v>
      </c>
      <c r="AA22" s="8" t="s">
        <v>395</v>
      </c>
      <c r="AJ22" s="1" t="s">
        <v>317</v>
      </c>
      <c r="AK22" s="1" t="s">
        <v>764</v>
      </c>
      <c r="AL22" s="1" t="s">
        <v>67</v>
      </c>
      <c r="AM22" s="1">
        <v>13.93</v>
      </c>
      <c r="AN22" s="1">
        <v>56</v>
      </c>
      <c r="AO22" s="1">
        <v>3.45</v>
      </c>
      <c r="AP22" s="1">
        <v>10.19</v>
      </c>
      <c r="AQ22" s="1">
        <v>47</v>
      </c>
      <c r="AR22" s="1">
        <v>2.78</v>
      </c>
      <c r="AU22" s="11" t="s">
        <v>773</v>
      </c>
      <c r="AV22" s="8">
        <v>210</v>
      </c>
      <c r="AW22" s="8">
        <v>150</v>
      </c>
    </row>
    <row r="23" spans="1:49" x14ac:dyDescent="0.2">
      <c r="A23" s="8" t="s">
        <v>717</v>
      </c>
      <c r="B23" s="8">
        <v>2019</v>
      </c>
      <c r="C23" s="8" t="s">
        <v>548</v>
      </c>
      <c r="D23" s="8" t="s">
        <v>88</v>
      </c>
      <c r="E23" s="8" t="s">
        <v>88</v>
      </c>
      <c r="F23" s="8" t="s">
        <v>175</v>
      </c>
      <c r="G23" s="8" t="s">
        <v>718</v>
      </c>
      <c r="H23" s="8" t="s">
        <v>719</v>
      </c>
      <c r="I23" s="8" t="s">
        <v>54</v>
      </c>
      <c r="J23" s="8" t="s">
        <v>121</v>
      </c>
      <c r="K23" s="8" t="s">
        <v>56</v>
      </c>
      <c r="L23" s="8" t="s">
        <v>93</v>
      </c>
      <c r="M23" s="8" t="s">
        <v>712</v>
      </c>
      <c r="N23" s="8" t="s">
        <v>58</v>
      </c>
      <c r="O23" s="8" t="s">
        <v>58</v>
      </c>
      <c r="P23" s="8" t="s">
        <v>58</v>
      </c>
      <c r="Q23" s="8" t="s">
        <v>58</v>
      </c>
      <c r="S23" s="10">
        <v>0.63390000000000002</v>
      </c>
      <c r="T23" s="8" t="s">
        <v>733</v>
      </c>
      <c r="U23" s="10">
        <v>0.69640000000000002</v>
      </c>
      <c r="X23" s="8" t="s">
        <v>744</v>
      </c>
      <c r="AA23" s="8" t="s">
        <v>395</v>
      </c>
      <c r="AJ23" s="1" t="s">
        <v>317</v>
      </c>
      <c r="AK23" s="1" t="s">
        <v>764</v>
      </c>
      <c r="AL23" s="1" t="s">
        <v>67</v>
      </c>
      <c r="AM23" s="1">
        <v>13.21</v>
      </c>
      <c r="AN23" s="1">
        <v>56</v>
      </c>
      <c r="AO23" s="1">
        <v>3.11</v>
      </c>
      <c r="AP23" s="1">
        <v>12.21</v>
      </c>
      <c r="AQ23" s="1">
        <v>35</v>
      </c>
      <c r="AR23" s="1">
        <v>3.56</v>
      </c>
      <c r="AU23" s="11" t="s">
        <v>773</v>
      </c>
      <c r="AV23" s="8">
        <v>210</v>
      </c>
      <c r="AW23" s="8">
        <v>150</v>
      </c>
    </row>
    <row r="24" spans="1:49" x14ac:dyDescent="0.2">
      <c r="A24" s="8" t="s">
        <v>717</v>
      </c>
      <c r="B24" s="8">
        <v>2019</v>
      </c>
      <c r="C24" s="8" t="s">
        <v>118</v>
      </c>
      <c r="D24" s="8" t="s">
        <v>49</v>
      </c>
      <c r="E24" s="8" t="s">
        <v>75</v>
      </c>
      <c r="F24" s="8" t="s">
        <v>175</v>
      </c>
      <c r="G24" s="8" t="s">
        <v>718</v>
      </c>
      <c r="H24" s="8" t="s">
        <v>719</v>
      </c>
      <c r="I24" s="8" t="s">
        <v>54</v>
      </c>
      <c r="J24" s="8" t="s">
        <v>121</v>
      </c>
      <c r="K24" s="8" t="s">
        <v>56</v>
      </c>
      <c r="L24" s="8" t="s">
        <v>93</v>
      </c>
      <c r="M24" s="8" t="s">
        <v>712</v>
      </c>
      <c r="N24" s="8" t="s">
        <v>58</v>
      </c>
      <c r="O24" s="8" t="s">
        <v>58</v>
      </c>
      <c r="P24" s="8" t="s">
        <v>58</v>
      </c>
      <c r="Q24" s="8" t="s">
        <v>58</v>
      </c>
      <c r="S24" s="10">
        <v>0.71430000000000005</v>
      </c>
      <c r="T24" s="8" t="s">
        <v>732</v>
      </c>
      <c r="U24" s="10">
        <v>0.55359999999999998</v>
      </c>
      <c r="X24" s="8" t="s">
        <v>743</v>
      </c>
      <c r="AA24" s="8" t="s">
        <v>395</v>
      </c>
      <c r="AJ24" s="1" t="s">
        <v>317</v>
      </c>
      <c r="AK24" s="1" t="s">
        <v>764</v>
      </c>
      <c r="AL24" s="1" t="s">
        <v>67</v>
      </c>
      <c r="AM24" s="1">
        <v>13.93</v>
      </c>
      <c r="AN24" s="1">
        <v>56</v>
      </c>
      <c r="AO24" s="1">
        <v>3.45</v>
      </c>
      <c r="AP24" s="1">
        <v>9.4</v>
      </c>
      <c r="AQ24" s="1">
        <v>54</v>
      </c>
      <c r="AR24" s="1">
        <v>3.39</v>
      </c>
      <c r="AU24" s="11" t="s">
        <v>772</v>
      </c>
      <c r="AV24" s="8">
        <v>150</v>
      </c>
      <c r="AW24" s="8">
        <v>150</v>
      </c>
    </row>
    <row r="25" spans="1:49" x14ac:dyDescent="0.2">
      <c r="A25" s="8" t="s">
        <v>717</v>
      </c>
      <c r="B25" s="8">
        <v>2019</v>
      </c>
      <c r="C25" s="8" t="s">
        <v>548</v>
      </c>
      <c r="D25" s="8" t="s">
        <v>88</v>
      </c>
      <c r="E25" s="8" t="s">
        <v>88</v>
      </c>
      <c r="F25" s="8" t="s">
        <v>175</v>
      </c>
      <c r="G25" s="8" t="s">
        <v>718</v>
      </c>
      <c r="H25" s="8" t="s">
        <v>719</v>
      </c>
      <c r="I25" s="8" t="s">
        <v>54</v>
      </c>
      <c r="J25" s="8" t="s">
        <v>121</v>
      </c>
      <c r="K25" s="8" t="s">
        <v>56</v>
      </c>
      <c r="L25" s="8" t="s">
        <v>93</v>
      </c>
      <c r="M25" s="8" t="s">
        <v>712</v>
      </c>
      <c r="N25" s="8" t="s">
        <v>58</v>
      </c>
      <c r="O25" s="8" t="s">
        <v>58</v>
      </c>
      <c r="P25" s="8" t="s">
        <v>58</v>
      </c>
      <c r="Q25" s="8" t="s">
        <v>58</v>
      </c>
      <c r="S25" s="10">
        <v>0.63390000000000002</v>
      </c>
      <c r="T25" s="8" t="s">
        <v>733</v>
      </c>
      <c r="U25" s="10">
        <v>0.69640000000000002</v>
      </c>
      <c r="X25" s="8" t="s">
        <v>744</v>
      </c>
      <c r="AA25" s="8" t="s">
        <v>395</v>
      </c>
      <c r="AJ25" s="1" t="s">
        <v>317</v>
      </c>
      <c r="AK25" s="1" t="s">
        <v>764</v>
      </c>
      <c r="AL25" s="1" t="s">
        <v>67</v>
      </c>
      <c r="AM25" s="1">
        <v>13.21</v>
      </c>
      <c r="AN25" s="1">
        <v>56</v>
      </c>
      <c r="AO25" s="1">
        <v>3.11</v>
      </c>
      <c r="AP25" s="1">
        <v>11.96</v>
      </c>
      <c r="AQ25" s="1">
        <v>45</v>
      </c>
      <c r="AR25" s="1">
        <v>3.4</v>
      </c>
      <c r="AU25" s="11" t="s">
        <v>772</v>
      </c>
      <c r="AV25" s="8">
        <v>150</v>
      </c>
      <c r="AW25" s="8">
        <v>150</v>
      </c>
    </row>
    <row r="26" spans="1:49" x14ac:dyDescent="0.2">
      <c r="A26" s="8" t="s">
        <v>704</v>
      </c>
      <c r="B26" s="8">
        <v>2019</v>
      </c>
      <c r="C26" s="8" t="s">
        <v>118</v>
      </c>
      <c r="D26" s="8" t="s">
        <v>191</v>
      </c>
      <c r="E26" s="8" t="s">
        <v>192</v>
      </c>
      <c r="F26" s="8" t="s">
        <v>258</v>
      </c>
      <c r="G26" s="8" t="s">
        <v>705</v>
      </c>
      <c r="H26" s="8" t="s">
        <v>706</v>
      </c>
      <c r="I26" s="8" t="s">
        <v>706</v>
      </c>
      <c r="J26" s="8" t="s">
        <v>707</v>
      </c>
      <c r="K26" s="8" t="s">
        <v>56</v>
      </c>
      <c r="L26" s="8" t="s">
        <v>93</v>
      </c>
      <c r="M26" s="8" t="s">
        <v>57</v>
      </c>
      <c r="N26" s="8" t="s">
        <v>93</v>
      </c>
      <c r="O26" s="8" t="s">
        <v>58</v>
      </c>
      <c r="P26" s="8" t="s">
        <v>58</v>
      </c>
      <c r="Q26" s="8" t="s">
        <v>57</v>
      </c>
      <c r="R26" s="8" t="s">
        <v>722</v>
      </c>
      <c r="S26" s="10">
        <v>0.76700000000000002</v>
      </c>
      <c r="T26" s="8" t="s">
        <v>728</v>
      </c>
      <c r="U26" s="10">
        <v>0.83330000000000004</v>
      </c>
      <c r="X26" s="8" t="s">
        <v>737</v>
      </c>
      <c r="AA26" s="8" t="s">
        <v>395</v>
      </c>
      <c r="AJ26" s="11" t="s">
        <v>65</v>
      </c>
      <c r="AK26" s="11" t="s">
        <v>66</v>
      </c>
      <c r="AL26" s="11" t="s">
        <v>67</v>
      </c>
      <c r="AM26" s="13">
        <v>31.43</v>
      </c>
      <c r="AN26" s="13">
        <v>30</v>
      </c>
      <c r="AO26" s="13">
        <v>18.18</v>
      </c>
      <c r="AP26" s="15">
        <v>27.87</v>
      </c>
      <c r="AQ26" s="15">
        <v>26</v>
      </c>
      <c r="AR26" s="15">
        <v>18.39</v>
      </c>
      <c r="AU26" s="11" t="s">
        <v>748</v>
      </c>
      <c r="AV26" s="8">
        <v>112</v>
      </c>
      <c r="AW26" s="8">
        <v>112</v>
      </c>
    </row>
    <row r="27" spans="1:49" x14ac:dyDescent="0.2">
      <c r="A27" s="8" t="s">
        <v>704</v>
      </c>
      <c r="B27" s="8">
        <v>2019</v>
      </c>
      <c r="C27" s="8" t="s">
        <v>87</v>
      </c>
      <c r="D27" s="8" t="s">
        <v>88</v>
      </c>
      <c r="E27" s="8" t="s">
        <v>88</v>
      </c>
      <c r="F27" s="8" t="s">
        <v>258</v>
      </c>
      <c r="G27" s="8" t="s">
        <v>705</v>
      </c>
      <c r="H27" s="8" t="s">
        <v>706</v>
      </c>
      <c r="I27" s="8" t="s">
        <v>706</v>
      </c>
      <c r="J27" s="8" t="s">
        <v>707</v>
      </c>
      <c r="K27" s="8" t="s">
        <v>56</v>
      </c>
      <c r="L27" s="8" t="s">
        <v>93</v>
      </c>
      <c r="M27" s="8" t="s">
        <v>57</v>
      </c>
      <c r="N27" s="8" t="s">
        <v>93</v>
      </c>
      <c r="O27" s="8" t="s">
        <v>58</v>
      </c>
      <c r="P27" s="8" t="s">
        <v>58</v>
      </c>
      <c r="Q27" s="8" t="s">
        <v>57</v>
      </c>
      <c r="R27" s="8" t="s">
        <v>723</v>
      </c>
      <c r="S27" s="10">
        <v>0.67700000000000005</v>
      </c>
      <c r="T27" s="8" t="s">
        <v>729</v>
      </c>
      <c r="U27" s="10">
        <v>0.74229999999999996</v>
      </c>
      <c r="X27" s="8" t="s">
        <v>738</v>
      </c>
      <c r="AA27" s="8" t="s">
        <v>395</v>
      </c>
      <c r="AJ27" s="11" t="s">
        <v>65</v>
      </c>
      <c r="AK27" s="11" t="s">
        <v>66</v>
      </c>
      <c r="AL27" s="11" t="s">
        <v>67</v>
      </c>
      <c r="AM27" s="13">
        <v>40.17</v>
      </c>
      <c r="AN27" s="13">
        <v>31</v>
      </c>
      <c r="AO27" s="13">
        <v>18.100000000000001</v>
      </c>
      <c r="AP27" s="15">
        <v>40.700000000000003</v>
      </c>
      <c r="AQ27" s="15">
        <v>28</v>
      </c>
      <c r="AR27" s="15">
        <v>17.66</v>
      </c>
      <c r="AU27" s="11" t="s">
        <v>748</v>
      </c>
      <c r="AV27" s="8">
        <v>112</v>
      </c>
      <c r="AW27" s="8">
        <v>112</v>
      </c>
    </row>
    <row r="28" spans="1:49" x14ac:dyDescent="0.2">
      <c r="A28" s="8" t="s">
        <v>704</v>
      </c>
      <c r="B28" s="8">
        <v>2019</v>
      </c>
      <c r="C28" s="8" t="s">
        <v>118</v>
      </c>
      <c r="D28" s="8" t="s">
        <v>191</v>
      </c>
      <c r="E28" s="8" t="s">
        <v>192</v>
      </c>
      <c r="F28" s="8" t="s">
        <v>258</v>
      </c>
      <c r="G28" s="8" t="s">
        <v>705</v>
      </c>
      <c r="H28" s="8" t="s">
        <v>706</v>
      </c>
      <c r="I28" s="8" t="s">
        <v>706</v>
      </c>
      <c r="J28" s="8" t="s">
        <v>707</v>
      </c>
      <c r="K28" s="8" t="s">
        <v>56</v>
      </c>
      <c r="L28" s="8" t="s">
        <v>93</v>
      </c>
      <c r="M28" s="8" t="s">
        <v>57</v>
      </c>
      <c r="N28" s="8" t="s">
        <v>93</v>
      </c>
      <c r="O28" s="8" t="s">
        <v>58</v>
      </c>
      <c r="P28" s="8" t="s">
        <v>58</v>
      </c>
      <c r="Q28" s="8" t="s">
        <v>57</v>
      </c>
      <c r="R28" s="8" t="s">
        <v>722</v>
      </c>
      <c r="S28" s="10">
        <v>0.76700000000000002</v>
      </c>
      <c r="T28" s="8" t="s">
        <v>728</v>
      </c>
      <c r="U28" s="10">
        <v>0.83330000000000004</v>
      </c>
      <c r="X28" s="8" t="s">
        <v>737</v>
      </c>
      <c r="AA28" s="8" t="s">
        <v>395</v>
      </c>
      <c r="AJ28" s="1" t="s">
        <v>760</v>
      </c>
      <c r="AK28" s="1" t="s">
        <v>759</v>
      </c>
      <c r="AL28" s="1" t="s">
        <v>67</v>
      </c>
      <c r="AM28" s="1">
        <v>41.75</v>
      </c>
      <c r="AN28" s="1">
        <v>30</v>
      </c>
      <c r="AO28" s="1">
        <v>10</v>
      </c>
      <c r="AP28" s="1">
        <v>45.41</v>
      </c>
      <c r="AQ28" s="1">
        <v>26</v>
      </c>
      <c r="AR28" s="1">
        <v>7.94</v>
      </c>
      <c r="AS28" s="1"/>
      <c r="AU28" s="11" t="s">
        <v>748</v>
      </c>
      <c r="AV28" s="8">
        <v>112</v>
      </c>
      <c r="AW28" s="8">
        <v>112</v>
      </c>
    </row>
    <row r="29" spans="1:49" x14ac:dyDescent="0.2">
      <c r="A29" s="8" t="s">
        <v>704</v>
      </c>
      <c r="B29" s="8">
        <v>2019</v>
      </c>
      <c r="C29" s="8" t="s">
        <v>87</v>
      </c>
      <c r="D29" s="8" t="s">
        <v>88</v>
      </c>
      <c r="E29" s="8" t="s">
        <v>88</v>
      </c>
      <c r="F29" s="8" t="s">
        <v>258</v>
      </c>
      <c r="G29" s="8" t="s">
        <v>705</v>
      </c>
      <c r="H29" s="8" t="s">
        <v>706</v>
      </c>
      <c r="I29" s="8" t="s">
        <v>706</v>
      </c>
      <c r="J29" s="8" t="s">
        <v>707</v>
      </c>
      <c r="K29" s="8" t="s">
        <v>56</v>
      </c>
      <c r="L29" s="8" t="s">
        <v>93</v>
      </c>
      <c r="M29" s="8" t="s">
        <v>57</v>
      </c>
      <c r="N29" s="8" t="s">
        <v>93</v>
      </c>
      <c r="O29" s="8" t="s">
        <v>58</v>
      </c>
      <c r="P29" s="8" t="s">
        <v>58</v>
      </c>
      <c r="Q29" s="8" t="s">
        <v>57</v>
      </c>
      <c r="R29" s="8" t="s">
        <v>723</v>
      </c>
      <c r="S29" s="10">
        <v>0.67700000000000005</v>
      </c>
      <c r="T29" s="8" t="s">
        <v>729</v>
      </c>
      <c r="U29" s="10">
        <v>0.74229999999999996</v>
      </c>
      <c r="X29" s="8" t="s">
        <v>738</v>
      </c>
      <c r="AA29" s="8" t="s">
        <v>395</v>
      </c>
      <c r="AJ29" s="1" t="s">
        <v>760</v>
      </c>
      <c r="AK29" s="1" t="s">
        <v>759</v>
      </c>
      <c r="AL29" s="1" t="s">
        <v>67</v>
      </c>
      <c r="AM29" s="1">
        <v>41.59</v>
      </c>
      <c r="AN29" s="1">
        <v>31</v>
      </c>
      <c r="AO29" s="1">
        <v>9.7799999999999994</v>
      </c>
      <c r="AP29" s="1">
        <v>37.74</v>
      </c>
      <c r="AQ29" s="1">
        <v>28</v>
      </c>
      <c r="AR29" s="1">
        <v>10.77</v>
      </c>
      <c r="AS29" s="1"/>
      <c r="AU29" s="11" t="s">
        <v>748</v>
      </c>
      <c r="AV29" s="8">
        <v>112</v>
      </c>
      <c r="AW29" s="8">
        <v>112</v>
      </c>
    </row>
    <row r="30" spans="1:49" x14ac:dyDescent="0.2">
      <c r="A30" s="8" t="s">
        <v>704</v>
      </c>
      <c r="B30" s="8">
        <v>2019</v>
      </c>
      <c r="C30" s="8" t="s">
        <v>118</v>
      </c>
      <c r="D30" s="8" t="s">
        <v>191</v>
      </c>
      <c r="E30" s="8" t="s">
        <v>192</v>
      </c>
      <c r="F30" s="8" t="s">
        <v>258</v>
      </c>
      <c r="G30" s="8" t="s">
        <v>705</v>
      </c>
      <c r="H30" s="8" t="s">
        <v>706</v>
      </c>
      <c r="I30" s="8" t="s">
        <v>706</v>
      </c>
      <c r="J30" s="8" t="s">
        <v>707</v>
      </c>
      <c r="K30" s="8" t="s">
        <v>56</v>
      </c>
      <c r="L30" s="8" t="s">
        <v>93</v>
      </c>
      <c r="M30" s="8" t="s">
        <v>57</v>
      </c>
      <c r="N30" s="8" t="s">
        <v>93</v>
      </c>
      <c r="O30" s="8" t="s">
        <v>58</v>
      </c>
      <c r="P30" s="8" t="s">
        <v>58</v>
      </c>
      <c r="Q30" s="8" t="s">
        <v>57</v>
      </c>
      <c r="R30" s="8" t="s">
        <v>722</v>
      </c>
      <c r="S30" s="10">
        <v>0.76700000000000002</v>
      </c>
      <c r="T30" s="8" t="s">
        <v>728</v>
      </c>
      <c r="U30" s="10">
        <v>0.83330000000000004</v>
      </c>
      <c r="X30" s="8" t="s">
        <v>737</v>
      </c>
      <c r="AA30" s="8" t="s">
        <v>395</v>
      </c>
      <c r="AJ30" s="7" t="s">
        <v>317</v>
      </c>
      <c r="AK30" s="7" t="s">
        <v>761</v>
      </c>
      <c r="AL30" s="7" t="s">
        <v>67</v>
      </c>
      <c r="AM30" s="7">
        <v>11.87</v>
      </c>
      <c r="AN30" s="7">
        <v>30</v>
      </c>
      <c r="AO30" s="7">
        <v>9.73</v>
      </c>
      <c r="AP30" s="7">
        <v>10.5</v>
      </c>
      <c r="AQ30" s="7">
        <v>26</v>
      </c>
      <c r="AR30" s="7">
        <v>8.6999999999999993</v>
      </c>
      <c r="AS30" s="1"/>
      <c r="AU30" s="11" t="s">
        <v>748</v>
      </c>
      <c r="AV30" s="8">
        <v>112</v>
      </c>
      <c r="AW30" s="8">
        <v>112</v>
      </c>
    </row>
    <row r="31" spans="1:49" x14ac:dyDescent="0.2">
      <c r="A31" s="8" t="s">
        <v>704</v>
      </c>
      <c r="B31" s="8">
        <v>2019</v>
      </c>
      <c r="C31" s="8" t="s">
        <v>87</v>
      </c>
      <c r="D31" s="8" t="s">
        <v>88</v>
      </c>
      <c r="E31" s="8" t="s">
        <v>88</v>
      </c>
      <c r="F31" s="8" t="s">
        <v>258</v>
      </c>
      <c r="G31" s="8" t="s">
        <v>705</v>
      </c>
      <c r="H31" s="8" t="s">
        <v>706</v>
      </c>
      <c r="I31" s="8" t="s">
        <v>706</v>
      </c>
      <c r="J31" s="8" t="s">
        <v>707</v>
      </c>
      <c r="K31" s="8" t="s">
        <v>56</v>
      </c>
      <c r="L31" s="8" t="s">
        <v>93</v>
      </c>
      <c r="M31" s="8" t="s">
        <v>57</v>
      </c>
      <c r="N31" s="8" t="s">
        <v>93</v>
      </c>
      <c r="O31" s="8" t="s">
        <v>58</v>
      </c>
      <c r="P31" s="8" t="s">
        <v>58</v>
      </c>
      <c r="Q31" s="8" t="s">
        <v>57</v>
      </c>
      <c r="R31" s="8" t="s">
        <v>723</v>
      </c>
      <c r="S31" s="10">
        <v>0.67700000000000005</v>
      </c>
      <c r="T31" s="8" t="s">
        <v>729</v>
      </c>
      <c r="U31" s="10">
        <v>0.74229999999999996</v>
      </c>
      <c r="X31" s="8" t="s">
        <v>738</v>
      </c>
      <c r="AA31" s="8" t="s">
        <v>395</v>
      </c>
      <c r="AJ31" s="7" t="s">
        <v>317</v>
      </c>
      <c r="AK31" s="7" t="s">
        <v>761</v>
      </c>
      <c r="AL31" s="7" t="s">
        <v>67</v>
      </c>
      <c r="AM31" s="7">
        <v>9.35</v>
      </c>
      <c r="AN31" s="7">
        <v>31</v>
      </c>
      <c r="AO31" s="7">
        <v>8.06</v>
      </c>
      <c r="AP31" s="7">
        <v>14.64</v>
      </c>
      <c r="AQ31" s="7">
        <v>28</v>
      </c>
      <c r="AR31" s="7">
        <v>10.06</v>
      </c>
      <c r="AS31" s="1"/>
      <c r="AU31" s="11" t="s">
        <v>748</v>
      </c>
      <c r="AV31" s="8">
        <v>112</v>
      </c>
      <c r="AW31" s="8">
        <v>112</v>
      </c>
    </row>
    <row r="32" spans="1:49" x14ac:dyDescent="0.2">
      <c r="A32" s="8" t="s">
        <v>704</v>
      </c>
      <c r="B32" s="8">
        <v>2019</v>
      </c>
      <c r="C32" s="8" t="s">
        <v>118</v>
      </c>
      <c r="D32" s="8" t="s">
        <v>191</v>
      </c>
      <c r="E32" s="8" t="s">
        <v>192</v>
      </c>
      <c r="F32" s="8" t="s">
        <v>258</v>
      </c>
      <c r="G32" s="8" t="s">
        <v>705</v>
      </c>
      <c r="H32" s="8" t="s">
        <v>706</v>
      </c>
      <c r="I32" s="8" t="s">
        <v>706</v>
      </c>
      <c r="J32" s="8" t="s">
        <v>707</v>
      </c>
      <c r="K32" s="8" t="s">
        <v>56</v>
      </c>
      <c r="L32" s="8" t="s">
        <v>93</v>
      </c>
      <c r="M32" s="8" t="s">
        <v>57</v>
      </c>
      <c r="N32" s="8" t="s">
        <v>93</v>
      </c>
      <c r="O32" s="8" t="s">
        <v>58</v>
      </c>
      <c r="P32" s="8" t="s">
        <v>58</v>
      </c>
      <c r="Q32" s="8" t="s">
        <v>57</v>
      </c>
      <c r="R32" s="8" t="s">
        <v>722</v>
      </c>
      <c r="S32" s="10">
        <v>0.76700000000000002</v>
      </c>
      <c r="T32" s="8" t="s">
        <v>728</v>
      </c>
      <c r="U32" s="10">
        <v>0.83330000000000004</v>
      </c>
      <c r="X32" s="8" t="s">
        <v>737</v>
      </c>
      <c r="AA32" s="8" t="s">
        <v>395</v>
      </c>
      <c r="AJ32" s="7" t="s">
        <v>317</v>
      </c>
      <c r="AK32" s="7" t="s">
        <v>762</v>
      </c>
      <c r="AL32" s="7" t="s">
        <v>67</v>
      </c>
      <c r="AM32" s="7">
        <v>11.62</v>
      </c>
      <c r="AN32" s="7">
        <v>30</v>
      </c>
      <c r="AO32" s="7">
        <v>8.34</v>
      </c>
      <c r="AP32" s="7">
        <v>9.68</v>
      </c>
      <c r="AQ32" s="7">
        <v>26</v>
      </c>
      <c r="AR32" s="7">
        <v>8.4499999999999993</v>
      </c>
      <c r="AS32" s="1"/>
      <c r="AU32" s="11" t="s">
        <v>748</v>
      </c>
      <c r="AV32" s="8">
        <v>112</v>
      </c>
      <c r="AW32" s="8">
        <v>112</v>
      </c>
    </row>
    <row r="33" spans="1:49" x14ac:dyDescent="0.2">
      <c r="A33" s="8" t="s">
        <v>704</v>
      </c>
      <c r="B33" s="8">
        <v>2019</v>
      </c>
      <c r="C33" s="8" t="s">
        <v>87</v>
      </c>
      <c r="D33" s="8" t="s">
        <v>88</v>
      </c>
      <c r="E33" s="8" t="s">
        <v>88</v>
      </c>
      <c r="F33" s="8" t="s">
        <v>258</v>
      </c>
      <c r="G33" s="8" t="s">
        <v>705</v>
      </c>
      <c r="H33" s="8" t="s">
        <v>706</v>
      </c>
      <c r="I33" s="8" t="s">
        <v>706</v>
      </c>
      <c r="J33" s="8" t="s">
        <v>707</v>
      </c>
      <c r="K33" s="8" t="s">
        <v>56</v>
      </c>
      <c r="L33" s="8" t="s">
        <v>93</v>
      </c>
      <c r="M33" s="8" t="s">
        <v>57</v>
      </c>
      <c r="N33" s="8" t="s">
        <v>93</v>
      </c>
      <c r="O33" s="8" t="s">
        <v>58</v>
      </c>
      <c r="P33" s="8" t="s">
        <v>58</v>
      </c>
      <c r="Q33" s="8" t="s">
        <v>57</v>
      </c>
      <c r="R33" s="8" t="s">
        <v>723</v>
      </c>
      <c r="S33" s="10">
        <v>0.67700000000000005</v>
      </c>
      <c r="T33" s="8" t="s">
        <v>729</v>
      </c>
      <c r="U33" s="10">
        <v>0.74229999999999996</v>
      </c>
      <c r="X33" s="8" t="s">
        <v>738</v>
      </c>
      <c r="AA33" s="8" t="s">
        <v>395</v>
      </c>
      <c r="AJ33" s="7" t="s">
        <v>317</v>
      </c>
      <c r="AK33" s="7" t="s">
        <v>762</v>
      </c>
      <c r="AL33" s="7" t="s">
        <v>67</v>
      </c>
      <c r="AM33" s="7">
        <v>15.23</v>
      </c>
      <c r="AN33" s="7">
        <v>31</v>
      </c>
      <c r="AO33" s="7">
        <v>7.7</v>
      </c>
      <c r="AP33" s="7">
        <v>20.64</v>
      </c>
      <c r="AQ33" s="7">
        <v>28</v>
      </c>
      <c r="AR33" s="7">
        <v>8.94</v>
      </c>
      <c r="AS33" s="1"/>
      <c r="AU33" s="11" t="s">
        <v>748</v>
      </c>
      <c r="AV33" s="8">
        <v>112</v>
      </c>
      <c r="AW33" s="8">
        <v>112</v>
      </c>
    </row>
    <row r="34" spans="1:49" x14ac:dyDescent="0.2">
      <c r="A34" s="8" t="s">
        <v>704</v>
      </c>
      <c r="B34" s="8">
        <v>2019</v>
      </c>
      <c r="C34" s="8" t="s">
        <v>118</v>
      </c>
      <c r="D34" s="8" t="s">
        <v>191</v>
      </c>
      <c r="E34" s="8" t="s">
        <v>192</v>
      </c>
      <c r="F34" s="8" t="s">
        <v>258</v>
      </c>
      <c r="G34" s="8" t="s">
        <v>705</v>
      </c>
      <c r="H34" s="8" t="s">
        <v>706</v>
      </c>
      <c r="I34" s="8" t="s">
        <v>706</v>
      </c>
      <c r="J34" s="8" t="s">
        <v>707</v>
      </c>
      <c r="K34" s="8" t="s">
        <v>56</v>
      </c>
      <c r="L34" s="8" t="s">
        <v>93</v>
      </c>
      <c r="M34" s="8" t="s">
        <v>57</v>
      </c>
      <c r="N34" s="8" t="s">
        <v>93</v>
      </c>
      <c r="O34" s="8" t="s">
        <v>58</v>
      </c>
      <c r="P34" s="8" t="s">
        <v>58</v>
      </c>
      <c r="Q34" s="8" t="s">
        <v>57</v>
      </c>
      <c r="R34" s="8" t="s">
        <v>722</v>
      </c>
      <c r="S34" s="10">
        <v>0.76700000000000002</v>
      </c>
      <c r="T34" s="8" t="s">
        <v>728</v>
      </c>
      <c r="U34" s="10">
        <v>0.83330000000000004</v>
      </c>
      <c r="X34" s="8" t="s">
        <v>737</v>
      </c>
      <c r="AA34" s="8" t="s">
        <v>395</v>
      </c>
      <c r="AJ34" s="7" t="s">
        <v>765</v>
      </c>
      <c r="AK34" s="7" t="s">
        <v>763</v>
      </c>
      <c r="AL34" s="7" t="s">
        <v>67</v>
      </c>
      <c r="AM34" s="7">
        <v>10.06</v>
      </c>
      <c r="AN34" s="7">
        <v>30</v>
      </c>
      <c r="AO34" s="7">
        <v>8.89</v>
      </c>
      <c r="AP34" s="7">
        <v>6.18</v>
      </c>
      <c r="AQ34" s="7">
        <v>26</v>
      </c>
      <c r="AR34" s="7">
        <v>7.26</v>
      </c>
      <c r="AS34" s="1"/>
      <c r="AU34" s="11" t="s">
        <v>748</v>
      </c>
      <c r="AV34" s="8">
        <v>112</v>
      </c>
      <c r="AW34" s="8">
        <v>112</v>
      </c>
    </row>
    <row r="35" spans="1:49" x14ac:dyDescent="0.2">
      <c r="A35" s="8" t="s">
        <v>704</v>
      </c>
      <c r="B35" s="8">
        <v>2019</v>
      </c>
      <c r="C35" s="8" t="s">
        <v>87</v>
      </c>
      <c r="D35" s="8" t="s">
        <v>88</v>
      </c>
      <c r="E35" s="8" t="s">
        <v>88</v>
      </c>
      <c r="F35" s="8" t="s">
        <v>258</v>
      </c>
      <c r="G35" s="8" t="s">
        <v>705</v>
      </c>
      <c r="H35" s="8" t="s">
        <v>706</v>
      </c>
      <c r="I35" s="8" t="s">
        <v>706</v>
      </c>
      <c r="J35" s="8" t="s">
        <v>707</v>
      </c>
      <c r="K35" s="8" t="s">
        <v>56</v>
      </c>
      <c r="L35" s="8" t="s">
        <v>93</v>
      </c>
      <c r="M35" s="8" t="s">
        <v>57</v>
      </c>
      <c r="N35" s="8" t="s">
        <v>93</v>
      </c>
      <c r="O35" s="8" t="s">
        <v>58</v>
      </c>
      <c r="P35" s="8" t="s">
        <v>58</v>
      </c>
      <c r="Q35" s="8" t="s">
        <v>57</v>
      </c>
      <c r="R35" s="8" t="s">
        <v>723</v>
      </c>
      <c r="S35" s="10">
        <v>0.67700000000000005</v>
      </c>
      <c r="T35" s="8" t="s">
        <v>729</v>
      </c>
      <c r="U35" s="10">
        <v>0.74229999999999996</v>
      </c>
      <c r="X35" s="8" t="s">
        <v>738</v>
      </c>
      <c r="AA35" s="8" t="s">
        <v>395</v>
      </c>
      <c r="AJ35" s="7" t="s">
        <v>765</v>
      </c>
      <c r="AK35" s="7" t="s">
        <v>763</v>
      </c>
      <c r="AL35" s="7" t="s">
        <v>67</v>
      </c>
      <c r="AM35" s="7">
        <v>12.23</v>
      </c>
      <c r="AN35" s="7">
        <v>31</v>
      </c>
      <c r="AO35" s="7">
        <v>8.0500000000000007</v>
      </c>
      <c r="AP35" s="7">
        <v>15.47</v>
      </c>
      <c r="AQ35" s="7">
        <v>28</v>
      </c>
      <c r="AR35" s="7">
        <v>9.2799999999999994</v>
      </c>
      <c r="AS35" s="1"/>
      <c r="AU35" s="11" t="s">
        <v>748</v>
      </c>
      <c r="AV35" s="8">
        <v>112</v>
      </c>
      <c r="AW35" s="8">
        <v>112</v>
      </c>
    </row>
    <row r="36" spans="1:49" x14ac:dyDescent="0.2">
      <c r="A36" s="8" t="s">
        <v>704</v>
      </c>
      <c r="B36" s="8">
        <v>2019</v>
      </c>
      <c r="C36" s="8" t="s">
        <v>118</v>
      </c>
      <c r="D36" s="8" t="s">
        <v>191</v>
      </c>
      <c r="E36" s="8" t="s">
        <v>192</v>
      </c>
      <c r="F36" s="8" t="s">
        <v>258</v>
      </c>
      <c r="G36" s="8" t="s">
        <v>705</v>
      </c>
      <c r="H36" s="8" t="s">
        <v>706</v>
      </c>
      <c r="I36" s="8" t="s">
        <v>706</v>
      </c>
      <c r="J36" s="8" t="s">
        <v>707</v>
      </c>
      <c r="K36" s="8" t="s">
        <v>56</v>
      </c>
      <c r="L36" s="8" t="s">
        <v>93</v>
      </c>
      <c r="M36" s="8" t="s">
        <v>57</v>
      </c>
      <c r="N36" s="8" t="s">
        <v>93</v>
      </c>
      <c r="O36" s="8" t="s">
        <v>58</v>
      </c>
      <c r="P36" s="8" t="s">
        <v>58</v>
      </c>
      <c r="Q36" s="8" t="s">
        <v>57</v>
      </c>
      <c r="R36" s="8" t="s">
        <v>722</v>
      </c>
      <c r="S36" s="10">
        <v>0.76700000000000002</v>
      </c>
      <c r="T36" s="8" t="s">
        <v>728</v>
      </c>
      <c r="U36" s="10">
        <v>0.83330000000000004</v>
      </c>
      <c r="X36" s="8" t="s">
        <v>737</v>
      </c>
      <c r="AA36" s="8" t="s">
        <v>395</v>
      </c>
      <c r="AJ36" s="7" t="s">
        <v>766</v>
      </c>
      <c r="AK36" s="7" t="s">
        <v>513</v>
      </c>
      <c r="AL36" s="7" t="s">
        <v>67</v>
      </c>
      <c r="AM36" s="7">
        <v>41.79</v>
      </c>
      <c r="AN36" s="7">
        <v>30</v>
      </c>
      <c r="AO36" s="7">
        <v>9.0239999999999991</v>
      </c>
      <c r="AP36" s="7">
        <v>44.87</v>
      </c>
      <c r="AQ36" s="7">
        <v>26</v>
      </c>
      <c r="AR36" s="7">
        <v>8.94</v>
      </c>
      <c r="AS36" s="1"/>
      <c r="AU36" s="11" t="s">
        <v>748</v>
      </c>
      <c r="AV36" s="8">
        <v>112</v>
      </c>
      <c r="AW36" s="8">
        <v>112</v>
      </c>
    </row>
    <row r="37" spans="1:49" x14ac:dyDescent="0.2">
      <c r="A37" s="8" t="s">
        <v>704</v>
      </c>
      <c r="B37" s="8">
        <v>2019</v>
      </c>
      <c r="C37" s="8" t="s">
        <v>87</v>
      </c>
      <c r="D37" s="8" t="s">
        <v>88</v>
      </c>
      <c r="E37" s="8" t="s">
        <v>88</v>
      </c>
      <c r="F37" s="8" t="s">
        <v>258</v>
      </c>
      <c r="G37" s="8" t="s">
        <v>705</v>
      </c>
      <c r="H37" s="8" t="s">
        <v>706</v>
      </c>
      <c r="I37" s="8" t="s">
        <v>706</v>
      </c>
      <c r="J37" s="8" t="s">
        <v>707</v>
      </c>
      <c r="K37" s="8" t="s">
        <v>56</v>
      </c>
      <c r="L37" s="8" t="s">
        <v>93</v>
      </c>
      <c r="M37" s="8" t="s">
        <v>57</v>
      </c>
      <c r="N37" s="8" t="s">
        <v>93</v>
      </c>
      <c r="O37" s="8" t="s">
        <v>58</v>
      </c>
      <c r="P37" s="8" t="s">
        <v>58</v>
      </c>
      <c r="Q37" s="8" t="s">
        <v>57</v>
      </c>
      <c r="R37" s="8" t="s">
        <v>723</v>
      </c>
      <c r="S37" s="10">
        <v>0.67700000000000005</v>
      </c>
      <c r="T37" s="8" t="s">
        <v>729</v>
      </c>
      <c r="U37" s="10">
        <v>0.74229999999999996</v>
      </c>
      <c r="X37" s="8" t="s">
        <v>738</v>
      </c>
      <c r="AA37" s="8" t="s">
        <v>395</v>
      </c>
      <c r="AJ37" s="7" t="s">
        <v>766</v>
      </c>
      <c r="AK37" s="7" t="s">
        <v>513</v>
      </c>
      <c r="AL37" s="7" t="s">
        <v>67</v>
      </c>
      <c r="AM37" s="7">
        <v>42.18</v>
      </c>
      <c r="AN37" s="7">
        <v>31</v>
      </c>
      <c r="AO37" s="7">
        <v>10.52</v>
      </c>
      <c r="AP37" s="7">
        <v>39.47</v>
      </c>
      <c r="AQ37" s="7">
        <v>28</v>
      </c>
      <c r="AR37" s="7">
        <v>9.39</v>
      </c>
      <c r="AS37" s="1"/>
      <c r="AU37" s="11" t="s">
        <v>748</v>
      </c>
      <c r="AV37" s="8">
        <v>112</v>
      </c>
      <c r="AW37" s="8">
        <v>112</v>
      </c>
    </row>
    <row r="38" spans="1:49" x14ac:dyDescent="0.2">
      <c r="A38" s="8" t="s">
        <v>704</v>
      </c>
      <c r="B38" s="8">
        <v>2019</v>
      </c>
      <c r="C38" s="8" t="s">
        <v>118</v>
      </c>
      <c r="D38" s="8" t="s">
        <v>191</v>
      </c>
      <c r="E38" s="8" t="s">
        <v>192</v>
      </c>
      <c r="F38" s="8" t="s">
        <v>258</v>
      </c>
      <c r="G38" s="8" t="s">
        <v>705</v>
      </c>
      <c r="H38" s="8" t="s">
        <v>706</v>
      </c>
      <c r="I38" s="8" t="s">
        <v>706</v>
      </c>
      <c r="J38" s="8" t="s">
        <v>707</v>
      </c>
      <c r="K38" s="8" t="s">
        <v>56</v>
      </c>
      <c r="L38" s="8" t="s">
        <v>93</v>
      </c>
      <c r="M38" s="8" t="s">
        <v>57</v>
      </c>
      <c r="N38" s="8" t="s">
        <v>93</v>
      </c>
      <c r="O38" s="8" t="s">
        <v>58</v>
      </c>
      <c r="P38" s="8" t="s">
        <v>58</v>
      </c>
      <c r="Q38" s="8" t="s">
        <v>57</v>
      </c>
      <c r="R38" s="8" t="s">
        <v>722</v>
      </c>
      <c r="S38" s="10">
        <v>0.76700000000000002</v>
      </c>
      <c r="T38" s="8" t="s">
        <v>728</v>
      </c>
      <c r="U38" s="10">
        <v>0.83330000000000004</v>
      </c>
      <c r="X38" s="8" t="s">
        <v>737</v>
      </c>
      <c r="AA38" s="8" t="s">
        <v>395</v>
      </c>
      <c r="AJ38" s="7" t="s">
        <v>168</v>
      </c>
      <c r="AK38" s="7" t="s">
        <v>767</v>
      </c>
      <c r="AL38" s="7" t="s">
        <v>67</v>
      </c>
      <c r="AM38" s="7">
        <v>31.18</v>
      </c>
      <c r="AN38" s="7">
        <v>22</v>
      </c>
      <c r="AO38" s="7">
        <v>6.14</v>
      </c>
      <c r="AP38" s="7">
        <v>31.79</v>
      </c>
      <c r="AQ38" s="7">
        <v>17</v>
      </c>
      <c r="AR38" s="7">
        <v>5.41</v>
      </c>
      <c r="AS38" s="1"/>
      <c r="AU38" s="11" t="s">
        <v>748</v>
      </c>
      <c r="AV38" s="8">
        <v>112</v>
      </c>
      <c r="AW38" s="8">
        <v>112</v>
      </c>
    </row>
    <row r="39" spans="1:49" x14ac:dyDescent="0.2">
      <c r="A39" s="8" t="s">
        <v>704</v>
      </c>
      <c r="B39" s="8">
        <v>2019</v>
      </c>
      <c r="C39" s="8" t="s">
        <v>87</v>
      </c>
      <c r="D39" s="8" t="s">
        <v>88</v>
      </c>
      <c r="E39" s="8" t="s">
        <v>88</v>
      </c>
      <c r="F39" s="8" t="s">
        <v>258</v>
      </c>
      <c r="G39" s="8" t="s">
        <v>705</v>
      </c>
      <c r="H39" s="8" t="s">
        <v>706</v>
      </c>
      <c r="I39" s="8" t="s">
        <v>706</v>
      </c>
      <c r="J39" s="8" t="s">
        <v>707</v>
      </c>
      <c r="K39" s="8" t="s">
        <v>56</v>
      </c>
      <c r="L39" s="8" t="s">
        <v>93</v>
      </c>
      <c r="M39" s="8" t="s">
        <v>57</v>
      </c>
      <c r="N39" s="8" t="s">
        <v>93</v>
      </c>
      <c r="O39" s="8" t="s">
        <v>58</v>
      </c>
      <c r="P39" s="8" t="s">
        <v>58</v>
      </c>
      <c r="Q39" s="8" t="s">
        <v>57</v>
      </c>
      <c r="R39" s="8" t="s">
        <v>723</v>
      </c>
      <c r="S39" s="10">
        <v>0.67700000000000005</v>
      </c>
      <c r="T39" s="8" t="s">
        <v>729</v>
      </c>
      <c r="U39" s="10">
        <v>0.74229999999999996</v>
      </c>
      <c r="X39" s="8" t="s">
        <v>738</v>
      </c>
      <c r="AA39" s="8" t="s">
        <v>395</v>
      </c>
      <c r="AJ39" s="7" t="s">
        <v>168</v>
      </c>
      <c r="AK39" s="7" t="s">
        <v>767</v>
      </c>
      <c r="AL39" s="7" t="s">
        <v>67</v>
      </c>
      <c r="AM39" s="7">
        <v>33.29</v>
      </c>
      <c r="AN39" s="7">
        <v>20</v>
      </c>
      <c r="AO39" s="7">
        <v>4.96</v>
      </c>
      <c r="AP39" s="7">
        <v>32.39</v>
      </c>
      <c r="AQ39" s="7">
        <v>17</v>
      </c>
      <c r="AR39" s="7">
        <v>4.33</v>
      </c>
      <c r="AS39" s="1"/>
      <c r="AU39" s="11" t="s">
        <v>748</v>
      </c>
      <c r="AV39" s="8">
        <v>112</v>
      </c>
      <c r="AW39" s="8">
        <v>112</v>
      </c>
    </row>
    <row r="40" spans="1:49" x14ac:dyDescent="0.2">
      <c r="A40" s="8" t="s">
        <v>704</v>
      </c>
      <c r="B40" s="8">
        <v>2019</v>
      </c>
      <c r="C40" s="8" t="s">
        <v>118</v>
      </c>
      <c r="D40" s="8" t="s">
        <v>191</v>
      </c>
      <c r="E40" s="8" t="s">
        <v>192</v>
      </c>
      <c r="F40" s="8" t="s">
        <v>258</v>
      </c>
      <c r="G40" s="8" t="s">
        <v>705</v>
      </c>
      <c r="H40" s="8" t="s">
        <v>706</v>
      </c>
      <c r="I40" s="8" t="s">
        <v>706</v>
      </c>
      <c r="J40" s="8" t="s">
        <v>707</v>
      </c>
      <c r="K40" s="8" t="s">
        <v>56</v>
      </c>
      <c r="L40" s="8" t="s">
        <v>93</v>
      </c>
      <c r="M40" s="8" t="s">
        <v>57</v>
      </c>
      <c r="N40" s="8" t="s">
        <v>93</v>
      </c>
      <c r="O40" s="8" t="s">
        <v>58</v>
      </c>
      <c r="P40" s="8" t="s">
        <v>58</v>
      </c>
      <c r="Q40" s="8" t="s">
        <v>57</v>
      </c>
      <c r="R40" s="8" t="s">
        <v>722</v>
      </c>
      <c r="S40" s="10">
        <v>0.76700000000000002</v>
      </c>
      <c r="T40" s="8" t="s">
        <v>728</v>
      </c>
      <c r="U40" s="10">
        <v>0.83330000000000004</v>
      </c>
      <c r="X40" s="8" t="s">
        <v>737</v>
      </c>
      <c r="AA40" s="8" t="s">
        <v>395</v>
      </c>
      <c r="AJ40" s="7" t="s">
        <v>753</v>
      </c>
      <c r="AK40" s="7" t="s">
        <v>768</v>
      </c>
      <c r="AL40" s="7" t="s">
        <v>67</v>
      </c>
      <c r="AM40" s="7">
        <v>31.18</v>
      </c>
      <c r="AN40" s="7">
        <v>30</v>
      </c>
      <c r="AO40" s="7">
        <v>23.79</v>
      </c>
      <c r="AP40" s="7">
        <v>26.5</v>
      </c>
      <c r="AQ40" s="7">
        <v>26</v>
      </c>
      <c r="AR40" s="7">
        <v>21.99</v>
      </c>
      <c r="AS40" s="1"/>
      <c r="AU40" s="11" t="s">
        <v>748</v>
      </c>
      <c r="AV40" s="8">
        <v>112</v>
      </c>
      <c r="AW40" s="8">
        <v>112</v>
      </c>
    </row>
    <row r="41" spans="1:49" x14ac:dyDescent="0.2">
      <c r="A41" s="8" t="s">
        <v>704</v>
      </c>
      <c r="B41" s="8">
        <v>2019</v>
      </c>
      <c r="C41" s="8" t="s">
        <v>87</v>
      </c>
      <c r="D41" s="8" t="s">
        <v>88</v>
      </c>
      <c r="E41" s="8" t="s">
        <v>88</v>
      </c>
      <c r="F41" s="8" t="s">
        <v>258</v>
      </c>
      <c r="G41" s="8" t="s">
        <v>705</v>
      </c>
      <c r="H41" s="8" t="s">
        <v>706</v>
      </c>
      <c r="I41" s="8" t="s">
        <v>706</v>
      </c>
      <c r="J41" s="8" t="s">
        <v>707</v>
      </c>
      <c r="K41" s="8" t="s">
        <v>56</v>
      </c>
      <c r="L41" s="8" t="s">
        <v>93</v>
      </c>
      <c r="M41" s="8" t="s">
        <v>57</v>
      </c>
      <c r="N41" s="8" t="s">
        <v>93</v>
      </c>
      <c r="O41" s="8" t="s">
        <v>58</v>
      </c>
      <c r="P41" s="8" t="s">
        <v>58</v>
      </c>
      <c r="Q41" s="8" t="s">
        <v>57</v>
      </c>
      <c r="R41" s="8" t="s">
        <v>723</v>
      </c>
      <c r="S41" s="10">
        <v>0.67700000000000005</v>
      </c>
      <c r="T41" s="8" t="s">
        <v>729</v>
      </c>
      <c r="U41" s="10">
        <v>0.74229999999999996</v>
      </c>
      <c r="X41" s="8" t="s">
        <v>738</v>
      </c>
      <c r="AA41" s="8" t="s">
        <v>395</v>
      </c>
      <c r="AJ41" s="7" t="s">
        <v>753</v>
      </c>
      <c r="AK41" s="7" t="s">
        <v>768</v>
      </c>
      <c r="AL41" s="7" t="s">
        <v>67</v>
      </c>
      <c r="AM41" s="7">
        <v>19.41</v>
      </c>
      <c r="AN41" s="7">
        <v>31</v>
      </c>
      <c r="AO41" s="7">
        <v>16.09</v>
      </c>
      <c r="AP41" s="7">
        <v>30.7</v>
      </c>
      <c r="AQ41" s="7">
        <v>28</v>
      </c>
      <c r="AR41" s="7">
        <v>23.78</v>
      </c>
      <c r="AS41" s="1"/>
      <c r="AU41" s="11" t="s">
        <v>748</v>
      </c>
      <c r="AV41" s="8">
        <v>112</v>
      </c>
      <c r="AW41" s="8">
        <v>112</v>
      </c>
    </row>
    <row r="42" spans="1:49" x14ac:dyDescent="0.2">
      <c r="A42" s="8" t="s">
        <v>720</v>
      </c>
      <c r="B42" s="8">
        <v>2020</v>
      </c>
      <c r="C42" s="8" t="s">
        <v>118</v>
      </c>
      <c r="D42" s="8" t="s">
        <v>49</v>
      </c>
      <c r="E42" s="8" t="s">
        <v>75</v>
      </c>
      <c r="F42" s="8" t="s">
        <v>279</v>
      </c>
      <c r="G42" s="8" t="s">
        <v>721</v>
      </c>
      <c r="K42" s="8" t="s">
        <v>56</v>
      </c>
      <c r="L42" s="8" t="s">
        <v>93</v>
      </c>
      <c r="M42" s="8" t="s">
        <v>712</v>
      </c>
      <c r="N42" s="8" t="s">
        <v>93</v>
      </c>
      <c r="O42" s="8" t="s">
        <v>93</v>
      </c>
      <c r="P42" s="8" t="s">
        <v>93</v>
      </c>
      <c r="Q42" s="8" t="s">
        <v>93</v>
      </c>
      <c r="X42" s="8" t="s">
        <v>745</v>
      </c>
      <c r="AA42" s="8" t="s">
        <v>395</v>
      </c>
      <c r="AJ42" s="1" t="s">
        <v>765</v>
      </c>
      <c r="AK42" s="1" t="s">
        <v>769</v>
      </c>
      <c r="AL42" s="1" t="s">
        <v>67</v>
      </c>
      <c r="AM42" s="1">
        <v>74.11</v>
      </c>
      <c r="AN42" s="1">
        <v>35</v>
      </c>
      <c r="AO42" s="1">
        <v>4.7300000000000004</v>
      </c>
      <c r="AP42" s="1">
        <v>70.510000000000005</v>
      </c>
      <c r="AQ42" s="1"/>
      <c r="AR42" s="1">
        <v>3.78</v>
      </c>
      <c r="AU42" s="11" t="s">
        <v>770</v>
      </c>
      <c r="AV42" s="8">
        <v>58</v>
      </c>
      <c r="AW42" s="8">
        <v>28</v>
      </c>
    </row>
    <row r="43" spans="1:49" x14ac:dyDescent="0.2">
      <c r="A43" s="8" t="s">
        <v>720</v>
      </c>
      <c r="B43" s="8">
        <v>2020</v>
      </c>
      <c r="C43" s="8" t="s">
        <v>548</v>
      </c>
      <c r="D43" s="8" t="s">
        <v>88</v>
      </c>
      <c r="E43" s="8" t="s">
        <v>88</v>
      </c>
      <c r="F43" s="8" t="s">
        <v>279</v>
      </c>
      <c r="G43" s="8" t="s">
        <v>721</v>
      </c>
      <c r="K43" s="8" t="s">
        <v>56</v>
      </c>
      <c r="L43" s="8" t="s">
        <v>93</v>
      </c>
      <c r="M43" s="8" t="s">
        <v>712</v>
      </c>
      <c r="N43" s="8" t="s">
        <v>93</v>
      </c>
      <c r="O43" s="8" t="s">
        <v>93</v>
      </c>
      <c r="P43" s="8" t="s">
        <v>93</v>
      </c>
      <c r="Q43" s="8" t="s">
        <v>93</v>
      </c>
      <c r="X43" s="8" t="s">
        <v>746</v>
      </c>
      <c r="AA43" s="8" t="s">
        <v>395</v>
      </c>
      <c r="AJ43" s="1" t="s">
        <v>765</v>
      </c>
      <c r="AK43" s="1" t="s">
        <v>769</v>
      </c>
      <c r="AL43" s="1" t="s">
        <v>67</v>
      </c>
      <c r="AM43" s="1">
        <v>75.63</v>
      </c>
      <c r="AN43" s="1">
        <v>35</v>
      </c>
      <c r="AO43" s="1">
        <v>3.08</v>
      </c>
      <c r="AP43" s="1">
        <v>76.45</v>
      </c>
      <c r="AQ43" s="1"/>
      <c r="AR43" s="1">
        <v>3.45</v>
      </c>
      <c r="AU43" s="11" t="s">
        <v>770</v>
      </c>
      <c r="AV43" s="8">
        <v>58</v>
      </c>
      <c r="AW43" s="8">
        <v>28</v>
      </c>
    </row>
    <row r="44" spans="1:49" x14ac:dyDescent="0.2">
      <c r="A44" s="8" t="s">
        <v>720</v>
      </c>
      <c r="B44" s="8">
        <v>2020</v>
      </c>
      <c r="C44" s="8" t="s">
        <v>118</v>
      </c>
      <c r="D44" s="8" t="s">
        <v>49</v>
      </c>
      <c r="E44" s="8" t="s">
        <v>75</v>
      </c>
      <c r="F44" s="8" t="s">
        <v>279</v>
      </c>
      <c r="G44" s="8" t="s">
        <v>721</v>
      </c>
      <c r="K44" s="8" t="s">
        <v>56</v>
      </c>
      <c r="L44" s="8" t="s">
        <v>93</v>
      </c>
      <c r="M44" s="8" t="s">
        <v>712</v>
      </c>
      <c r="N44" s="8" t="s">
        <v>93</v>
      </c>
      <c r="O44" s="8" t="s">
        <v>93</v>
      </c>
      <c r="P44" s="8" t="s">
        <v>93</v>
      </c>
      <c r="Q44" s="8" t="s">
        <v>93</v>
      </c>
      <c r="X44" s="8" t="s">
        <v>745</v>
      </c>
      <c r="AA44" s="8" t="s">
        <v>395</v>
      </c>
      <c r="AJ44" s="1" t="s">
        <v>765</v>
      </c>
      <c r="AK44" s="1" t="s">
        <v>769</v>
      </c>
      <c r="AL44" s="1" t="s">
        <v>67</v>
      </c>
      <c r="AM44" s="1">
        <v>74.11</v>
      </c>
      <c r="AN44" s="1">
        <v>35</v>
      </c>
      <c r="AO44" s="1">
        <v>4.7300000000000004</v>
      </c>
      <c r="AP44" s="1">
        <v>70.31</v>
      </c>
      <c r="AQ44" s="1"/>
      <c r="AR44" s="1">
        <v>3.78</v>
      </c>
      <c r="AU44" s="11" t="s">
        <v>771</v>
      </c>
      <c r="AV44" s="8">
        <v>118</v>
      </c>
      <c r="AW44" s="8">
        <v>28</v>
      </c>
    </row>
    <row r="45" spans="1:49" x14ac:dyDescent="0.2">
      <c r="A45" s="8" t="s">
        <v>720</v>
      </c>
      <c r="B45" s="8">
        <v>2020</v>
      </c>
      <c r="C45" s="8" t="s">
        <v>548</v>
      </c>
      <c r="D45" s="8" t="s">
        <v>88</v>
      </c>
      <c r="E45" s="8" t="s">
        <v>88</v>
      </c>
      <c r="F45" s="8" t="s">
        <v>279</v>
      </c>
      <c r="G45" s="8" t="s">
        <v>721</v>
      </c>
      <c r="K45" s="8" t="s">
        <v>56</v>
      </c>
      <c r="L45" s="8" t="s">
        <v>93</v>
      </c>
      <c r="M45" s="8" t="s">
        <v>712</v>
      </c>
      <c r="N45" s="8" t="s">
        <v>93</v>
      </c>
      <c r="O45" s="8" t="s">
        <v>93</v>
      </c>
      <c r="P45" s="8" t="s">
        <v>93</v>
      </c>
      <c r="Q45" s="8" t="s">
        <v>93</v>
      </c>
      <c r="X45" s="8" t="s">
        <v>746</v>
      </c>
      <c r="AA45" s="8" t="s">
        <v>395</v>
      </c>
      <c r="AJ45" s="1" t="s">
        <v>765</v>
      </c>
      <c r="AK45" s="1" t="s">
        <v>769</v>
      </c>
      <c r="AL45" s="1" t="s">
        <v>67</v>
      </c>
      <c r="AM45" s="1">
        <v>75.63</v>
      </c>
      <c r="AN45" s="1">
        <v>35</v>
      </c>
      <c r="AO45" s="1">
        <v>3.08</v>
      </c>
      <c r="AP45" s="1">
        <v>76.22</v>
      </c>
      <c r="AQ45" s="1"/>
      <c r="AR45" s="1">
        <v>5.08</v>
      </c>
      <c r="AU45" s="11" t="s">
        <v>771</v>
      </c>
      <c r="AV45" s="8">
        <v>118</v>
      </c>
      <c r="AW45" s="8">
        <v>28</v>
      </c>
    </row>
    <row r="46" spans="1:49" x14ac:dyDescent="0.2">
      <c r="S46" s="10"/>
      <c r="U46" s="10"/>
      <c r="AJ46" s="1"/>
      <c r="AK46" s="1"/>
      <c r="AL46" s="1"/>
      <c r="AM46" s="1"/>
      <c r="AN46" s="1"/>
      <c r="AO46" s="1"/>
      <c r="AP46" s="1"/>
      <c r="AQ46" s="1"/>
      <c r="AR46" s="1"/>
    </row>
    <row r="47" spans="1:49" x14ac:dyDescent="0.2">
      <c r="S47" s="10"/>
      <c r="U47" s="10"/>
      <c r="AJ47" s="1"/>
      <c r="AK47" s="1"/>
      <c r="AL47" s="1"/>
      <c r="AM47" s="1"/>
      <c r="AN47" s="1"/>
      <c r="AO47" s="1"/>
      <c r="AP47" s="1"/>
      <c r="AQ47" s="1"/>
      <c r="AR47" s="1"/>
    </row>
    <row r="48" spans="1:49" x14ac:dyDescent="0.2">
      <c r="S48" s="10"/>
      <c r="U48" s="10"/>
      <c r="AJ48" s="1"/>
      <c r="AK48" s="1"/>
      <c r="AL48" s="1"/>
      <c r="AM48" s="1"/>
      <c r="AN48" s="1"/>
      <c r="AO48" s="1"/>
      <c r="AP48" s="1"/>
      <c r="AQ48" s="1"/>
      <c r="AR48" s="1"/>
    </row>
    <row r="49" spans="19:44" x14ac:dyDescent="0.2">
      <c r="S49" s="10"/>
      <c r="U49" s="10"/>
      <c r="AJ49" s="1"/>
      <c r="AK49" s="1"/>
      <c r="AL49" s="1"/>
      <c r="AM49" s="1"/>
      <c r="AN49" s="1"/>
      <c r="AO49" s="1"/>
      <c r="AP49" s="1"/>
      <c r="AQ49" s="1"/>
      <c r="AR49" s="1"/>
    </row>
    <row r="50" spans="19:44" x14ac:dyDescent="0.2">
      <c r="S50" s="10"/>
      <c r="U50" s="10"/>
      <c r="AJ50" s="1"/>
      <c r="AK50" s="1"/>
      <c r="AL50" s="1"/>
      <c r="AM50" s="1"/>
      <c r="AN50" s="1"/>
      <c r="AO50" s="1"/>
      <c r="AP50" s="1"/>
      <c r="AQ50" s="1"/>
      <c r="AR50" s="1"/>
    </row>
    <row r="51" spans="19:44" x14ac:dyDescent="0.2">
      <c r="S51" s="10"/>
      <c r="U51" s="10"/>
      <c r="AJ51" s="1"/>
      <c r="AK51" s="1"/>
      <c r="AL51" s="1"/>
      <c r="AM51" s="1"/>
      <c r="AN51" s="1"/>
      <c r="AO51" s="1"/>
      <c r="AP51" s="1"/>
      <c r="AQ51" s="1"/>
      <c r="AR51" s="1"/>
    </row>
  </sheetData>
  <autoFilter ref="A1:AW45" xr:uid="{A32F604D-13A0-934F-9364-9F35E6508370}">
    <sortState xmlns:xlrd2="http://schemas.microsoft.com/office/spreadsheetml/2017/richdata2" ref="A2:AW45">
      <sortCondition ref="A1:A45"/>
    </sortState>
  </autoFilter>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886E42-7453-9D4E-A430-82DC30A59557}">
  <dimension ref="A1:AW137"/>
  <sheetViews>
    <sheetView workbookViewId="0">
      <pane xSplit="5" ySplit="1" topLeftCell="F56" activePane="bottomRight" state="frozen"/>
      <selection pane="topRight" activeCell="F1" sqref="F1"/>
      <selection pane="bottomLeft" activeCell="A2" sqref="A2"/>
      <selection pane="bottomRight" activeCell="AB1" sqref="A1:AB1048576"/>
    </sheetView>
  </sheetViews>
  <sheetFormatPr baseColWidth="10" defaultRowHeight="15" x14ac:dyDescent="0.2"/>
  <cols>
    <col min="5" max="5" width="24.1640625" customWidth="1"/>
    <col min="39" max="44" width="10.83203125" style="6"/>
  </cols>
  <sheetData>
    <row r="1" spans="1:49" x14ac:dyDescent="0.2">
      <c r="A1" s="17" t="s">
        <v>0</v>
      </c>
      <c r="B1" s="17" t="s">
        <v>1</v>
      </c>
      <c r="C1" s="17" t="s">
        <v>2</v>
      </c>
      <c r="D1" s="17" t="s">
        <v>3</v>
      </c>
      <c r="E1" s="17" t="s">
        <v>4</v>
      </c>
      <c r="F1" s="17" t="s">
        <v>5</v>
      </c>
      <c r="G1" s="17" t="s">
        <v>6</v>
      </c>
      <c r="H1" s="17" t="s">
        <v>7</v>
      </c>
      <c r="I1" s="17" t="s">
        <v>8</v>
      </c>
      <c r="J1" s="17" t="s">
        <v>9</v>
      </c>
      <c r="K1" s="17" t="s">
        <v>10</v>
      </c>
      <c r="L1" s="17" t="s">
        <v>11</v>
      </c>
      <c r="M1" s="17" t="s">
        <v>12</v>
      </c>
      <c r="N1" s="17" t="s">
        <v>13</v>
      </c>
      <c r="O1" s="17" t="s">
        <v>14</v>
      </c>
      <c r="P1" s="17" t="s">
        <v>15</v>
      </c>
      <c r="Q1" s="17" t="s">
        <v>16</v>
      </c>
      <c r="R1" s="17" t="s">
        <v>17</v>
      </c>
      <c r="S1" s="17" t="s">
        <v>18</v>
      </c>
      <c r="T1" s="17" t="s">
        <v>19</v>
      </c>
      <c r="U1" s="17" t="s">
        <v>20</v>
      </c>
      <c r="V1" s="17" t="s">
        <v>21</v>
      </c>
      <c r="W1" s="17" t="s">
        <v>22</v>
      </c>
      <c r="X1" s="17" t="s">
        <v>23</v>
      </c>
      <c r="Y1" s="17" t="s">
        <v>24</v>
      </c>
      <c r="Z1" s="17" t="s">
        <v>25</v>
      </c>
      <c r="AA1" s="17" t="s">
        <v>26</v>
      </c>
      <c r="AB1" s="17" t="s">
        <v>27</v>
      </c>
      <c r="AC1" s="17" t="s">
        <v>28</v>
      </c>
      <c r="AD1" s="17" t="s">
        <v>29</v>
      </c>
      <c r="AE1" s="17" t="s">
        <v>30</v>
      </c>
      <c r="AF1" s="17" t="s">
        <v>31</v>
      </c>
      <c r="AG1" s="17" t="s">
        <v>32</v>
      </c>
      <c r="AH1" s="17" t="s">
        <v>33</v>
      </c>
      <c r="AI1" s="17" t="s">
        <v>34</v>
      </c>
      <c r="AJ1" s="17" t="s">
        <v>35</v>
      </c>
      <c r="AK1" s="17" t="s">
        <v>36</v>
      </c>
      <c r="AL1" s="17" t="s">
        <v>37</v>
      </c>
      <c r="AM1" s="18" t="s">
        <v>38</v>
      </c>
      <c r="AN1" s="18" t="s">
        <v>39</v>
      </c>
      <c r="AO1" s="18" t="s">
        <v>40</v>
      </c>
      <c r="AP1" s="18" t="s">
        <v>41</v>
      </c>
      <c r="AQ1" s="18" t="s">
        <v>42</v>
      </c>
      <c r="AR1" s="18" t="s">
        <v>43</v>
      </c>
      <c r="AS1" s="17" t="s">
        <v>44</v>
      </c>
      <c r="AT1" s="17" t="s">
        <v>45</v>
      </c>
      <c r="AU1" s="17" t="s">
        <v>46</v>
      </c>
      <c r="AV1" s="17" t="s">
        <v>686</v>
      </c>
      <c r="AW1" s="17" t="s">
        <v>689</v>
      </c>
    </row>
    <row r="2" spans="1:49" x14ac:dyDescent="0.2">
      <c r="A2" s="8" t="s">
        <v>704</v>
      </c>
      <c r="B2" s="8">
        <v>2019</v>
      </c>
      <c r="C2" s="8" t="s">
        <v>118</v>
      </c>
      <c r="D2" s="8" t="s">
        <v>191</v>
      </c>
      <c r="E2" s="8" t="s">
        <v>192</v>
      </c>
      <c r="F2" s="8" t="s">
        <v>258</v>
      </c>
      <c r="G2" s="8" t="s">
        <v>705</v>
      </c>
      <c r="H2" s="8" t="s">
        <v>706</v>
      </c>
      <c r="I2" s="8" t="s">
        <v>706</v>
      </c>
      <c r="J2" s="8" t="s">
        <v>707</v>
      </c>
      <c r="K2" s="8" t="s">
        <v>56</v>
      </c>
      <c r="L2" s="8" t="s">
        <v>93</v>
      </c>
      <c r="M2" s="8" t="s">
        <v>57</v>
      </c>
      <c r="N2" s="8" t="s">
        <v>93</v>
      </c>
      <c r="O2" s="8" t="s">
        <v>58</v>
      </c>
      <c r="P2" s="8" t="s">
        <v>58</v>
      </c>
      <c r="Q2" s="8" t="s">
        <v>57</v>
      </c>
      <c r="R2" s="8" t="s">
        <v>722</v>
      </c>
      <c r="S2" s="10">
        <v>0.76700000000000002</v>
      </c>
      <c r="T2" s="8" t="s">
        <v>728</v>
      </c>
      <c r="U2" s="10">
        <v>0.83330000000000004</v>
      </c>
      <c r="V2" s="8"/>
      <c r="W2" s="8"/>
      <c r="X2" s="8" t="s">
        <v>737</v>
      </c>
      <c r="Y2" s="8"/>
      <c r="Z2" s="8"/>
      <c r="AA2" s="8" t="s">
        <v>395</v>
      </c>
      <c r="AB2" s="8"/>
      <c r="AC2" s="8"/>
      <c r="AD2" s="8"/>
      <c r="AE2" s="8"/>
      <c r="AF2" s="8"/>
      <c r="AG2" s="8"/>
      <c r="AH2" s="8"/>
      <c r="AI2" s="8"/>
      <c r="AJ2" s="17" t="s">
        <v>765</v>
      </c>
      <c r="AK2" s="17" t="s">
        <v>763</v>
      </c>
      <c r="AL2" s="17" t="s">
        <v>67</v>
      </c>
      <c r="AM2" s="17">
        <v>10.06</v>
      </c>
      <c r="AN2" s="17">
        <v>30</v>
      </c>
      <c r="AO2" s="17">
        <v>8.89</v>
      </c>
      <c r="AP2" s="17">
        <v>6.18</v>
      </c>
      <c r="AQ2" s="17">
        <v>26</v>
      </c>
      <c r="AR2" s="17">
        <v>7.26</v>
      </c>
      <c r="AS2" s="17"/>
      <c r="AT2" s="8"/>
      <c r="AU2" s="8" t="s">
        <v>748</v>
      </c>
      <c r="AV2" s="8">
        <v>112</v>
      </c>
      <c r="AW2" s="8">
        <v>112</v>
      </c>
    </row>
    <row r="3" spans="1:49" x14ac:dyDescent="0.2">
      <c r="A3" s="8" t="s">
        <v>704</v>
      </c>
      <c r="B3" s="8">
        <v>2019</v>
      </c>
      <c r="C3" s="8" t="s">
        <v>87</v>
      </c>
      <c r="D3" s="8" t="s">
        <v>88</v>
      </c>
      <c r="E3" s="8" t="s">
        <v>88</v>
      </c>
      <c r="F3" s="8" t="s">
        <v>258</v>
      </c>
      <c r="G3" s="8" t="s">
        <v>705</v>
      </c>
      <c r="H3" s="8" t="s">
        <v>706</v>
      </c>
      <c r="I3" s="8" t="s">
        <v>706</v>
      </c>
      <c r="J3" s="8" t="s">
        <v>707</v>
      </c>
      <c r="K3" s="8" t="s">
        <v>56</v>
      </c>
      <c r="L3" s="8" t="s">
        <v>93</v>
      </c>
      <c r="M3" s="8" t="s">
        <v>57</v>
      </c>
      <c r="N3" s="8" t="s">
        <v>93</v>
      </c>
      <c r="O3" s="8" t="s">
        <v>58</v>
      </c>
      <c r="P3" s="8" t="s">
        <v>58</v>
      </c>
      <c r="Q3" s="8" t="s">
        <v>57</v>
      </c>
      <c r="R3" s="8" t="s">
        <v>723</v>
      </c>
      <c r="S3" s="10">
        <v>0.67700000000000005</v>
      </c>
      <c r="T3" s="8" t="s">
        <v>729</v>
      </c>
      <c r="U3" s="10">
        <v>0.74229999999999996</v>
      </c>
      <c r="V3" s="8"/>
      <c r="W3" s="8"/>
      <c r="X3" s="8" t="s">
        <v>738</v>
      </c>
      <c r="Y3" s="8"/>
      <c r="Z3" s="8"/>
      <c r="AA3" s="8" t="s">
        <v>395</v>
      </c>
      <c r="AB3" s="8"/>
      <c r="AC3" s="8"/>
      <c r="AD3" s="8"/>
      <c r="AE3" s="8"/>
      <c r="AF3" s="8"/>
      <c r="AG3" s="8"/>
      <c r="AH3" s="8"/>
      <c r="AI3" s="8"/>
      <c r="AJ3" s="17" t="s">
        <v>765</v>
      </c>
      <c r="AK3" s="17" t="s">
        <v>763</v>
      </c>
      <c r="AL3" s="17" t="s">
        <v>67</v>
      </c>
      <c r="AM3" s="17">
        <v>12.23</v>
      </c>
      <c r="AN3" s="17">
        <v>31</v>
      </c>
      <c r="AO3" s="17">
        <v>8.0500000000000007</v>
      </c>
      <c r="AP3" s="17">
        <v>15.47</v>
      </c>
      <c r="AQ3" s="17">
        <v>28</v>
      </c>
      <c r="AR3" s="17">
        <v>9.2799999999999994</v>
      </c>
      <c r="AS3" s="17"/>
      <c r="AT3" s="8"/>
      <c r="AU3" s="8" t="s">
        <v>748</v>
      </c>
      <c r="AV3" s="8">
        <v>112</v>
      </c>
      <c r="AW3" s="8">
        <v>112</v>
      </c>
    </row>
    <row r="4" spans="1:49" x14ac:dyDescent="0.2">
      <c r="A4" s="8" t="s">
        <v>720</v>
      </c>
      <c r="B4" s="8">
        <v>2020</v>
      </c>
      <c r="C4" s="8" t="s">
        <v>118</v>
      </c>
      <c r="D4" s="8" t="s">
        <v>49</v>
      </c>
      <c r="E4" s="8" t="s">
        <v>75</v>
      </c>
      <c r="F4" s="8" t="s">
        <v>279</v>
      </c>
      <c r="G4" s="8" t="s">
        <v>721</v>
      </c>
      <c r="H4" s="8"/>
      <c r="I4" s="8"/>
      <c r="J4" s="8"/>
      <c r="K4" s="8" t="s">
        <v>56</v>
      </c>
      <c r="L4" s="8" t="s">
        <v>93</v>
      </c>
      <c r="M4" s="8" t="s">
        <v>712</v>
      </c>
      <c r="N4" s="8" t="s">
        <v>93</v>
      </c>
      <c r="O4" s="8" t="s">
        <v>93</v>
      </c>
      <c r="P4" s="8" t="s">
        <v>93</v>
      </c>
      <c r="Q4" s="8" t="s">
        <v>93</v>
      </c>
      <c r="R4" s="8"/>
      <c r="S4" s="8"/>
      <c r="T4" s="8"/>
      <c r="U4" s="8"/>
      <c r="V4" s="8"/>
      <c r="W4" s="8"/>
      <c r="X4" s="8" t="s">
        <v>745</v>
      </c>
      <c r="Y4" s="8"/>
      <c r="Z4" s="8"/>
      <c r="AA4" s="8" t="s">
        <v>395</v>
      </c>
      <c r="AB4" s="8"/>
      <c r="AC4" s="8"/>
      <c r="AD4" s="8"/>
      <c r="AE4" s="8"/>
      <c r="AF4" s="8"/>
      <c r="AG4" s="8"/>
      <c r="AH4" s="8"/>
      <c r="AI4" s="8"/>
      <c r="AJ4" s="17" t="s">
        <v>765</v>
      </c>
      <c r="AK4" s="17" t="s">
        <v>769</v>
      </c>
      <c r="AL4" s="17" t="s">
        <v>67</v>
      </c>
      <c r="AM4" s="17">
        <v>74.11</v>
      </c>
      <c r="AN4" s="17">
        <v>35</v>
      </c>
      <c r="AO4" s="17">
        <v>4.7300000000000004</v>
      </c>
      <c r="AP4" s="17">
        <v>70.510000000000005</v>
      </c>
      <c r="AQ4" s="17"/>
      <c r="AR4" s="17">
        <v>3.78</v>
      </c>
      <c r="AS4" s="8"/>
      <c r="AT4" s="8"/>
      <c r="AU4" s="8" t="s">
        <v>770</v>
      </c>
      <c r="AV4" s="8">
        <v>58</v>
      </c>
      <c r="AW4" s="8">
        <v>28</v>
      </c>
    </row>
    <row r="5" spans="1:49" x14ac:dyDescent="0.2">
      <c r="A5" s="8" t="s">
        <v>720</v>
      </c>
      <c r="B5" s="8">
        <v>2020</v>
      </c>
      <c r="C5" s="8" t="s">
        <v>548</v>
      </c>
      <c r="D5" s="8" t="s">
        <v>88</v>
      </c>
      <c r="E5" s="8" t="s">
        <v>88</v>
      </c>
      <c r="F5" s="8" t="s">
        <v>279</v>
      </c>
      <c r="G5" s="8" t="s">
        <v>721</v>
      </c>
      <c r="H5" s="8"/>
      <c r="I5" s="8"/>
      <c r="J5" s="8"/>
      <c r="K5" s="8" t="s">
        <v>56</v>
      </c>
      <c r="L5" s="8" t="s">
        <v>93</v>
      </c>
      <c r="M5" s="8" t="s">
        <v>712</v>
      </c>
      <c r="N5" s="8" t="s">
        <v>93</v>
      </c>
      <c r="O5" s="8" t="s">
        <v>93</v>
      </c>
      <c r="P5" s="8" t="s">
        <v>93</v>
      </c>
      <c r="Q5" s="8" t="s">
        <v>93</v>
      </c>
      <c r="R5" s="8"/>
      <c r="S5" s="8"/>
      <c r="T5" s="8"/>
      <c r="U5" s="8"/>
      <c r="V5" s="8"/>
      <c r="W5" s="8"/>
      <c r="X5" s="8" t="s">
        <v>746</v>
      </c>
      <c r="Y5" s="8"/>
      <c r="Z5" s="8"/>
      <c r="AA5" s="8" t="s">
        <v>395</v>
      </c>
      <c r="AB5" s="8"/>
      <c r="AC5" s="8"/>
      <c r="AD5" s="8"/>
      <c r="AE5" s="8"/>
      <c r="AF5" s="8"/>
      <c r="AG5" s="8"/>
      <c r="AH5" s="8"/>
      <c r="AI5" s="8"/>
      <c r="AJ5" s="17" t="s">
        <v>765</v>
      </c>
      <c r="AK5" s="17" t="s">
        <v>769</v>
      </c>
      <c r="AL5" s="17" t="s">
        <v>67</v>
      </c>
      <c r="AM5" s="17">
        <v>75.63</v>
      </c>
      <c r="AN5" s="17">
        <v>35</v>
      </c>
      <c r="AO5" s="17">
        <v>3.08</v>
      </c>
      <c r="AP5" s="17">
        <v>76.45</v>
      </c>
      <c r="AQ5" s="17"/>
      <c r="AR5" s="17">
        <v>3.45</v>
      </c>
      <c r="AS5" s="8"/>
      <c r="AT5" s="8"/>
      <c r="AU5" s="8" t="s">
        <v>770</v>
      </c>
      <c r="AV5" s="8">
        <v>58</v>
      </c>
      <c r="AW5" s="8">
        <v>28</v>
      </c>
    </row>
    <row r="6" spans="1:49" x14ac:dyDescent="0.2">
      <c r="A6" s="8" t="s">
        <v>720</v>
      </c>
      <c r="B6" s="8">
        <v>2020</v>
      </c>
      <c r="C6" s="8" t="s">
        <v>118</v>
      </c>
      <c r="D6" s="8" t="s">
        <v>49</v>
      </c>
      <c r="E6" s="8" t="s">
        <v>75</v>
      </c>
      <c r="F6" s="8" t="s">
        <v>279</v>
      </c>
      <c r="G6" s="8" t="s">
        <v>721</v>
      </c>
      <c r="H6" s="8"/>
      <c r="I6" s="8"/>
      <c r="J6" s="8"/>
      <c r="K6" s="8" t="s">
        <v>56</v>
      </c>
      <c r="L6" s="8" t="s">
        <v>93</v>
      </c>
      <c r="M6" s="8" t="s">
        <v>712</v>
      </c>
      <c r="N6" s="8" t="s">
        <v>93</v>
      </c>
      <c r="O6" s="8" t="s">
        <v>93</v>
      </c>
      <c r="P6" s="8" t="s">
        <v>93</v>
      </c>
      <c r="Q6" s="8" t="s">
        <v>93</v>
      </c>
      <c r="R6" s="8"/>
      <c r="S6" s="8"/>
      <c r="T6" s="8"/>
      <c r="U6" s="8"/>
      <c r="V6" s="8"/>
      <c r="W6" s="8"/>
      <c r="X6" s="8" t="s">
        <v>745</v>
      </c>
      <c r="Y6" s="8"/>
      <c r="Z6" s="8"/>
      <c r="AA6" s="8" t="s">
        <v>395</v>
      </c>
      <c r="AB6" s="8"/>
      <c r="AC6" s="8"/>
      <c r="AD6" s="8"/>
      <c r="AE6" s="8"/>
      <c r="AF6" s="8"/>
      <c r="AG6" s="8"/>
      <c r="AH6" s="8"/>
      <c r="AI6" s="8"/>
      <c r="AJ6" s="17" t="s">
        <v>765</v>
      </c>
      <c r="AK6" s="17" t="s">
        <v>769</v>
      </c>
      <c r="AL6" s="17" t="s">
        <v>67</v>
      </c>
      <c r="AM6" s="17">
        <v>74.11</v>
      </c>
      <c r="AN6" s="17">
        <v>35</v>
      </c>
      <c r="AO6" s="17">
        <v>4.7300000000000004</v>
      </c>
      <c r="AP6" s="17">
        <v>70.31</v>
      </c>
      <c r="AQ6" s="17"/>
      <c r="AR6" s="17">
        <v>3.78</v>
      </c>
      <c r="AS6" s="8"/>
      <c r="AT6" s="8"/>
      <c r="AU6" s="8" t="s">
        <v>771</v>
      </c>
      <c r="AV6" s="8">
        <v>118</v>
      </c>
      <c r="AW6" s="8">
        <v>28</v>
      </c>
    </row>
    <row r="7" spans="1:49" x14ac:dyDescent="0.2">
      <c r="A7" s="8" t="s">
        <v>720</v>
      </c>
      <c r="B7" s="8">
        <v>2020</v>
      </c>
      <c r="C7" s="8" t="s">
        <v>548</v>
      </c>
      <c r="D7" s="8" t="s">
        <v>88</v>
      </c>
      <c r="E7" s="8" t="s">
        <v>88</v>
      </c>
      <c r="F7" s="8" t="s">
        <v>279</v>
      </c>
      <c r="G7" s="8" t="s">
        <v>721</v>
      </c>
      <c r="H7" s="8"/>
      <c r="I7" s="8"/>
      <c r="J7" s="8"/>
      <c r="K7" s="8" t="s">
        <v>56</v>
      </c>
      <c r="L7" s="8" t="s">
        <v>93</v>
      </c>
      <c r="M7" s="8" t="s">
        <v>712</v>
      </c>
      <c r="N7" s="8" t="s">
        <v>93</v>
      </c>
      <c r="O7" s="8" t="s">
        <v>93</v>
      </c>
      <c r="P7" s="8" t="s">
        <v>93</v>
      </c>
      <c r="Q7" s="8" t="s">
        <v>93</v>
      </c>
      <c r="R7" s="8"/>
      <c r="S7" s="8"/>
      <c r="T7" s="8"/>
      <c r="U7" s="8"/>
      <c r="V7" s="8"/>
      <c r="W7" s="8"/>
      <c r="X7" s="8" t="s">
        <v>746</v>
      </c>
      <c r="Y7" s="8"/>
      <c r="Z7" s="8"/>
      <c r="AA7" s="8" t="s">
        <v>395</v>
      </c>
      <c r="AB7" s="8"/>
      <c r="AC7" s="8"/>
      <c r="AD7" s="8"/>
      <c r="AE7" s="8"/>
      <c r="AF7" s="8"/>
      <c r="AG7" s="8"/>
      <c r="AH7" s="8"/>
      <c r="AI7" s="8"/>
      <c r="AJ7" s="17" t="s">
        <v>765</v>
      </c>
      <c r="AK7" s="17" t="s">
        <v>769</v>
      </c>
      <c r="AL7" s="17" t="s">
        <v>67</v>
      </c>
      <c r="AM7" s="17">
        <v>75.63</v>
      </c>
      <c r="AN7" s="17">
        <v>35</v>
      </c>
      <c r="AO7" s="17">
        <v>3.08</v>
      </c>
      <c r="AP7" s="17">
        <v>76.22</v>
      </c>
      <c r="AQ7" s="17"/>
      <c r="AR7" s="17">
        <v>5.08</v>
      </c>
      <c r="AS7" s="8"/>
      <c r="AT7" s="8"/>
      <c r="AU7" s="8" t="s">
        <v>771</v>
      </c>
      <c r="AV7" s="8">
        <v>118</v>
      </c>
      <c r="AW7" s="8">
        <v>28</v>
      </c>
    </row>
    <row r="8" spans="1:49" x14ac:dyDescent="0.2">
      <c r="A8" s="8" t="s">
        <v>713</v>
      </c>
      <c r="B8" s="8">
        <v>2019</v>
      </c>
      <c r="C8" s="8" t="s">
        <v>118</v>
      </c>
      <c r="D8" s="8" t="s">
        <v>49</v>
      </c>
      <c r="E8" s="8" t="s">
        <v>75</v>
      </c>
      <c r="F8" s="8" t="s">
        <v>279</v>
      </c>
      <c r="G8" s="8" t="s">
        <v>714</v>
      </c>
      <c r="H8" s="8" t="s">
        <v>715</v>
      </c>
      <c r="I8" s="8" t="s">
        <v>716</v>
      </c>
      <c r="J8" s="8" t="s">
        <v>452</v>
      </c>
      <c r="K8" s="8" t="s">
        <v>56</v>
      </c>
      <c r="L8" s="8" t="s">
        <v>712</v>
      </c>
      <c r="M8" s="8" t="s">
        <v>57</v>
      </c>
      <c r="N8" s="8" t="s">
        <v>93</v>
      </c>
      <c r="O8" s="8" t="s">
        <v>58</v>
      </c>
      <c r="P8" s="8" t="s">
        <v>58</v>
      </c>
      <c r="Q8" s="8" t="s">
        <v>57</v>
      </c>
      <c r="R8" s="8" t="s">
        <v>724</v>
      </c>
      <c r="S8" s="8"/>
      <c r="T8" s="8" t="s">
        <v>730</v>
      </c>
      <c r="U8" s="9">
        <v>0.88</v>
      </c>
      <c r="V8" s="8"/>
      <c r="W8" s="8"/>
      <c r="X8" s="8" t="s">
        <v>741</v>
      </c>
      <c r="Y8" s="8"/>
      <c r="Z8" s="8"/>
      <c r="AA8" s="8" t="s">
        <v>395</v>
      </c>
      <c r="AB8" s="8"/>
      <c r="AC8" s="8"/>
      <c r="AD8" s="8"/>
      <c r="AE8" s="8"/>
      <c r="AF8" s="8"/>
      <c r="AG8" s="8"/>
      <c r="AH8" s="8"/>
      <c r="AI8" s="8"/>
      <c r="AJ8" s="17" t="s">
        <v>765</v>
      </c>
      <c r="AK8" s="17" t="s">
        <v>756</v>
      </c>
      <c r="AL8" s="17" t="s">
        <v>67</v>
      </c>
      <c r="AM8" s="17">
        <v>11.6</v>
      </c>
      <c r="AN8" s="17">
        <v>27</v>
      </c>
      <c r="AO8" s="17">
        <v>2.8</v>
      </c>
      <c r="AP8" s="17">
        <v>3.4</v>
      </c>
      <c r="AQ8" s="17">
        <v>25</v>
      </c>
      <c r="AR8" s="17">
        <v>1.5</v>
      </c>
      <c r="AS8" s="8"/>
      <c r="AT8" s="8"/>
      <c r="AU8" s="8" t="s">
        <v>774</v>
      </c>
      <c r="AV8" s="8">
        <v>91</v>
      </c>
      <c r="AW8" s="8">
        <v>56</v>
      </c>
    </row>
    <row r="9" spans="1:49" x14ac:dyDescent="0.2">
      <c r="A9" s="8" t="s">
        <v>713</v>
      </c>
      <c r="B9" s="8">
        <v>2019</v>
      </c>
      <c r="C9" s="8" t="s">
        <v>87</v>
      </c>
      <c r="D9" s="8" t="s">
        <v>88</v>
      </c>
      <c r="E9" s="8" t="s">
        <v>88</v>
      </c>
      <c r="F9" s="8" t="s">
        <v>279</v>
      </c>
      <c r="G9" s="8" t="s">
        <v>714</v>
      </c>
      <c r="H9" s="8" t="s">
        <v>715</v>
      </c>
      <c r="I9" s="8" t="s">
        <v>716</v>
      </c>
      <c r="J9" s="8" t="s">
        <v>452</v>
      </c>
      <c r="K9" s="8" t="s">
        <v>56</v>
      </c>
      <c r="L9" s="8" t="s">
        <v>712</v>
      </c>
      <c r="M9" s="8" t="s">
        <v>57</v>
      </c>
      <c r="N9" s="8" t="s">
        <v>93</v>
      </c>
      <c r="O9" s="8" t="s">
        <v>58</v>
      </c>
      <c r="P9" s="8" t="s">
        <v>58</v>
      </c>
      <c r="Q9" s="8" t="s">
        <v>57</v>
      </c>
      <c r="R9" s="8" t="s">
        <v>725</v>
      </c>
      <c r="S9" s="8"/>
      <c r="T9" s="8" t="s">
        <v>731</v>
      </c>
      <c r="U9" s="9">
        <v>0.72</v>
      </c>
      <c r="V9" s="8"/>
      <c r="W9" s="8"/>
      <c r="X9" s="8" t="s">
        <v>742</v>
      </c>
      <c r="Y9" s="8"/>
      <c r="Z9" s="8"/>
      <c r="AA9" s="8" t="s">
        <v>395</v>
      </c>
      <c r="AB9" s="8"/>
      <c r="AC9" s="8"/>
      <c r="AD9" s="8"/>
      <c r="AE9" s="8"/>
      <c r="AF9" s="8"/>
      <c r="AG9" s="8"/>
      <c r="AH9" s="8"/>
      <c r="AI9" s="8"/>
      <c r="AJ9" s="17" t="s">
        <v>765</v>
      </c>
      <c r="AK9" s="17" t="s">
        <v>756</v>
      </c>
      <c r="AL9" s="17" t="s">
        <v>67</v>
      </c>
      <c r="AM9" s="17">
        <v>10.039999999999999</v>
      </c>
      <c r="AN9" s="17">
        <v>27</v>
      </c>
      <c r="AO9" s="17">
        <v>4.0199999999999996</v>
      </c>
      <c r="AP9" s="17">
        <v>10.5</v>
      </c>
      <c r="AQ9" s="17">
        <v>25</v>
      </c>
      <c r="AR9" s="17">
        <v>3.7</v>
      </c>
      <c r="AS9" s="8"/>
      <c r="AT9" s="8"/>
      <c r="AU9" s="8" t="s">
        <v>774</v>
      </c>
      <c r="AV9" s="8">
        <v>91</v>
      </c>
      <c r="AW9" s="8">
        <v>56</v>
      </c>
    </row>
    <row r="10" spans="1:49" x14ac:dyDescent="0.2">
      <c r="A10" s="17" t="s">
        <v>86</v>
      </c>
      <c r="B10" s="17">
        <v>2008</v>
      </c>
      <c r="C10" s="17" t="s">
        <v>87</v>
      </c>
      <c r="D10" s="17" t="s">
        <v>88</v>
      </c>
      <c r="E10" s="17" t="s">
        <v>88</v>
      </c>
      <c r="F10" s="17" t="s">
        <v>89</v>
      </c>
      <c r="G10" s="17" t="s">
        <v>90</v>
      </c>
      <c r="H10" s="17" t="s">
        <v>91</v>
      </c>
      <c r="I10" s="17" t="s">
        <v>54</v>
      </c>
      <c r="J10" s="17" t="s">
        <v>92</v>
      </c>
      <c r="K10" s="17" t="s">
        <v>56</v>
      </c>
      <c r="L10" s="17" t="s">
        <v>93</v>
      </c>
      <c r="M10" s="17" t="s">
        <v>58</v>
      </c>
      <c r="N10" s="17" t="s">
        <v>93</v>
      </c>
      <c r="O10" s="17" t="s">
        <v>57</v>
      </c>
      <c r="P10" s="17" t="s">
        <v>58</v>
      </c>
      <c r="Q10" s="17" t="s">
        <v>57</v>
      </c>
      <c r="R10" s="17" t="s">
        <v>94</v>
      </c>
      <c r="S10" s="17" t="s">
        <v>95</v>
      </c>
      <c r="T10" s="17" t="s">
        <v>96</v>
      </c>
      <c r="U10" s="17" t="s">
        <v>97</v>
      </c>
      <c r="V10" s="17"/>
      <c r="W10" s="17"/>
      <c r="X10" s="17" t="s">
        <v>98</v>
      </c>
      <c r="Y10" s="17"/>
      <c r="Z10" s="17"/>
      <c r="AA10" s="17"/>
      <c r="AB10" s="17" t="s">
        <v>99</v>
      </c>
      <c r="AC10" s="17"/>
      <c r="AD10" s="17"/>
      <c r="AE10" s="17"/>
      <c r="AF10" s="17"/>
      <c r="AG10" s="17"/>
      <c r="AH10" s="17" t="s">
        <v>100</v>
      </c>
      <c r="AI10" s="17"/>
      <c r="AJ10" s="17" t="s">
        <v>65</v>
      </c>
      <c r="AK10" s="17" t="s">
        <v>66</v>
      </c>
      <c r="AL10" s="17" t="s">
        <v>101</v>
      </c>
      <c r="AM10" s="18"/>
      <c r="AN10" s="18"/>
      <c r="AO10" s="18"/>
      <c r="AP10" s="18"/>
      <c r="AQ10" s="18" t="s">
        <v>102</v>
      </c>
      <c r="AR10" s="18"/>
      <c r="AS10" s="17"/>
      <c r="AT10" s="17"/>
      <c r="AU10" s="17" t="s">
        <v>103</v>
      </c>
      <c r="AV10" s="17">
        <v>180</v>
      </c>
      <c r="AW10" s="17">
        <v>180</v>
      </c>
    </row>
    <row r="11" spans="1:49" x14ac:dyDescent="0.2">
      <c r="A11" s="17" t="s">
        <v>86</v>
      </c>
      <c r="B11" s="17">
        <v>2008</v>
      </c>
      <c r="C11" s="17" t="s">
        <v>104</v>
      </c>
      <c r="D11" s="17" t="s">
        <v>105</v>
      </c>
      <c r="E11" s="17" t="s">
        <v>106</v>
      </c>
      <c r="F11" s="17" t="s">
        <v>89</v>
      </c>
      <c r="G11" s="17" t="s">
        <v>90</v>
      </c>
      <c r="H11" s="17" t="s">
        <v>91</v>
      </c>
      <c r="I11" s="17" t="s">
        <v>54</v>
      </c>
      <c r="J11" s="17" t="s">
        <v>92</v>
      </c>
      <c r="K11" s="17" t="s">
        <v>56</v>
      </c>
      <c r="L11" s="17" t="s">
        <v>93</v>
      </c>
      <c r="M11" s="17" t="s">
        <v>58</v>
      </c>
      <c r="N11" s="17" t="s">
        <v>93</v>
      </c>
      <c r="O11" s="17" t="s">
        <v>57</v>
      </c>
      <c r="P11" s="17" t="s">
        <v>58</v>
      </c>
      <c r="Q11" s="17" t="s">
        <v>57</v>
      </c>
      <c r="R11" s="17" t="s">
        <v>107</v>
      </c>
      <c r="S11" s="17" t="s">
        <v>108</v>
      </c>
      <c r="T11" s="17" t="s">
        <v>109</v>
      </c>
      <c r="U11" s="17" t="s">
        <v>110</v>
      </c>
      <c r="V11" s="17"/>
      <c r="W11" s="17"/>
      <c r="X11" s="17" t="s">
        <v>111</v>
      </c>
      <c r="Y11" s="17"/>
      <c r="Z11" s="17"/>
      <c r="AA11" s="17"/>
      <c r="AB11" s="17" t="s">
        <v>112</v>
      </c>
      <c r="AC11" s="17"/>
      <c r="AD11" s="17"/>
      <c r="AE11" s="17"/>
      <c r="AF11" s="17"/>
      <c r="AG11" s="17"/>
      <c r="AH11" s="17" t="s">
        <v>64</v>
      </c>
      <c r="AI11" s="17"/>
      <c r="AJ11" s="17" t="s">
        <v>65</v>
      </c>
      <c r="AK11" s="17" t="s">
        <v>66</v>
      </c>
      <c r="AL11" s="17" t="s">
        <v>101</v>
      </c>
      <c r="AM11" s="18"/>
      <c r="AN11" s="18"/>
      <c r="AO11" s="18"/>
      <c r="AP11" s="18" t="s">
        <v>113</v>
      </c>
      <c r="AQ11" s="18" t="s">
        <v>114</v>
      </c>
      <c r="AR11" s="18">
        <f>SQRT(AQ11+AQ10)*(AT11-AS11)/(2*TINV(1-0.95,AQ11+AQ10-1))</f>
        <v>13.39209897120349</v>
      </c>
      <c r="AS11" s="17" t="s">
        <v>115</v>
      </c>
      <c r="AT11" s="17" t="s">
        <v>116</v>
      </c>
      <c r="AU11" s="17" t="s">
        <v>103</v>
      </c>
      <c r="AV11" s="17">
        <v>180</v>
      </c>
      <c r="AW11" s="17">
        <v>180</v>
      </c>
    </row>
    <row r="12" spans="1:49" x14ac:dyDescent="0.2">
      <c r="A12" s="8" t="s">
        <v>708</v>
      </c>
      <c r="B12" s="8">
        <v>2020</v>
      </c>
      <c r="C12" s="8" t="s">
        <v>312</v>
      </c>
      <c r="D12" s="8" t="s">
        <v>105</v>
      </c>
      <c r="E12" s="8" t="s">
        <v>106</v>
      </c>
      <c r="F12" s="8" t="s">
        <v>89</v>
      </c>
      <c r="G12" s="8" t="s">
        <v>709</v>
      </c>
      <c r="H12" s="8" t="s">
        <v>710</v>
      </c>
      <c r="I12" s="8" t="s">
        <v>711</v>
      </c>
      <c r="J12" s="8" t="s">
        <v>452</v>
      </c>
      <c r="K12" s="8" t="s">
        <v>56</v>
      </c>
      <c r="L12" s="8" t="s">
        <v>712</v>
      </c>
      <c r="M12" s="8" t="s">
        <v>712</v>
      </c>
      <c r="N12" s="8" t="s">
        <v>57</v>
      </c>
      <c r="O12" s="8" t="s">
        <v>57</v>
      </c>
      <c r="P12" s="8" t="s">
        <v>57</v>
      </c>
      <c r="Q12" s="8" t="s">
        <v>57</v>
      </c>
      <c r="R12" s="8"/>
      <c r="S12" s="8"/>
      <c r="T12" s="8"/>
      <c r="U12" s="8"/>
      <c r="V12" s="8"/>
      <c r="W12" s="8"/>
      <c r="X12" s="8" t="s">
        <v>739</v>
      </c>
      <c r="Y12" s="8"/>
      <c r="Z12" s="8"/>
      <c r="AA12" s="8" t="s">
        <v>395</v>
      </c>
      <c r="AB12" s="8"/>
      <c r="AC12" s="8"/>
      <c r="AD12" s="8"/>
      <c r="AE12" s="8"/>
      <c r="AF12" s="8"/>
      <c r="AG12" s="8"/>
      <c r="AH12" s="8"/>
      <c r="AI12" s="8"/>
      <c r="AJ12" s="8" t="s">
        <v>65</v>
      </c>
      <c r="AK12" s="8" t="s">
        <v>234</v>
      </c>
      <c r="AL12" s="8" t="s">
        <v>67</v>
      </c>
      <c r="AM12" s="8">
        <v>55.36</v>
      </c>
      <c r="AN12" s="8">
        <v>157</v>
      </c>
      <c r="AO12" s="8">
        <f>0.45*SQRT(AN12)</f>
        <v>5.6384838387637508</v>
      </c>
      <c r="AP12" s="8">
        <v>53.87</v>
      </c>
      <c r="AQ12" s="8">
        <v>157</v>
      </c>
      <c r="AR12" s="8">
        <f>0.49*SQRT(AQ12)</f>
        <v>6.1396824022094174</v>
      </c>
      <c r="AS12" s="8"/>
      <c r="AT12" s="8"/>
      <c r="AU12" s="8" t="s">
        <v>749</v>
      </c>
      <c r="AV12" s="8">
        <v>30</v>
      </c>
      <c r="AW12" s="8">
        <v>30</v>
      </c>
    </row>
    <row r="13" spans="1:49" x14ac:dyDescent="0.2">
      <c r="A13" s="8" t="s">
        <v>708</v>
      </c>
      <c r="B13" s="8">
        <v>2020</v>
      </c>
      <c r="C13" s="8" t="s">
        <v>87</v>
      </c>
      <c r="D13" s="8" t="s">
        <v>88</v>
      </c>
      <c r="E13" s="8" t="s">
        <v>88</v>
      </c>
      <c r="F13" s="8" t="s">
        <v>89</v>
      </c>
      <c r="G13" s="8" t="s">
        <v>709</v>
      </c>
      <c r="H13" s="8" t="s">
        <v>710</v>
      </c>
      <c r="I13" s="8" t="s">
        <v>711</v>
      </c>
      <c r="J13" s="8" t="s">
        <v>452</v>
      </c>
      <c r="K13" s="8" t="s">
        <v>56</v>
      </c>
      <c r="L13" s="8" t="s">
        <v>712</v>
      </c>
      <c r="M13" s="8" t="s">
        <v>712</v>
      </c>
      <c r="N13" s="8" t="s">
        <v>57</v>
      </c>
      <c r="O13" s="8" t="s">
        <v>57</v>
      </c>
      <c r="P13" s="8" t="s">
        <v>57</v>
      </c>
      <c r="Q13" s="8" t="s">
        <v>57</v>
      </c>
      <c r="R13" s="8"/>
      <c r="S13" s="8"/>
      <c r="T13" s="8"/>
      <c r="U13" s="8"/>
      <c r="V13" s="8"/>
      <c r="W13" s="8"/>
      <c r="X13" s="8" t="s">
        <v>740</v>
      </c>
      <c r="Y13" s="8"/>
      <c r="Z13" s="8"/>
      <c r="AA13" s="8" t="s">
        <v>395</v>
      </c>
      <c r="AB13" s="8"/>
      <c r="AC13" s="8"/>
      <c r="AD13" s="8"/>
      <c r="AE13" s="8"/>
      <c r="AF13" s="8"/>
      <c r="AG13" s="8"/>
      <c r="AH13" s="8"/>
      <c r="AI13" s="8"/>
      <c r="AJ13" s="8" t="s">
        <v>65</v>
      </c>
      <c r="AK13" s="8" t="s">
        <v>234</v>
      </c>
      <c r="AL13" s="8" t="s">
        <v>67</v>
      </c>
      <c r="AM13" s="8">
        <v>54.14</v>
      </c>
      <c r="AN13" s="8">
        <v>157</v>
      </c>
      <c r="AO13" s="8">
        <f>0.45*SQRT(AN13)</f>
        <v>5.6384838387637508</v>
      </c>
      <c r="AP13" s="8">
        <v>19.61</v>
      </c>
      <c r="AQ13" s="8">
        <v>157</v>
      </c>
      <c r="AR13" s="8">
        <f>0.49*SQRT(AQ13)</f>
        <v>6.1396824022094174</v>
      </c>
      <c r="AS13" s="8"/>
      <c r="AT13" s="8"/>
      <c r="AU13" s="8" t="s">
        <v>749</v>
      </c>
      <c r="AV13" s="8">
        <v>30</v>
      </c>
      <c r="AW13" s="8">
        <v>30</v>
      </c>
    </row>
    <row r="14" spans="1:49" x14ac:dyDescent="0.2">
      <c r="A14" s="17" t="s">
        <v>117</v>
      </c>
      <c r="B14" s="17">
        <v>2011</v>
      </c>
      <c r="C14" s="17" t="s">
        <v>118</v>
      </c>
      <c r="D14" s="17" t="s">
        <v>105</v>
      </c>
      <c r="E14" s="17" t="s">
        <v>106</v>
      </c>
      <c r="F14" s="17" t="s">
        <v>119</v>
      </c>
      <c r="G14" s="17" t="s">
        <v>120</v>
      </c>
      <c r="H14" s="17" t="s">
        <v>91</v>
      </c>
      <c r="I14" s="17" t="s">
        <v>54</v>
      </c>
      <c r="J14" s="17" t="s">
        <v>121</v>
      </c>
      <c r="K14" s="17" t="s">
        <v>56</v>
      </c>
      <c r="L14" s="17" t="s">
        <v>93</v>
      </c>
      <c r="M14" s="17" t="s">
        <v>58</v>
      </c>
      <c r="N14" s="17" t="s">
        <v>93</v>
      </c>
      <c r="O14" s="17" t="s">
        <v>57</v>
      </c>
      <c r="P14" s="17" t="s">
        <v>58</v>
      </c>
      <c r="Q14" s="17" t="s">
        <v>57</v>
      </c>
      <c r="R14" s="17" t="s">
        <v>122</v>
      </c>
      <c r="S14" s="17" t="s">
        <v>123</v>
      </c>
      <c r="T14" s="17" t="s">
        <v>124</v>
      </c>
      <c r="U14" s="17" t="s">
        <v>125</v>
      </c>
      <c r="V14" s="17"/>
      <c r="W14" s="17"/>
      <c r="X14" s="17" t="s">
        <v>126</v>
      </c>
      <c r="Y14" s="17"/>
      <c r="Z14" s="17"/>
      <c r="AA14" s="17"/>
      <c r="AB14" s="17" t="s">
        <v>127</v>
      </c>
      <c r="AC14" s="17"/>
      <c r="AD14" s="17"/>
      <c r="AE14" s="17"/>
      <c r="AF14" s="17"/>
      <c r="AG14" s="17"/>
      <c r="AH14" s="17" t="s">
        <v>64</v>
      </c>
      <c r="AI14" s="17"/>
      <c r="AJ14" s="17" t="s">
        <v>65</v>
      </c>
      <c r="AK14" s="17" t="s">
        <v>66</v>
      </c>
      <c r="AL14" s="17" t="s">
        <v>101</v>
      </c>
      <c r="AM14" s="18"/>
      <c r="AN14" s="18"/>
      <c r="AO14" s="18"/>
      <c r="AP14" s="18" t="s">
        <v>158</v>
      </c>
      <c r="AQ14" s="18" t="s">
        <v>131</v>
      </c>
      <c r="AR14" s="18">
        <f>SQRT(AQ14+AQ15)*(AT14-AS14)*0.5/TINV(1-0.95,AQ14+AQ15-1)</f>
        <v>1.9043938370706426</v>
      </c>
      <c r="AS14" s="17" t="s">
        <v>159</v>
      </c>
      <c r="AT14" s="17" t="s">
        <v>160</v>
      </c>
      <c r="AU14" s="17" t="s">
        <v>690</v>
      </c>
      <c r="AV14" s="17">
        <v>180</v>
      </c>
      <c r="AW14" s="17">
        <v>35</v>
      </c>
    </row>
    <row r="15" spans="1:49" x14ac:dyDescent="0.2">
      <c r="A15" s="17" t="s">
        <v>117</v>
      </c>
      <c r="B15" s="17">
        <v>2011</v>
      </c>
      <c r="C15" s="17" t="s">
        <v>134</v>
      </c>
      <c r="D15" s="17" t="s">
        <v>88</v>
      </c>
      <c r="E15" s="17" t="s">
        <v>88</v>
      </c>
      <c r="F15" s="17" t="s">
        <v>119</v>
      </c>
      <c r="G15" s="17" t="s">
        <v>120</v>
      </c>
      <c r="H15" s="17" t="s">
        <v>91</v>
      </c>
      <c r="I15" s="17" t="s">
        <v>54</v>
      </c>
      <c r="J15" s="17" t="s">
        <v>121</v>
      </c>
      <c r="K15" s="17" t="s">
        <v>56</v>
      </c>
      <c r="L15" s="17" t="s">
        <v>93</v>
      </c>
      <c r="M15" s="17" t="s">
        <v>58</v>
      </c>
      <c r="N15" s="17" t="s">
        <v>93</v>
      </c>
      <c r="O15" s="17" t="s">
        <v>57</v>
      </c>
      <c r="P15" s="17" t="s">
        <v>58</v>
      </c>
      <c r="Q15" s="17" t="s">
        <v>57</v>
      </c>
      <c r="R15" s="17" t="s">
        <v>135</v>
      </c>
      <c r="S15" s="17" t="s">
        <v>136</v>
      </c>
      <c r="T15" s="17" t="s">
        <v>137</v>
      </c>
      <c r="U15" s="17" t="s">
        <v>138</v>
      </c>
      <c r="V15" s="17"/>
      <c r="W15" s="17"/>
      <c r="X15" s="17" t="s">
        <v>139</v>
      </c>
      <c r="Y15" s="17"/>
      <c r="Z15" s="17"/>
      <c r="AA15" s="17"/>
      <c r="AB15" s="17" t="s">
        <v>140</v>
      </c>
      <c r="AC15" s="17"/>
      <c r="AD15" s="17"/>
      <c r="AE15" s="17"/>
      <c r="AF15" s="17"/>
      <c r="AG15" s="17"/>
      <c r="AH15" s="17" t="s">
        <v>100</v>
      </c>
      <c r="AI15" s="17"/>
      <c r="AJ15" s="17" t="s">
        <v>65</v>
      </c>
      <c r="AK15" s="17" t="s">
        <v>66</v>
      </c>
      <c r="AL15" s="17" t="s">
        <v>101</v>
      </c>
      <c r="AM15" s="18"/>
      <c r="AN15" s="18"/>
      <c r="AO15" s="18"/>
      <c r="AP15" s="18"/>
      <c r="AQ15" s="18" t="s">
        <v>141</v>
      </c>
      <c r="AR15" s="18"/>
      <c r="AS15" s="17"/>
      <c r="AT15" s="17"/>
      <c r="AU15" s="17" t="s">
        <v>690</v>
      </c>
      <c r="AV15" s="17">
        <v>180</v>
      </c>
      <c r="AW15" s="17">
        <v>35</v>
      </c>
    </row>
    <row r="16" spans="1:49" x14ac:dyDescent="0.2">
      <c r="A16" s="8" t="s">
        <v>691</v>
      </c>
      <c r="B16" s="8">
        <v>2020</v>
      </c>
      <c r="C16" s="8" t="s">
        <v>692</v>
      </c>
      <c r="D16" s="8" t="s">
        <v>105</v>
      </c>
      <c r="E16" s="8" t="s">
        <v>106</v>
      </c>
      <c r="F16" s="8" t="s">
        <v>747</v>
      </c>
      <c r="G16" s="8" t="s">
        <v>693</v>
      </c>
      <c r="H16" s="8" t="s">
        <v>694</v>
      </c>
      <c r="I16" s="8" t="s">
        <v>695</v>
      </c>
      <c r="J16" s="8" t="s">
        <v>696</v>
      </c>
      <c r="K16" s="8" t="s">
        <v>56</v>
      </c>
      <c r="L16" s="8" t="s">
        <v>93</v>
      </c>
      <c r="M16" s="8" t="s">
        <v>58</v>
      </c>
      <c r="N16" s="8" t="s">
        <v>93</v>
      </c>
      <c r="O16" s="8" t="s">
        <v>58</v>
      </c>
      <c r="P16" s="8" t="s">
        <v>93</v>
      </c>
      <c r="Q16" s="8" t="s">
        <v>93</v>
      </c>
      <c r="R16" s="8"/>
      <c r="S16" s="9">
        <v>0.76</v>
      </c>
      <c r="T16" s="8" t="s">
        <v>726</v>
      </c>
      <c r="U16" s="9">
        <v>0.92</v>
      </c>
      <c r="V16" s="8"/>
      <c r="W16" s="8"/>
      <c r="X16" s="8" t="s">
        <v>734</v>
      </c>
      <c r="Y16" s="8"/>
      <c r="Z16" s="8"/>
      <c r="AA16" s="8" t="s">
        <v>395</v>
      </c>
      <c r="AB16" s="8"/>
      <c r="AC16" s="8"/>
      <c r="AD16" s="8"/>
      <c r="AE16" s="8"/>
      <c r="AF16" s="8"/>
      <c r="AG16" s="8"/>
      <c r="AH16" s="8"/>
      <c r="AI16" s="8"/>
      <c r="AJ16" s="8" t="s">
        <v>65</v>
      </c>
      <c r="AK16" s="8" t="s">
        <v>66</v>
      </c>
      <c r="AL16" s="8" t="s">
        <v>67</v>
      </c>
      <c r="AM16" s="8">
        <v>6.7</v>
      </c>
      <c r="AN16" s="8">
        <v>25</v>
      </c>
      <c r="AO16" s="8">
        <v>2.1</v>
      </c>
      <c r="AP16" s="8">
        <v>2.9</v>
      </c>
      <c r="AQ16" s="8">
        <v>25</v>
      </c>
      <c r="AR16" s="8">
        <v>2.4</v>
      </c>
      <c r="AS16" s="8"/>
      <c r="AT16" s="8"/>
      <c r="AU16" s="8" t="s">
        <v>238</v>
      </c>
      <c r="AV16" s="8">
        <v>90</v>
      </c>
      <c r="AW16" s="8">
        <v>35</v>
      </c>
    </row>
    <row r="17" spans="1:49" x14ac:dyDescent="0.2">
      <c r="A17" s="8" t="s">
        <v>691</v>
      </c>
      <c r="B17" s="8">
        <v>2020</v>
      </c>
      <c r="C17" s="8" t="s">
        <v>697</v>
      </c>
      <c r="D17" s="8" t="s">
        <v>88</v>
      </c>
      <c r="E17" s="8" t="s">
        <v>88</v>
      </c>
      <c r="F17" s="8" t="s">
        <v>747</v>
      </c>
      <c r="G17" s="8" t="s">
        <v>693</v>
      </c>
      <c r="H17" s="8" t="s">
        <v>694</v>
      </c>
      <c r="I17" s="8" t="s">
        <v>695</v>
      </c>
      <c r="J17" s="8" t="s">
        <v>696</v>
      </c>
      <c r="K17" s="8" t="s">
        <v>56</v>
      </c>
      <c r="L17" s="8" t="s">
        <v>93</v>
      </c>
      <c r="M17" s="8" t="s">
        <v>58</v>
      </c>
      <c r="N17" s="8" t="s">
        <v>93</v>
      </c>
      <c r="O17" s="8" t="s">
        <v>58</v>
      </c>
      <c r="P17" s="8" t="s">
        <v>93</v>
      </c>
      <c r="Q17" s="8" t="s">
        <v>93</v>
      </c>
      <c r="R17" s="8"/>
      <c r="S17" s="10">
        <v>0.76900000000000002</v>
      </c>
      <c r="T17" s="8" t="s">
        <v>727</v>
      </c>
      <c r="U17" s="10">
        <v>0.80800000000000005</v>
      </c>
      <c r="V17" s="8"/>
      <c r="W17" s="8"/>
      <c r="X17" s="8" t="s">
        <v>735</v>
      </c>
      <c r="Y17" s="8"/>
      <c r="Z17" s="8"/>
      <c r="AA17" s="8" t="s">
        <v>395</v>
      </c>
      <c r="AB17" s="8"/>
      <c r="AC17" s="8"/>
      <c r="AD17" s="8"/>
      <c r="AE17" s="8"/>
      <c r="AF17" s="8"/>
      <c r="AG17" s="8"/>
      <c r="AH17" s="8"/>
      <c r="AI17" s="8"/>
      <c r="AJ17" s="8" t="s">
        <v>65</v>
      </c>
      <c r="AK17" s="8" t="s">
        <v>66</v>
      </c>
      <c r="AL17" s="8" t="s">
        <v>67</v>
      </c>
      <c r="AM17" s="8">
        <v>6.8</v>
      </c>
      <c r="AN17" s="8">
        <v>26</v>
      </c>
      <c r="AO17" s="8">
        <v>2.2999999999999998</v>
      </c>
      <c r="AP17" s="8">
        <v>5.5</v>
      </c>
      <c r="AQ17" s="8">
        <v>26</v>
      </c>
      <c r="AR17" s="8">
        <v>3.4</v>
      </c>
      <c r="AS17" s="8"/>
      <c r="AT17" s="8"/>
      <c r="AU17" s="8" t="s">
        <v>238</v>
      </c>
      <c r="AV17" s="8">
        <v>90</v>
      </c>
      <c r="AW17" s="8">
        <v>35</v>
      </c>
    </row>
    <row r="18" spans="1:49" x14ac:dyDescent="0.2">
      <c r="A18" s="17" t="s">
        <v>201</v>
      </c>
      <c r="B18" s="17">
        <v>2015</v>
      </c>
      <c r="C18" s="17" t="s">
        <v>202</v>
      </c>
      <c r="D18" s="17" t="s">
        <v>49</v>
      </c>
      <c r="E18" s="17" t="s">
        <v>75</v>
      </c>
      <c r="F18" s="17" t="s">
        <v>51</v>
      </c>
      <c r="G18" s="17" t="s">
        <v>203</v>
      </c>
      <c r="H18" s="17" t="s">
        <v>53</v>
      </c>
      <c r="I18" s="17" t="s">
        <v>54</v>
      </c>
      <c r="J18" s="17" t="s">
        <v>92</v>
      </c>
      <c r="K18" s="17" t="s">
        <v>56</v>
      </c>
      <c r="L18" s="17" t="s">
        <v>58</v>
      </c>
      <c r="M18" s="17" t="s">
        <v>57</v>
      </c>
      <c r="N18" s="17" t="s">
        <v>57</v>
      </c>
      <c r="O18" s="17" t="s">
        <v>57</v>
      </c>
      <c r="P18" s="17" t="s">
        <v>58</v>
      </c>
      <c r="Q18" s="17" t="s">
        <v>57</v>
      </c>
      <c r="R18" s="17" t="s">
        <v>204</v>
      </c>
      <c r="S18" s="17"/>
      <c r="T18" s="17" t="s">
        <v>205</v>
      </c>
      <c r="U18" s="17" t="s">
        <v>206</v>
      </c>
      <c r="V18" s="17"/>
      <c r="W18" s="17"/>
      <c r="X18" s="17" t="s">
        <v>207</v>
      </c>
      <c r="Y18" s="17"/>
      <c r="Z18" s="17"/>
      <c r="AA18" s="17"/>
      <c r="AB18" s="17" t="s">
        <v>208</v>
      </c>
      <c r="AC18" s="17"/>
      <c r="AD18" s="17"/>
      <c r="AE18" s="17"/>
      <c r="AF18" s="17"/>
      <c r="AG18" s="17"/>
      <c r="AH18" s="17" t="s">
        <v>209</v>
      </c>
      <c r="AI18" s="17"/>
      <c r="AJ18" s="17" t="s">
        <v>65</v>
      </c>
      <c r="AK18" s="17" t="s">
        <v>66</v>
      </c>
      <c r="AL18" s="17" t="s">
        <v>67</v>
      </c>
      <c r="AM18" s="18" t="s">
        <v>210</v>
      </c>
      <c r="AN18" s="18" t="s">
        <v>211</v>
      </c>
      <c r="AO18" s="18" t="s">
        <v>212</v>
      </c>
      <c r="AP18" s="18" t="s">
        <v>213</v>
      </c>
      <c r="AQ18" s="18" t="s">
        <v>211</v>
      </c>
      <c r="AR18" s="18" t="s">
        <v>214</v>
      </c>
      <c r="AS18" s="17"/>
      <c r="AT18" s="17"/>
      <c r="AU18" s="17" t="s">
        <v>680</v>
      </c>
      <c r="AV18" s="17">
        <v>98</v>
      </c>
      <c r="AW18" s="17">
        <v>98</v>
      </c>
    </row>
    <row r="19" spans="1:49" x14ac:dyDescent="0.2">
      <c r="A19" s="17" t="s">
        <v>201</v>
      </c>
      <c r="B19" s="17">
        <v>2015</v>
      </c>
      <c r="C19" s="17" t="s">
        <v>215</v>
      </c>
      <c r="D19" s="17" t="s">
        <v>49</v>
      </c>
      <c r="E19" s="17" t="s">
        <v>50</v>
      </c>
      <c r="F19" s="17" t="s">
        <v>51</v>
      </c>
      <c r="G19" s="17" t="s">
        <v>203</v>
      </c>
      <c r="H19" s="17" t="s">
        <v>53</v>
      </c>
      <c r="I19" s="17" t="s">
        <v>54</v>
      </c>
      <c r="J19" s="17" t="s">
        <v>92</v>
      </c>
      <c r="K19" s="17" t="s">
        <v>56</v>
      </c>
      <c r="L19" s="17" t="s">
        <v>58</v>
      </c>
      <c r="M19" s="17" t="s">
        <v>57</v>
      </c>
      <c r="N19" s="17" t="s">
        <v>57</v>
      </c>
      <c r="O19" s="17" t="s">
        <v>57</v>
      </c>
      <c r="P19" s="17" t="s">
        <v>58</v>
      </c>
      <c r="Q19" s="17" t="s">
        <v>57</v>
      </c>
      <c r="R19" s="17" t="s">
        <v>216</v>
      </c>
      <c r="S19" s="17"/>
      <c r="T19" s="17" t="s">
        <v>217</v>
      </c>
      <c r="U19" s="17" t="s">
        <v>218</v>
      </c>
      <c r="V19" s="17"/>
      <c r="W19" s="17"/>
      <c r="X19" s="17" t="s">
        <v>219</v>
      </c>
      <c r="Y19" s="17"/>
      <c r="Z19" s="17"/>
      <c r="AA19" s="17"/>
      <c r="AB19" s="17" t="s">
        <v>220</v>
      </c>
      <c r="AC19" s="17"/>
      <c r="AD19" s="17"/>
      <c r="AE19" s="17"/>
      <c r="AF19" s="17"/>
      <c r="AG19" s="17"/>
      <c r="AH19" s="17" t="s">
        <v>209</v>
      </c>
      <c r="AI19" s="17"/>
      <c r="AJ19" s="17" t="s">
        <v>65</v>
      </c>
      <c r="AK19" s="17" t="s">
        <v>66</v>
      </c>
      <c r="AL19" s="17" t="s">
        <v>67</v>
      </c>
      <c r="AM19" s="18" t="s">
        <v>221</v>
      </c>
      <c r="AN19" s="18" t="s">
        <v>222</v>
      </c>
      <c r="AO19" s="18" t="s">
        <v>223</v>
      </c>
      <c r="AP19" s="18" t="s">
        <v>224</v>
      </c>
      <c r="AQ19" s="18" t="s">
        <v>222</v>
      </c>
      <c r="AR19" s="18" t="s">
        <v>225</v>
      </c>
      <c r="AS19" s="17"/>
      <c r="AT19" s="17"/>
      <c r="AU19" s="17" t="s">
        <v>680</v>
      </c>
      <c r="AV19" s="17">
        <v>98</v>
      </c>
      <c r="AW19" s="17">
        <v>98</v>
      </c>
    </row>
    <row r="20" spans="1:49" x14ac:dyDescent="0.2">
      <c r="A20" s="17" t="s">
        <v>226</v>
      </c>
      <c r="B20" s="17">
        <v>2017</v>
      </c>
      <c r="C20" s="17" t="s">
        <v>227</v>
      </c>
      <c r="D20" s="17" t="s">
        <v>105</v>
      </c>
      <c r="E20" s="17" t="s">
        <v>106</v>
      </c>
      <c r="F20" s="17" t="s">
        <v>175</v>
      </c>
      <c r="G20" s="17" t="s">
        <v>228</v>
      </c>
      <c r="H20" s="17" t="s">
        <v>91</v>
      </c>
      <c r="I20" s="17" t="s">
        <v>54</v>
      </c>
      <c r="J20" s="17" t="s">
        <v>121</v>
      </c>
      <c r="K20" s="17" t="s">
        <v>56</v>
      </c>
      <c r="L20" s="17" t="s">
        <v>58</v>
      </c>
      <c r="M20" s="17" t="s">
        <v>58</v>
      </c>
      <c r="N20" s="17" t="s">
        <v>93</v>
      </c>
      <c r="O20" s="17" t="s">
        <v>58</v>
      </c>
      <c r="P20" s="17" t="s">
        <v>58</v>
      </c>
      <c r="Q20" s="17" t="s">
        <v>58</v>
      </c>
      <c r="R20" s="17"/>
      <c r="S20" s="17"/>
      <c r="T20" s="17" t="s">
        <v>229</v>
      </c>
      <c r="U20" s="17" t="s">
        <v>230</v>
      </c>
      <c r="V20" s="17" t="s">
        <v>231</v>
      </c>
      <c r="W20" s="17"/>
      <c r="X20" s="17" t="s">
        <v>232</v>
      </c>
      <c r="Y20" s="17"/>
      <c r="Z20" s="17"/>
      <c r="AA20" s="17"/>
      <c r="AB20" s="17" t="s">
        <v>233</v>
      </c>
      <c r="AC20" s="17"/>
      <c r="AD20" s="17"/>
      <c r="AE20" s="17"/>
      <c r="AF20" s="17"/>
      <c r="AG20" s="17"/>
      <c r="AH20" s="17" t="s">
        <v>64</v>
      </c>
      <c r="AI20" s="17"/>
      <c r="AJ20" s="17" t="s">
        <v>65</v>
      </c>
      <c r="AK20" s="17" t="s">
        <v>459</v>
      </c>
      <c r="AL20" s="17" t="s">
        <v>67</v>
      </c>
      <c r="AM20" s="18"/>
      <c r="AN20" s="18"/>
      <c r="AO20" s="18" t="s">
        <v>235</v>
      </c>
      <c r="AP20" s="18" t="s">
        <v>236</v>
      </c>
      <c r="AQ20" s="18"/>
      <c r="AR20" s="18" t="s">
        <v>237</v>
      </c>
      <c r="AS20" s="17"/>
      <c r="AT20" s="17"/>
      <c r="AU20" s="17" t="s">
        <v>238</v>
      </c>
      <c r="AV20" s="17">
        <v>90</v>
      </c>
      <c r="AW20" s="17">
        <v>90</v>
      </c>
    </row>
    <row r="21" spans="1:49" x14ac:dyDescent="0.2">
      <c r="A21" s="17" t="s">
        <v>226</v>
      </c>
      <c r="B21" s="17">
        <v>2017</v>
      </c>
      <c r="C21" s="17" t="s">
        <v>239</v>
      </c>
      <c r="D21" s="17" t="s">
        <v>88</v>
      </c>
      <c r="E21" s="17" t="s">
        <v>88</v>
      </c>
      <c r="F21" s="17" t="s">
        <v>175</v>
      </c>
      <c r="G21" s="17" t="s">
        <v>228</v>
      </c>
      <c r="H21" s="17" t="s">
        <v>91</v>
      </c>
      <c r="I21" s="17" t="s">
        <v>54</v>
      </c>
      <c r="J21" s="17" t="s">
        <v>121</v>
      </c>
      <c r="K21" s="17" t="s">
        <v>56</v>
      </c>
      <c r="L21" s="17" t="s">
        <v>58</v>
      </c>
      <c r="M21" s="17" t="s">
        <v>58</v>
      </c>
      <c r="N21" s="17" t="s">
        <v>93</v>
      </c>
      <c r="O21" s="17" t="s">
        <v>58</v>
      </c>
      <c r="P21" s="17" t="s">
        <v>58</v>
      </c>
      <c r="Q21" s="17" t="s">
        <v>58</v>
      </c>
      <c r="R21" s="17"/>
      <c r="S21" s="17"/>
      <c r="T21" s="17" t="s">
        <v>240</v>
      </c>
      <c r="U21" s="17" t="s">
        <v>241</v>
      </c>
      <c r="V21" s="17" t="s">
        <v>242</v>
      </c>
      <c r="W21" s="17"/>
      <c r="X21" s="17" t="s">
        <v>243</v>
      </c>
      <c r="Y21" s="17"/>
      <c r="Z21" s="17"/>
      <c r="AA21" s="17"/>
      <c r="AB21" s="17" t="s">
        <v>244</v>
      </c>
      <c r="AC21" s="17"/>
      <c r="AD21" s="17"/>
      <c r="AE21" s="17"/>
      <c r="AF21" s="17"/>
      <c r="AG21" s="17"/>
      <c r="AH21" s="17" t="s">
        <v>245</v>
      </c>
      <c r="AI21" s="17"/>
      <c r="AJ21" s="17" t="s">
        <v>65</v>
      </c>
      <c r="AK21" s="17" t="s">
        <v>459</v>
      </c>
      <c r="AL21" s="17" t="s">
        <v>67</v>
      </c>
      <c r="AM21" s="18"/>
      <c r="AN21" s="18"/>
      <c r="AO21" s="18" t="s">
        <v>246</v>
      </c>
      <c r="AP21" s="18" t="s">
        <v>247</v>
      </c>
      <c r="AQ21" s="18"/>
      <c r="AR21" s="18" t="s">
        <v>248</v>
      </c>
      <c r="AS21" s="17"/>
      <c r="AT21" s="17"/>
      <c r="AU21" s="17" t="s">
        <v>238</v>
      </c>
      <c r="AV21" s="17">
        <v>90</v>
      </c>
      <c r="AW21" s="17">
        <v>90</v>
      </c>
    </row>
    <row r="22" spans="1:49" x14ac:dyDescent="0.2">
      <c r="A22" s="17" t="s">
        <v>256</v>
      </c>
      <c r="B22" s="17">
        <v>2017</v>
      </c>
      <c r="C22" s="17" t="s">
        <v>257</v>
      </c>
      <c r="D22" s="17" t="s">
        <v>49</v>
      </c>
      <c r="E22" s="17" t="s">
        <v>75</v>
      </c>
      <c r="F22" s="17" t="s">
        <v>258</v>
      </c>
      <c r="G22" s="17" t="s">
        <v>259</v>
      </c>
      <c r="H22" s="17" t="s">
        <v>91</v>
      </c>
      <c r="I22" s="17" t="s">
        <v>54</v>
      </c>
      <c r="J22" s="17" t="s">
        <v>260</v>
      </c>
      <c r="K22" s="17" t="s">
        <v>56</v>
      </c>
      <c r="L22" s="17" t="s">
        <v>58</v>
      </c>
      <c r="M22" s="17" t="s">
        <v>57</v>
      </c>
      <c r="N22" s="17" t="s">
        <v>57</v>
      </c>
      <c r="O22" s="17" t="s">
        <v>57</v>
      </c>
      <c r="P22" s="17" t="s">
        <v>58</v>
      </c>
      <c r="Q22" s="17" t="s">
        <v>57</v>
      </c>
      <c r="R22" s="17"/>
      <c r="S22" s="17" t="s">
        <v>261</v>
      </c>
      <c r="T22" s="17" t="s">
        <v>262</v>
      </c>
      <c r="U22" s="17" t="s">
        <v>263</v>
      </c>
      <c r="V22" s="17"/>
      <c r="W22" s="17"/>
      <c r="X22" s="17" t="s">
        <v>264</v>
      </c>
      <c r="Y22" s="17"/>
      <c r="Z22" s="17"/>
      <c r="AA22" s="17"/>
      <c r="AB22" s="17" t="s">
        <v>265</v>
      </c>
      <c r="AC22" s="17"/>
      <c r="AD22" s="17"/>
      <c r="AE22" s="17"/>
      <c r="AF22" s="17"/>
      <c r="AG22" s="17"/>
      <c r="AH22" s="17" t="s">
        <v>64</v>
      </c>
      <c r="AI22" s="17"/>
      <c r="AJ22" s="17" t="s">
        <v>65</v>
      </c>
      <c r="AK22" s="17" t="s">
        <v>66</v>
      </c>
      <c r="AL22" s="17" t="s">
        <v>67</v>
      </c>
      <c r="AM22" s="18" t="s">
        <v>266</v>
      </c>
      <c r="AN22" s="18" t="s">
        <v>222</v>
      </c>
      <c r="AO22" s="18" t="s">
        <v>267</v>
      </c>
      <c r="AP22" s="18" t="s">
        <v>268</v>
      </c>
      <c r="AQ22" s="18" t="s">
        <v>222</v>
      </c>
      <c r="AR22" s="18" t="s">
        <v>269</v>
      </c>
      <c r="AS22" s="17"/>
      <c r="AT22" s="17"/>
      <c r="AU22" s="17" t="s">
        <v>270</v>
      </c>
      <c r="AV22" s="17">
        <v>49</v>
      </c>
      <c r="AW22" s="17">
        <v>49</v>
      </c>
    </row>
    <row r="23" spans="1:49" x14ac:dyDescent="0.2">
      <c r="A23" s="17" t="s">
        <v>256</v>
      </c>
      <c r="B23" s="17">
        <v>2017</v>
      </c>
      <c r="C23" s="17" t="s">
        <v>87</v>
      </c>
      <c r="D23" s="17" t="s">
        <v>88</v>
      </c>
      <c r="E23" s="17" t="s">
        <v>88</v>
      </c>
      <c r="F23" s="17" t="s">
        <v>258</v>
      </c>
      <c r="G23" s="17" t="s">
        <v>259</v>
      </c>
      <c r="H23" s="17" t="s">
        <v>91</v>
      </c>
      <c r="I23" s="17" t="s">
        <v>54</v>
      </c>
      <c r="J23" s="17" t="s">
        <v>260</v>
      </c>
      <c r="K23" s="17" t="s">
        <v>56</v>
      </c>
      <c r="L23" s="17" t="s">
        <v>58</v>
      </c>
      <c r="M23" s="17" t="s">
        <v>57</v>
      </c>
      <c r="N23" s="17" t="s">
        <v>57</v>
      </c>
      <c r="O23" s="17" t="s">
        <v>57</v>
      </c>
      <c r="P23" s="17" t="s">
        <v>58</v>
      </c>
      <c r="Q23" s="17" t="s">
        <v>57</v>
      </c>
      <c r="R23" s="17"/>
      <c r="S23" s="17" t="s">
        <v>68</v>
      </c>
      <c r="T23" s="17" t="s">
        <v>271</v>
      </c>
      <c r="U23" s="17" t="s">
        <v>272</v>
      </c>
      <c r="V23" s="17"/>
      <c r="W23" s="17"/>
      <c r="X23" s="17" t="s">
        <v>87</v>
      </c>
      <c r="Y23" s="17"/>
      <c r="Z23" s="17"/>
      <c r="AA23" s="17"/>
      <c r="AB23" s="17" t="s">
        <v>273</v>
      </c>
      <c r="AC23" s="17"/>
      <c r="AD23" s="17"/>
      <c r="AE23" s="17"/>
      <c r="AF23" s="17"/>
      <c r="AG23" s="17"/>
      <c r="AH23" s="17" t="s">
        <v>273</v>
      </c>
      <c r="AI23" s="17"/>
      <c r="AJ23" s="17" t="s">
        <v>65</v>
      </c>
      <c r="AK23" s="17" t="s">
        <v>66</v>
      </c>
      <c r="AL23" s="17" t="s">
        <v>67</v>
      </c>
      <c r="AM23" s="18" t="s">
        <v>274</v>
      </c>
      <c r="AN23" s="18" t="s">
        <v>222</v>
      </c>
      <c r="AO23" s="18" t="s">
        <v>275</v>
      </c>
      <c r="AP23" s="18" t="s">
        <v>123</v>
      </c>
      <c r="AQ23" s="18" t="s">
        <v>222</v>
      </c>
      <c r="AR23" s="18" t="s">
        <v>276</v>
      </c>
      <c r="AS23" s="17"/>
      <c r="AT23" s="17"/>
      <c r="AU23" s="17" t="s">
        <v>270</v>
      </c>
      <c r="AV23" s="17">
        <v>49</v>
      </c>
      <c r="AW23" s="17">
        <v>49</v>
      </c>
    </row>
    <row r="24" spans="1:49" x14ac:dyDescent="0.2">
      <c r="A24" s="17" t="s">
        <v>277</v>
      </c>
      <c r="B24" s="17">
        <v>2017</v>
      </c>
      <c r="C24" s="17" t="s">
        <v>278</v>
      </c>
      <c r="D24" s="17" t="s">
        <v>49</v>
      </c>
      <c r="E24" s="17" t="s">
        <v>50</v>
      </c>
      <c r="F24" s="17" t="s">
        <v>279</v>
      </c>
      <c r="G24" s="17" t="s">
        <v>280</v>
      </c>
      <c r="H24" s="17" t="s">
        <v>53</v>
      </c>
      <c r="I24" s="17" t="s">
        <v>54</v>
      </c>
      <c r="J24" s="17" t="s">
        <v>260</v>
      </c>
      <c r="K24" s="17" t="s">
        <v>56</v>
      </c>
      <c r="L24" s="17" t="s">
        <v>58</v>
      </c>
      <c r="M24" s="17" t="s">
        <v>57</v>
      </c>
      <c r="N24" s="17" t="s">
        <v>57</v>
      </c>
      <c r="O24" s="17" t="s">
        <v>57</v>
      </c>
      <c r="P24" s="17" t="s">
        <v>57</v>
      </c>
      <c r="Q24" s="17" t="s">
        <v>57</v>
      </c>
      <c r="R24" s="17"/>
      <c r="S24" s="17"/>
      <c r="T24" s="17"/>
      <c r="U24" s="17"/>
      <c r="V24" s="17"/>
      <c r="W24" s="17"/>
      <c r="X24" s="17" t="s">
        <v>281</v>
      </c>
      <c r="Y24" s="17"/>
      <c r="Z24" s="17"/>
      <c r="AA24" s="17"/>
      <c r="AB24" s="17" t="s">
        <v>282</v>
      </c>
      <c r="AC24" s="17"/>
      <c r="AD24" s="17"/>
      <c r="AE24" s="17"/>
      <c r="AF24" s="17"/>
      <c r="AG24" s="17"/>
      <c r="AH24" s="17" t="s">
        <v>283</v>
      </c>
      <c r="AI24" s="17"/>
      <c r="AJ24" s="17" t="s">
        <v>65</v>
      </c>
      <c r="AK24" s="17" t="s">
        <v>677</v>
      </c>
      <c r="AL24" s="17" t="s">
        <v>284</v>
      </c>
      <c r="AM24" s="18" t="s">
        <v>285</v>
      </c>
      <c r="AN24" s="18"/>
      <c r="AO24" s="18" t="s">
        <v>286</v>
      </c>
      <c r="AP24" s="18" t="s">
        <v>287</v>
      </c>
      <c r="AQ24" s="18"/>
      <c r="AR24" s="18" t="s">
        <v>288</v>
      </c>
      <c r="AS24" s="17"/>
      <c r="AT24" s="17"/>
      <c r="AU24" s="17" t="s">
        <v>681</v>
      </c>
      <c r="AV24" s="17">
        <v>35</v>
      </c>
      <c r="AW24" s="17">
        <v>35</v>
      </c>
    </row>
    <row r="25" spans="1:49" x14ac:dyDescent="0.2">
      <c r="A25" s="17" t="s">
        <v>277</v>
      </c>
      <c r="B25" s="17">
        <v>2017</v>
      </c>
      <c r="C25" s="17" t="s">
        <v>289</v>
      </c>
      <c r="D25" s="17" t="s">
        <v>88</v>
      </c>
      <c r="E25" s="17" t="s">
        <v>88</v>
      </c>
      <c r="F25" s="17" t="s">
        <v>279</v>
      </c>
      <c r="G25" s="17" t="s">
        <v>280</v>
      </c>
      <c r="H25" s="17" t="s">
        <v>53</v>
      </c>
      <c r="I25" s="17" t="s">
        <v>54</v>
      </c>
      <c r="J25" s="17" t="s">
        <v>260</v>
      </c>
      <c r="K25" s="17" t="s">
        <v>56</v>
      </c>
      <c r="L25" s="17" t="s">
        <v>58</v>
      </c>
      <c r="M25" s="17" t="s">
        <v>57</v>
      </c>
      <c r="N25" s="17" t="s">
        <v>57</v>
      </c>
      <c r="O25" s="17" t="s">
        <v>57</v>
      </c>
      <c r="P25" s="17" t="s">
        <v>57</v>
      </c>
      <c r="Q25" s="17" t="s">
        <v>57</v>
      </c>
      <c r="R25" s="17"/>
      <c r="S25" s="17"/>
      <c r="T25" s="17"/>
      <c r="U25" s="17"/>
      <c r="V25" s="17"/>
      <c r="W25" s="17"/>
      <c r="X25" s="17" t="s">
        <v>87</v>
      </c>
      <c r="Y25" s="17"/>
      <c r="Z25" s="17"/>
      <c r="AA25" s="17"/>
      <c r="AB25" s="17" t="s">
        <v>290</v>
      </c>
      <c r="AC25" s="17"/>
      <c r="AD25" s="17"/>
      <c r="AE25" s="17"/>
      <c r="AF25" s="17"/>
      <c r="AG25" s="17"/>
      <c r="AH25" s="17" t="s">
        <v>100</v>
      </c>
      <c r="AI25" s="17"/>
      <c r="AJ25" s="17" t="s">
        <v>65</v>
      </c>
      <c r="AK25" s="17" t="s">
        <v>677</v>
      </c>
      <c r="AL25" s="17" t="s">
        <v>284</v>
      </c>
      <c r="AM25" s="18" t="s">
        <v>291</v>
      </c>
      <c r="AN25" s="18"/>
      <c r="AO25" s="18" t="s">
        <v>292</v>
      </c>
      <c r="AP25" s="18" t="s">
        <v>293</v>
      </c>
      <c r="AQ25" s="18"/>
      <c r="AR25" s="18" t="s">
        <v>294</v>
      </c>
      <c r="AS25" s="17"/>
      <c r="AT25" s="17"/>
      <c r="AU25" s="17" t="s">
        <v>681</v>
      </c>
      <c r="AV25" s="17">
        <v>35</v>
      </c>
      <c r="AW25" s="17">
        <v>35</v>
      </c>
    </row>
    <row r="26" spans="1:49" x14ac:dyDescent="0.2">
      <c r="A26" s="17" t="s">
        <v>277</v>
      </c>
      <c r="B26" s="17">
        <v>2017</v>
      </c>
      <c r="C26" s="17" t="s">
        <v>295</v>
      </c>
      <c r="D26" s="17" t="s">
        <v>49</v>
      </c>
      <c r="E26" s="17" t="s">
        <v>50</v>
      </c>
      <c r="F26" s="17" t="s">
        <v>279</v>
      </c>
      <c r="G26" s="17" t="s">
        <v>280</v>
      </c>
      <c r="H26" s="17" t="s">
        <v>53</v>
      </c>
      <c r="I26" s="17" t="s">
        <v>54</v>
      </c>
      <c r="J26" s="17" t="s">
        <v>260</v>
      </c>
      <c r="K26" s="17" t="s">
        <v>56</v>
      </c>
      <c r="L26" s="17" t="s">
        <v>58</v>
      </c>
      <c r="M26" s="17" t="s">
        <v>57</v>
      </c>
      <c r="N26" s="17" t="s">
        <v>57</v>
      </c>
      <c r="O26" s="17" t="s">
        <v>57</v>
      </c>
      <c r="P26" s="17" t="s">
        <v>57</v>
      </c>
      <c r="Q26" s="17" t="s">
        <v>57</v>
      </c>
      <c r="R26" s="17"/>
      <c r="S26" s="17"/>
      <c r="T26" s="17"/>
      <c r="U26" s="17"/>
      <c r="V26" s="17"/>
      <c r="W26" s="17"/>
      <c r="X26" s="17" t="s">
        <v>296</v>
      </c>
      <c r="Y26" s="17"/>
      <c r="Z26" s="17"/>
      <c r="AA26" s="17"/>
      <c r="AB26" s="17" t="s">
        <v>297</v>
      </c>
      <c r="AC26" s="17"/>
      <c r="AD26" s="17"/>
      <c r="AE26" s="17"/>
      <c r="AF26" s="17"/>
      <c r="AG26" s="17"/>
      <c r="AH26" s="17" t="s">
        <v>283</v>
      </c>
      <c r="AI26" s="17"/>
      <c r="AJ26" s="17" t="s">
        <v>65</v>
      </c>
      <c r="AK26" s="17" t="s">
        <v>677</v>
      </c>
      <c r="AL26" s="17" t="s">
        <v>284</v>
      </c>
      <c r="AM26" s="18" t="s">
        <v>298</v>
      </c>
      <c r="AN26" s="18"/>
      <c r="AO26" s="18" t="s">
        <v>299</v>
      </c>
      <c r="AP26" s="18" t="s">
        <v>300</v>
      </c>
      <c r="AQ26" s="18"/>
      <c r="AR26" s="18" t="s">
        <v>301</v>
      </c>
      <c r="AS26" s="17"/>
      <c r="AT26" s="17"/>
      <c r="AU26" s="17" t="s">
        <v>681</v>
      </c>
      <c r="AV26" s="17">
        <v>35</v>
      </c>
      <c r="AW26" s="17">
        <v>35</v>
      </c>
    </row>
    <row r="27" spans="1:49" x14ac:dyDescent="0.2">
      <c r="A27" s="17" t="s">
        <v>277</v>
      </c>
      <c r="B27" s="17">
        <v>2017</v>
      </c>
      <c r="C27" s="17" t="s">
        <v>278</v>
      </c>
      <c r="D27" s="17" t="s">
        <v>49</v>
      </c>
      <c r="E27" s="17" t="s">
        <v>50</v>
      </c>
      <c r="F27" s="17" t="s">
        <v>279</v>
      </c>
      <c r="G27" s="17" t="s">
        <v>280</v>
      </c>
      <c r="H27" s="17" t="s">
        <v>53</v>
      </c>
      <c r="I27" s="17" t="s">
        <v>54</v>
      </c>
      <c r="J27" s="17" t="s">
        <v>260</v>
      </c>
      <c r="K27" s="17" t="s">
        <v>56</v>
      </c>
      <c r="L27" s="17" t="s">
        <v>58</v>
      </c>
      <c r="M27" s="17" t="s">
        <v>57</v>
      </c>
      <c r="N27" s="17" t="s">
        <v>57</v>
      </c>
      <c r="O27" s="17" t="s">
        <v>57</v>
      </c>
      <c r="P27" s="17" t="s">
        <v>57</v>
      </c>
      <c r="Q27" s="17" t="s">
        <v>57</v>
      </c>
      <c r="R27" s="17"/>
      <c r="S27" s="17"/>
      <c r="T27" s="17"/>
      <c r="U27" s="17"/>
      <c r="V27" s="17"/>
      <c r="W27" s="17"/>
      <c r="X27" s="17" t="s">
        <v>281</v>
      </c>
      <c r="Y27" s="17"/>
      <c r="Z27" s="17"/>
      <c r="AA27" s="17"/>
      <c r="AB27" s="17" t="s">
        <v>282</v>
      </c>
      <c r="AC27" s="17"/>
      <c r="AD27" s="17"/>
      <c r="AE27" s="17"/>
      <c r="AF27" s="17"/>
      <c r="AG27" s="17"/>
      <c r="AH27" s="17" t="s">
        <v>283</v>
      </c>
      <c r="AI27" s="17"/>
      <c r="AJ27" s="17" t="s">
        <v>65</v>
      </c>
      <c r="AK27" s="17" t="s">
        <v>677</v>
      </c>
      <c r="AL27" s="17" t="s">
        <v>302</v>
      </c>
      <c r="AM27" s="18" t="s">
        <v>285</v>
      </c>
      <c r="AN27" s="18"/>
      <c r="AO27" s="18" t="s">
        <v>286</v>
      </c>
      <c r="AP27" s="18" t="s">
        <v>287</v>
      </c>
      <c r="AQ27" s="18"/>
      <c r="AR27" s="18" t="s">
        <v>288</v>
      </c>
      <c r="AS27" s="17"/>
      <c r="AT27" s="17"/>
      <c r="AU27" s="17" t="s">
        <v>681</v>
      </c>
      <c r="AV27" s="17">
        <v>35</v>
      </c>
      <c r="AW27" s="17">
        <v>35</v>
      </c>
    </row>
    <row r="28" spans="1:49" x14ac:dyDescent="0.2">
      <c r="A28" s="17" t="s">
        <v>277</v>
      </c>
      <c r="B28" s="17">
        <v>2017</v>
      </c>
      <c r="C28" s="17" t="s">
        <v>289</v>
      </c>
      <c r="D28" s="17" t="s">
        <v>88</v>
      </c>
      <c r="E28" s="17" t="s">
        <v>88</v>
      </c>
      <c r="F28" s="17" t="s">
        <v>279</v>
      </c>
      <c r="G28" s="17" t="s">
        <v>280</v>
      </c>
      <c r="H28" s="17" t="s">
        <v>53</v>
      </c>
      <c r="I28" s="17" t="s">
        <v>54</v>
      </c>
      <c r="J28" s="17" t="s">
        <v>260</v>
      </c>
      <c r="K28" s="17" t="s">
        <v>56</v>
      </c>
      <c r="L28" s="17" t="s">
        <v>58</v>
      </c>
      <c r="M28" s="17" t="s">
        <v>57</v>
      </c>
      <c r="N28" s="17" t="s">
        <v>57</v>
      </c>
      <c r="O28" s="17" t="s">
        <v>57</v>
      </c>
      <c r="P28" s="17" t="s">
        <v>57</v>
      </c>
      <c r="Q28" s="17" t="s">
        <v>57</v>
      </c>
      <c r="R28" s="17"/>
      <c r="S28" s="17"/>
      <c r="T28" s="17"/>
      <c r="U28" s="17"/>
      <c r="V28" s="17"/>
      <c r="W28" s="17"/>
      <c r="X28" s="17" t="s">
        <v>87</v>
      </c>
      <c r="Y28" s="17"/>
      <c r="Z28" s="17"/>
      <c r="AA28" s="17"/>
      <c r="AB28" s="17" t="s">
        <v>290</v>
      </c>
      <c r="AC28" s="17"/>
      <c r="AD28" s="17"/>
      <c r="AE28" s="17"/>
      <c r="AF28" s="17"/>
      <c r="AG28" s="17"/>
      <c r="AH28" s="17" t="s">
        <v>100</v>
      </c>
      <c r="AI28" s="17"/>
      <c r="AJ28" s="17" t="s">
        <v>65</v>
      </c>
      <c r="AK28" s="17" t="s">
        <v>677</v>
      </c>
      <c r="AL28" s="17" t="s">
        <v>302</v>
      </c>
      <c r="AM28" s="18" t="s">
        <v>291</v>
      </c>
      <c r="AN28" s="18"/>
      <c r="AO28" s="18" t="s">
        <v>292</v>
      </c>
      <c r="AP28" s="18" t="s">
        <v>293</v>
      </c>
      <c r="AQ28" s="18"/>
      <c r="AR28" s="18" t="s">
        <v>294</v>
      </c>
      <c r="AS28" s="17"/>
      <c r="AT28" s="17"/>
      <c r="AU28" s="17" t="s">
        <v>681</v>
      </c>
      <c r="AV28" s="17">
        <v>35</v>
      </c>
      <c r="AW28" s="17">
        <v>35</v>
      </c>
    </row>
    <row r="29" spans="1:49" x14ac:dyDescent="0.2">
      <c r="A29" s="17" t="s">
        <v>277</v>
      </c>
      <c r="B29" s="17">
        <v>2017</v>
      </c>
      <c r="C29" s="17" t="s">
        <v>295</v>
      </c>
      <c r="D29" s="17" t="s">
        <v>49</v>
      </c>
      <c r="E29" s="17" t="s">
        <v>50</v>
      </c>
      <c r="F29" s="17" t="s">
        <v>279</v>
      </c>
      <c r="G29" s="17" t="s">
        <v>280</v>
      </c>
      <c r="H29" s="17" t="s">
        <v>53</v>
      </c>
      <c r="I29" s="17" t="s">
        <v>54</v>
      </c>
      <c r="J29" s="17" t="s">
        <v>260</v>
      </c>
      <c r="K29" s="17" t="s">
        <v>56</v>
      </c>
      <c r="L29" s="17" t="s">
        <v>58</v>
      </c>
      <c r="M29" s="17" t="s">
        <v>57</v>
      </c>
      <c r="N29" s="17" t="s">
        <v>57</v>
      </c>
      <c r="O29" s="17" t="s">
        <v>57</v>
      </c>
      <c r="P29" s="17" t="s">
        <v>57</v>
      </c>
      <c r="Q29" s="17" t="s">
        <v>57</v>
      </c>
      <c r="R29" s="17"/>
      <c r="S29" s="17"/>
      <c r="T29" s="17"/>
      <c r="U29" s="17"/>
      <c r="V29" s="17"/>
      <c r="W29" s="17"/>
      <c r="X29" s="17" t="s">
        <v>296</v>
      </c>
      <c r="Y29" s="17"/>
      <c r="Z29" s="17"/>
      <c r="AA29" s="17"/>
      <c r="AB29" s="17" t="s">
        <v>297</v>
      </c>
      <c r="AC29" s="17"/>
      <c r="AD29" s="17"/>
      <c r="AE29" s="17"/>
      <c r="AF29" s="17"/>
      <c r="AG29" s="17"/>
      <c r="AH29" s="17" t="s">
        <v>283</v>
      </c>
      <c r="AI29" s="17"/>
      <c r="AJ29" s="17" t="s">
        <v>65</v>
      </c>
      <c r="AK29" s="17" t="s">
        <v>677</v>
      </c>
      <c r="AL29" s="17" t="s">
        <v>302</v>
      </c>
      <c r="AM29" s="18" t="s">
        <v>298</v>
      </c>
      <c r="AN29" s="18"/>
      <c r="AO29" s="18" t="s">
        <v>299</v>
      </c>
      <c r="AP29" s="18" t="s">
        <v>300</v>
      </c>
      <c r="AQ29" s="18"/>
      <c r="AR29" s="18" t="s">
        <v>301</v>
      </c>
      <c r="AS29" s="17"/>
      <c r="AT29" s="17"/>
      <c r="AU29" s="17" t="s">
        <v>681</v>
      </c>
      <c r="AV29" s="17">
        <v>35</v>
      </c>
      <c r="AW29" s="17">
        <v>35</v>
      </c>
    </row>
    <row r="30" spans="1:49" x14ac:dyDescent="0.2">
      <c r="A30" s="17" t="s">
        <v>303</v>
      </c>
      <c r="B30" s="17">
        <v>2014</v>
      </c>
      <c r="C30" s="17" t="s">
        <v>304</v>
      </c>
      <c r="D30" s="17" t="s">
        <v>88</v>
      </c>
      <c r="E30" s="17" t="s">
        <v>88</v>
      </c>
      <c r="F30" s="17" t="s">
        <v>279</v>
      </c>
      <c r="G30" s="17" t="s">
        <v>305</v>
      </c>
      <c r="H30" s="17" t="s">
        <v>53</v>
      </c>
      <c r="I30" s="17" t="s">
        <v>54</v>
      </c>
      <c r="J30" s="17" t="s">
        <v>260</v>
      </c>
      <c r="K30" s="17"/>
      <c r="L30" s="17" t="s">
        <v>57</v>
      </c>
      <c r="M30" s="17" t="s">
        <v>57</v>
      </c>
      <c r="N30" s="17" t="s">
        <v>57</v>
      </c>
      <c r="O30" s="17" t="s">
        <v>57</v>
      </c>
      <c r="P30" s="17" t="s">
        <v>58</v>
      </c>
      <c r="Q30" s="17" t="s">
        <v>57</v>
      </c>
      <c r="R30" s="17"/>
      <c r="S30" s="17"/>
      <c r="T30" s="17"/>
      <c r="U30" s="17" t="s">
        <v>306</v>
      </c>
      <c r="V30" s="17"/>
      <c r="W30" s="17"/>
      <c r="X30" s="17"/>
      <c r="Y30" s="17"/>
      <c r="Z30" s="17"/>
      <c r="AA30" s="17"/>
      <c r="AB30" s="17"/>
      <c r="AC30" s="17"/>
      <c r="AD30" s="17"/>
      <c r="AE30" s="17"/>
      <c r="AF30" s="17"/>
      <c r="AG30" s="17"/>
      <c r="AH30" s="17"/>
      <c r="AI30" s="17"/>
      <c r="AJ30" s="17" t="s">
        <v>65</v>
      </c>
      <c r="AK30" s="17" t="s">
        <v>459</v>
      </c>
      <c r="AL30" s="17" t="s">
        <v>67</v>
      </c>
      <c r="AM30" s="18" t="s">
        <v>307</v>
      </c>
      <c r="AN30" s="18" t="s">
        <v>308</v>
      </c>
      <c r="AO30" s="18" t="s">
        <v>309</v>
      </c>
      <c r="AP30" s="18" t="s">
        <v>310</v>
      </c>
      <c r="AQ30" s="18" t="s">
        <v>308</v>
      </c>
      <c r="AR30" s="18" t="s">
        <v>311</v>
      </c>
      <c r="AS30" s="17"/>
      <c r="AT30" s="17"/>
      <c r="AU30" s="17" t="s">
        <v>681</v>
      </c>
      <c r="AV30" s="17">
        <v>35</v>
      </c>
      <c r="AW30" s="17">
        <v>35</v>
      </c>
    </row>
    <row r="31" spans="1:49" x14ac:dyDescent="0.2">
      <c r="A31" s="17" t="s">
        <v>303</v>
      </c>
      <c r="B31" s="17">
        <v>2014</v>
      </c>
      <c r="C31" s="17" t="s">
        <v>312</v>
      </c>
      <c r="D31" s="17" t="s">
        <v>49</v>
      </c>
      <c r="E31" s="17" t="s">
        <v>50</v>
      </c>
      <c r="F31" s="17" t="s">
        <v>279</v>
      </c>
      <c r="G31" s="17" t="s">
        <v>305</v>
      </c>
      <c r="H31" s="17" t="s">
        <v>53</v>
      </c>
      <c r="I31" s="17" t="s">
        <v>54</v>
      </c>
      <c r="J31" s="17" t="s">
        <v>260</v>
      </c>
      <c r="K31" s="17"/>
      <c r="L31" s="17" t="s">
        <v>57</v>
      </c>
      <c r="M31" s="17" t="s">
        <v>57</v>
      </c>
      <c r="N31" s="17" t="s">
        <v>57</v>
      </c>
      <c r="O31" s="17" t="s">
        <v>57</v>
      </c>
      <c r="P31" s="17" t="s">
        <v>58</v>
      </c>
      <c r="Q31" s="17" t="s">
        <v>57</v>
      </c>
      <c r="R31" s="17"/>
      <c r="S31" s="17"/>
      <c r="T31" s="17"/>
      <c r="U31" s="17" t="s">
        <v>306</v>
      </c>
      <c r="V31" s="17"/>
      <c r="W31" s="17"/>
      <c r="X31" s="17"/>
      <c r="Y31" s="17"/>
      <c r="Z31" s="17"/>
      <c r="AA31" s="17"/>
      <c r="AB31" s="17"/>
      <c r="AC31" s="17"/>
      <c r="AD31" s="17"/>
      <c r="AE31" s="17"/>
      <c r="AF31" s="17"/>
      <c r="AG31" s="17"/>
      <c r="AH31" s="17"/>
      <c r="AI31" s="17"/>
      <c r="AJ31" s="17" t="s">
        <v>65</v>
      </c>
      <c r="AK31" s="17" t="s">
        <v>459</v>
      </c>
      <c r="AL31" s="17" t="s">
        <v>67</v>
      </c>
      <c r="AM31" s="18" t="s">
        <v>313</v>
      </c>
      <c r="AN31" s="18" t="s">
        <v>308</v>
      </c>
      <c r="AO31" s="18" t="s">
        <v>314</v>
      </c>
      <c r="AP31" s="18" t="s">
        <v>315</v>
      </c>
      <c r="AQ31" s="18" t="s">
        <v>308</v>
      </c>
      <c r="AR31" s="18" t="s">
        <v>316</v>
      </c>
      <c r="AS31" s="17"/>
      <c r="AT31" s="17"/>
      <c r="AU31" s="17" t="s">
        <v>681</v>
      </c>
      <c r="AV31" s="17">
        <v>35</v>
      </c>
      <c r="AW31" s="17">
        <v>35</v>
      </c>
    </row>
    <row r="32" spans="1:49" x14ac:dyDescent="0.2">
      <c r="A32" s="17" t="s">
        <v>376</v>
      </c>
      <c r="B32" s="17">
        <v>2010</v>
      </c>
      <c r="C32" s="17" t="s">
        <v>87</v>
      </c>
      <c r="D32" s="17" t="s">
        <v>88</v>
      </c>
      <c r="E32" s="17" t="s">
        <v>88</v>
      </c>
      <c r="F32" s="17" t="s">
        <v>279</v>
      </c>
      <c r="G32" s="17" t="s">
        <v>377</v>
      </c>
      <c r="H32" s="17" t="s">
        <v>91</v>
      </c>
      <c r="I32" s="17" t="s">
        <v>54</v>
      </c>
      <c r="J32" s="17" t="s">
        <v>260</v>
      </c>
      <c r="K32" s="17" t="s">
        <v>56</v>
      </c>
      <c r="L32" s="17" t="s">
        <v>58</v>
      </c>
      <c r="M32" s="17" t="s">
        <v>57</v>
      </c>
      <c r="N32" s="17" t="s">
        <v>57</v>
      </c>
      <c r="O32" s="17" t="s">
        <v>57</v>
      </c>
      <c r="P32" s="17" t="s">
        <v>58</v>
      </c>
      <c r="Q32" s="17" t="s">
        <v>57</v>
      </c>
      <c r="R32" s="17" t="s">
        <v>378</v>
      </c>
      <c r="S32" s="17" t="s">
        <v>379</v>
      </c>
      <c r="T32" s="17" t="s">
        <v>380</v>
      </c>
      <c r="U32" s="17" t="s">
        <v>381</v>
      </c>
      <c r="V32" s="17"/>
      <c r="W32" s="17"/>
      <c r="X32" s="17" t="s">
        <v>87</v>
      </c>
      <c r="Y32" s="17"/>
      <c r="Z32" s="17"/>
      <c r="AA32" s="17"/>
      <c r="AB32" s="17" t="s">
        <v>382</v>
      </c>
      <c r="AC32" s="17"/>
      <c r="AD32" s="17"/>
      <c r="AE32" s="17"/>
      <c r="AF32" s="17"/>
      <c r="AG32" s="17"/>
      <c r="AH32" s="17" t="s">
        <v>100</v>
      </c>
      <c r="AI32" s="17"/>
      <c r="AJ32" s="17" t="s">
        <v>65</v>
      </c>
      <c r="AK32" s="17" t="s">
        <v>66</v>
      </c>
      <c r="AL32" s="17" t="s">
        <v>67</v>
      </c>
      <c r="AM32" s="18" t="s">
        <v>383</v>
      </c>
      <c r="AN32" s="18" t="s">
        <v>384</v>
      </c>
      <c r="AO32" s="18" t="s">
        <v>385</v>
      </c>
      <c r="AP32" s="18" t="s">
        <v>400</v>
      </c>
      <c r="AQ32" s="18" t="s">
        <v>384</v>
      </c>
      <c r="AR32" s="18" t="s">
        <v>401</v>
      </c>
      <c r="AS32" s="17"/>
      <c r="AT32" s="17"/>
      <c r="AU32" s="17" t="s">
        <v>402</v>
      </c>
      <c r="AV32" s="17">
        <v>65</v>
      </c>
      <c r="AW32" s="17">
        <v>35</v>
      </c>
    </row>
    <row r="33" spans="1:49" x14ac:dyDescent="0.2">
      <c r="A33" s="17" t="s">
        <v>376</v>
      </c>
      <c r="B33" s="17">
        <v>2010</v>
      </c>
      <c r="C33" s="17" t="s">
        <v>388</v>
      </c>
      <c r="D33" s="17" t="s">
        <v>49</v>
      </c>
      <c r="E33" s="17" t="s">
        <v>75</v>
      </c>
      <c r="F33" s="17" t="s">
        <v>279</v>
      </c>
      <c r="G33" s="17" t="s">
        <v>377</v>
      </c>
      <c r="H33" s="17" t="s">
        <v>91</v>
      </c>
      <c r="I33" s="17" t="s">
        <v>54</v>
      </c>
      <c r="J33" s="17" t="s">
        <v>260</v>
      </c>
      <c r="K33" s="17" t="s">
        <v>56</v>
      </c>
      <c r="L33" s="17" t="s">
        <v>58</v>
      </c>
      <c r="M33" s="17" t="s">
        <v>57</v>
      </c>
      <c r="N33" s="17" t="s">
        <v>57</v>
      </c>
      <c r="O33" s="17" t="s">
        <v>57</v>
      </c>
      <c r="P33" s="17" t="s">
        <v>58</v>
      </c>
      <c r="Q33" s="17" t="s">
        <v>57</v>
      </c>
      <c r="R33" s="17" t="s">
        <v>389</v>
      </c>
      <c r="S33" s="17" t="s">
        <v>390</v>
      </c>
      <c r="T33" s="17" t="s">
        <v>391</v>
      </c>
      <c r="U33" s="17" t="s">
        <v>392</v>
      </c>
      <c r="V33" s="17"/>
      <c r="W33" s="17"/>
      <c r="X33" s="17" t="s">
        <v>393</v>
      </c>
      <c r="Y33" s="17"/>
      <c r="Z33" s="17"/>
      <c r="AA33" s="17"/>
      <c r="AB33" s="17" t="s">
        <v>394</v>
      </c>
      <c r="AC33" s="17"/>
      <c r="AD33" s="17"/>
      <c r="AE33" s="17"/>
      <c r="AF33" s="17"/>
      <c r="AG33" s="17"/>
      <c r="AH33" s="17" t="s">
        <v>395</v>
      </c>
      <c r="AI33" s="17"/>
      <c r="AJ33" s="17" t="s">
        <v>65</v>
      </c>
      <c r="AK33" s="17" t="s">
        <v>66</v>
      </c>
      <c r="AL33" s="17" t="s">
        <v>67</v>
      </c>
      <c r="AM33" s="18" t="s">
        <v>396</v>
      </c>
      <c r="AN33" s="18" t="s">
        <v>384</v>
      </c>
      <c r="AO33" s="18" t="s">
        <v>397</v>
      </c>
      <c r="AP33" s="18" t="s">
        <v>403</v>
      </c>
      <c r="AQ33" s="18" t="s">
        <v>384</v>
      </c>
      <c r="AR33" s="18" t="s">
        <v>404</v>
      </c>
      <c r="AS33" s="17"/>
      <c r="AT33" s="17"/>
      <c r="AU33" s="17" t="s">
        <v>402</v>
      </c>
      <c r="AV33" s="17">
        <v>65</v>
      </c>
      <c r="AW33" s="17">
        <v>35</v>
      </c>
    </row>
    <row r="34" spans="1:49" x14ac:dyDescent="0.2">
      <c r="A34" s="17" t="s">
        <v>376</v>
      </c>
      <c r="B34" s="17">
        <v>2010</v>
      </c>
      <c r="C34" s="17" t="s">
        <v>87</v>
      </c>
      <c r="D34" s="17" t="s">
        <v>88</v>
      </c>
      <c r="E34" s="17" t="s">
        <v>88</v>
      </c>
      <c r="F34" s="17" t="s">
        <v>279</v>
      </c>
      <c r="G34" s="17" t="s">
        <v>377</v>
      </c>
      <c r="H34" s="17" t="s">
        <v>91</v>
      </c>
      <c r="I34" s="17" t="s">
        <v>54</v>
      </c>
      <c r="J34" s="17" t="s">
        <v>260</v>
      </c>
      <c r="K34" s="17" t="s">
        <v>56</v>
      </c>
      <c r="L34" s="17" t="s">
        <v>58</v>
      </c>
      <c r="M34" s="17" t="s">
        <v>57</v>
      </c>
      <c r="N34" s="17" t="s">
        <v>57</v>
      </c>
      <c r="O34" s="17" t="s">
        <v>57</v>
      </c>
      <c r="P34" s="17" t="s">
        <v>58</v>
      </c>
      <c r="Q34" s="17" t="s">
        <v>57</v>
      </c>
      <c r="R34" s="17" t="s">
        <v>378</v>
      </c>
      <c r="S34" s="17" t="s">
        <v>379</v>
      </c>
      <c r="T34" s="17" t="s">
        <v>380</v>
      </c>
      <c r="U34" s="17" t="s">
        <v>381</v>
      </c>
      <c r="V34" s="17"/>
      <c r="W34" s="17"/>
      <c r="X34" s="17" t="s">
        <v>87</v>
      </c>
      <c r="Y34" s="17"/>
      <c r="Z34" s="17"/>
      <c r="AA34" s="17"/>
      <c r="AB34" s="17" t="s">
        <v>382</v>
      </c>
      <c r="AC34" s="17"/>
      <c r="AD34" s="17"/>
      <c r="AE34" s="17"/>
      <c r="AF34" s="17"/>
      <c r="AG34" s="17"/>
      <c r="AH34" s="17" t="s">
        <v>100</v>
      </c>
      <c r="AI34" s="17"/>
      <c r="AJ34" s="17" t="s">
        <v>65</v>
      </c>
      <c r="AK34" s="17" t="s">
        <v>66</v>
      </c>
      <c r="AL34" s="17" t="s">
        <v>67</v>
      </c>
      <c r="AM34" s="18" t="s">
        <v>383</v>
      </c>
      <c r="AN34" s="18" t="s">
        <v>384</v>
      </c>
      <c r="AO34" s="18" t="s">
        <v>385</v>
      </c>
      <c r="AP34" s="18" t="s">
        <v>386</v>
      </c>
      <c r="AQ34" s="18" t="s">
        <v>384</v>
      </c>
      <c r="AR34" s="18" t="s">
        <v>387</v>
      </c>
      <c r="AS34" s="17"/>
      <c r="AT34" s="17"/>
      <c r="AU34" s="17" t="s">
        <v>683</v>
      </c>
      <c r="AV34" s="17">
        <v>35</v>
      </c>
      <c r="AW34" s="17">
        <v>35</v>
      </c>
    </row>
    <row r="35" spans="1:49" x14ac:dyDescent="0.2">
      <c r="A35" s="17" t="s">
        <v>376</v>
      </c>
      <c r="B35" s="17">
        <v>2010</v>
      </c>
      <c r="C35" s="17" t="s">
        <v>388</v>
      </c>
      <c r="D35" s="17" t="s">
        <v>49</v>
      </c>
      <c r="E35" s="17" t="s">
        <v>75</v>
      </c>
      <c r="F35" s="17" t="s">
        <v>279</v>
      </c>
      <c r="G35" s="17" t="s">
        <v>377</v>
      </c>
      <c r="H35" s="17" t="s">
        <v>91</v>
      </c>
      <c r="I35" s="17" t="s">
        <v>54</v>
      </c>
      <c r="J35" s="17" t="s">
        <v>260</v>
      </c>
      <c r="K35" s="17" t="s">
        <v>56</v>
      </c>
      <c r="L35" s="17" t="s">
        <v>58</v>
      </c>
      <c r="M35" s="17" t="s">
        <v>57</v>
      </c>
      <c r="N35" s="17" t="s">
        <v>57</v>
      </c>
      <c r="O35" s="17" t="s">
        <v>57</v>
      </c>
      <c r="P35" s="17" t="s">
        <v>58</v>
      </c>
      <c r="Q35" s="17" t="s">
        <v>57</v>
      </c>
      <c r="R35" s="17" t="s">
        <v>389</v>
      </c>
      <c r="S35" s="17" t="s">
        <v>390</v>
      </c>
      <c r="T35" s="17" t="s">
        <v>391</v>
      </c>
      <c r="U35" s="17" t="s">
        <v>392</v>
      </c>
      <c r="V35" s="17"/>
      <c r="W35" s="17"/>
      <c r="X35" s="17" t="s">
        <v>393</v>
      </c>
      <c r="Y35" s="17"/>
      <c r="Z35" s="17"/>
      <c r="AA35" s="17"/>
      <c r="AB35" s="17" t="s">
        <v>394</v>
      </c>
      <c r="AC35" s="17"/>
      <c r="AD35" s="17"/>
      <c r="AE35" s="17"/>
      <c r="AF35" s="17"/>
      <c r="AG35" s="17"/>
      <c r="AH35" s="17" t="s">
        <v>395</v>
      </c>
      <c r="AI35" s="17"/>
      <c r="AJ35" s="17" t="s">
        <v>65</v>
      </c>
      <c r="AK35" s="17" t="s">
        <v>66</v>
      </c>
      <c r="AL35" s="17" t="s">
        <v>67</v>
      </c>
      <c r="AM35" s="18" t="s">
        <v>396</v>
      </c>
      <c r="AN35" s="18" t="s">
        <v>384</v>
      </c>
      <c r="AO35" s="18" t="s">
        <v>397</v>
      </c>
      <c r="AP35" s="18" t="s">
        <v>398</v>
      </c>
      <c r="AQ35" s="18" t="s">
        <v>384</v>
      </c>
      <c r="AR35" s="18" t="s">
        <v>399</v>
      </c>
      <c r="AS35" s="17"/>
      <c r="AT35" s="17"/>
      <c r="AU35" s="17" t="s">
        <v>683</v>
      </c>
      <c r="AV35" s="17">
        <v>35</v>
      </c>
      <c r="AW35" s="17">
        <v>35</v>
      </c>
    </row>
    <row r="36" spans="1:49" x14ac:dyDescent="0.2">
      <c r="A36" s="17" t="s">
        <v>427</v>
      </c>
      <c r="B36" s="17">
        <v>2017</v>
      </c>
      <c r="C36" s="17" t="s">
        <v>428</v>
      </c>
      <c r="D36" s="17" t="s">
        <v>88</v>
      </c>
      <c r="E36" s="17" t="s">
        <v>88</v>
      </c>
      <c r="F36" s="17" t="s">
        <v>429</v>
      </c>
      <c r="G36" s="17" t="s">
        <v>430</v>
      </c>
      <c r="H36" s="17" t="s">
        <v>91</v>
      </c>
      <c r="I36" s="17" t="s">
        <v>54</v>
      </c>
      <c r="J36" s="17" t="s">
        <v>260</v>
      </c>
      <c r="K36" s="17" t="s">
        <v>56</v>
      </c>
      <c r="L36" s="17" t="s">
        <v>93</v>
      </c>
      <c r="M36" s="17" t="s">
        <v>57</v>
      </c>
      <c r="N36" s="17" t="s">
        <v>57</v>
      </c>
      <c r="O36" s="17" t="s">
        <v>57</v>
      </c>
      <c r="P36" s="17" t="s">
        <v>58</v>
      </c>
      <c r="Q36" s="17" t="s">
        <v>57</v>
      </c>
      <c r="R36" s="17"/>
      <c r="S36" s="17"/>
      <c r="T36" s="17" t="s">
        <v>431</v>
      </c>
      <c r="U36" s="17" t="s">
        <v>432</v>
      </c>
      <c r="V36" s="17"/>
      <c r="W36" s="17"/>
      <c r="X36" s="17" t="s">
        <v>88</v>
      </c>
      <c r="Y36" s="17"/>
      <c r="Z36" s="17"/>
      <c r="AA36" s="17"/>
      <c r="AB36" s="17" t="s">
        <v>88</v>
      </c>
      <c r="AC36" s="17"/>
      <c r="AD36" s="17"/>
      <c r="AE36" s="17"/>
      <c r="AF36" s="17"/>
      <c r="AG36" s="17"/>
      <c r="AH36" s="17" t="s">
        <v>100</v>
      </c>
      <c r="AI36" s="17"/>
      <c r="AJ36" s="17" t="s">
        <v>65</v>
      </c>
      <c r="AK36" s="17" t="s">
        <v>66</v>
      </c>
      <c r="AL36" s="17" t="s">
        <v>67</v>
      </c>
      <c r="AM36" s="18" t="s">
        <v>433</v>
      </c>
      <c r="AN36" s="18" t="s">
        <v>434</v>
      </c>
      <c r="AO36" s="18" t="s">
        <v>435</v>
      </c>
      <c r="AP36" s="18" t="s">
        <v>436</v>
      </c>
      <c r="AQ36" s="18" t="s">
        <v>434</v>
      </c>
      <c r="AR36" s="18" t="s">
        <v>437</v>
      </c>
      <c r="AS36" s="17"/>
      <c r="AT36" s="17"/>
      <c r="AU36" s="17" t="s">
        <v>438</v>
      </c>
      <c r="AV36" s="17">
        <f>56+90</f>
        <v>146</v>
      </c>
      <c r="AW36" s="17">
        <v>56</v>
      </c>
    </row>
    <row r="37" spans="1:49" x14ac:dyDescent="0.2">
      <c r="A37" s="17" t="s">
        <v>427</v>
      </c>
      <c r="B37" s="17">
        <v>2017</v>
      </c>
      <c r="C37" s="17" t="s">
        <v>439</v>
      </c>
      <c r="D37" s="17" t="s">
        <v>49</v>
      </c>
      <c r="E37" s="17" t="s">
        <v>50</v>
      </c>
      <c r="F37" s="17" t="s">
        <v>429</v>
      </c>
      <c r="G37" s="17" t="s">
        <v>430</v>
      </c>
      <c r="H37" s="17" t="s">
        <v>91</v>
      </c>
      <c r="I37" s="17" t="s">
        <v>54</v>
      </c>
      <c r="J37" s="17" t="s">
        <v>260</v>
      </c>
      <c r="K37" s="17" t="s">
        <v>56</v>
      </c>
      <c r="L37" s="17" t="s">
        <v>93</v>
      </c>
      <c r="M37" s="17" t="s">
        <v>57</v>
      </c>
      <c r="N37" s="17" t="s">
        <v>57</v>
      </c>
      <c r="O37" s="17" t="s">
        <v>57</v>
      </c>
      <c r="P37" s="17" t="s">
        <v>58</v>
      </c>
      <c r="Q37" s="17" t="s">
        <v>57</v>
      </c>
      <c r="R37" s="17"/>
      <c r="S37" s="17"/>
      <c r="T37" s="17" t="s">
        <v>440</v>
      </c>
      <c r="U37" s="17" t="s">
        <v>441</v>
      </c>
      <c r="V37" s="17"/>
      <c r="W37" s="17"/>
      <c r="X37" s="17" t="s">
        <v>442</v>
      </c>
      <c r="Y37" s="17"/>
      <c r="Z37" s="17"/>
      <c r="AA37" s="17"/>
      <c r="AB37" s="17" t="s">
        <v>443</v>
      </c>
      <c r="AC37" s="17"/>
      <c r="AD37" s="17"/>
      <c r="AE37" s="17"/>
      <c r="AF37" s="17"/>
      <c r="AG37" s="17"/>
      <c r="AH37" s="17" t="s">
        <v>64</v>
      </c>
      <c r="AI37" s="17"/>
      <c r="AJ37" s="17" t="s">
        <v>65</v>
      </c>
      <c r="AK37" s="17" t="s">
        <v>66</v>
      </c>
      <c r="AL37" s="17" t="s">
        <v>67</v>
      </c>
      <c r="AM37" s="18" t="s">
        <v>444</v>
      </c>
      <c r="AN37" s="18" t="s">
        <v>445</v>
      </c>
      <c r="AO37" s="18" t="s">
        <v>212</v>
      </c>
      <c r="AP37" s="18">
        <v>-17.399999999999999</v>
      </c>
      <c r="AQ37" s="18" t="s">
        <v>445</v>
      </c>
      <c r="AR37" s="18">
        <v>8.3800000000000008</v>
      </c>
      <c r="AS37" s="17"/>
      <c r="AT37" s="17"/>
      <c r="AU37" s="17" t="s">
        <v>438</v>
      </c>
      <c r="AV37" s="17">
        <f>56+90</f>
        <v>146</v>
      </c>
      <c r="AW37" s="17">
        <v>56</v>
      </c>
    </row>
    <row r="38" spans="1:49" x14ac:dyDescent="0.2">
      <c r="A38" s="17" t="s">
        <v>427</v>
      </c>
      <c r="B38" s="17">
        <v>2017</v>
      </c>
      <c r="C38" s="17" t="s">
        <v>428</v>
      </c>
      <c r="D38" s="17" t="s">
        <v>88</v>
      </c>
      <c r="E38" s="17" t="s">
        <v>88</v>
      </c>
      <c r="F38" s="17" t="s">
        <v>429</v>
      </c>
      <c r="G38" s="17" t="s">
        <v>430</v>
      </c>
      <c r="H38" s="17" t="s">
        <v>91</v>
      </c>
      <c r="I38" s="17" t="s">
        <v>54</v>
      </c>
      <c r="J38" s="17" t="s">
        <v>260</v>
      </c>
      <c r="K38" s="17" t="s">
        <v>56</v>
      </c>
      <c r="L38" s="17" t="s">
        <v>93</v>
      </c>
      <c r="M38" s="17" t="s">
        <v>57</v>
      </c>
      <c r="N38" s="17" t="s">
        <v>57</v>
      </c>
      <c r="O38" s="17" t="s">
        <v>57</v>
      </c>
      <c r="P38" s="17" t="s">
        <v>58</v>
      </c>
      <c r="Q38" s="17" t="s">
        <v>57</v>
      </c>
      <c r="R38" s="17"/>
      <c r="S38" s="17"/>
      <c r="T38" s="17" t="s">
        <v>431</v>
      </c>
      <c r="U38" s="17" t="s">
        <v>432</v>
      </c>
      <c r="V38" s="17"/>
      <c r="W38" s="17"/>
      <c r="X38" s="17" t="s">
        <v>88</v>
      </c>
      <c r="Y38" s="17"/>
      <c r="Z38" s="17"/>
      <c r="AA38" s="17"/>
      <c r="AB38" s="17" t="s">
        <v>88</v>
      </c>
      <c r="AC38" s="17"/>
      <c r="AD38" s="17"/>
      <c r="AE38" s="17"/>
      <c r="AF38" s="17"/>
      <c r="AG38" s="17"/>
      <c r="AH38" s="17" t="s">
        <v>100</v>
      </c>
      <c r="AI38" s="17"/>
      <c r="AJ38" s="17" t="s">
        <v>65</v>
      </c>
      <c r="AK38" s="17" t="s">
        <v>66</v>
      </c>
      <c r="AL38" s="17" t="s">
        <v>67</v>
      </c>
      <c r="AM38" s="18" t="s">
        <v>433</v>
      </c>
      <c r="AN38" s="18" t="s">
        <v>434</v>
      </c>
      <c r="AO38" s="18" t="s">
        <v>435</v>
      </c>
      <c r="AP38" s="18" t="s">
        <v>446</v>
      </c>
      <c r="AQ38" s="18" t="s">
        <v>434</v>
      </c>
      <c r="AR38" s="18" t="s">
        <v>154</v>
      </c>
      <c r="AS38" s="17"/>
      <c r="AT38" s="17"/>
      <c r="AU38" s="17" t="s">
        <v>682</v>
      </c>
      <c r="AV38" s="17">
        <v>56</v>
      </c>
      <c r="AW38" s="17">
        <v>56</v>
      </c>
    </row>
    <row r="39" spans="1:49" x14ac:dyDescent="0.2">
      <c r="A39" s="17" t="s">
        <v>427</v>
      </c>
      <c r="B39" s="17">
        <v>2017</v>
      </c>
      <c r="C39" s="17" t="s">
        <v>439</v>
      </c>
      <c r="D39" s="17" t="s">
        <v>49</v>
      </c>
      <c r="E39" s="17" t="s">
        <v>50</v>
      </c>
      <c r="F39" s="17" t="s">
        <v>429</v>
      </c>
      <c r="G39" s="17" t="s">
        <v>430</v>
      </c>
      <c r="H39" s="17" t="s">
        <v>91</v>
      </c>
      <c r="I39" s="17" t="s">
        <v>54</v>
      </c>
      <c r="J39" s="17" t="s">
        <v>260</v>
      </c>
      <c r="K39" s="17" t="s">
        <v>56</v>
      </c>
      <c r="L39" s="17" t="s">
        <v>93</v>
      </c>
      <c r="M39" s="17" t="s">
        <v>57</v>
      </c>
      <c r="N39" s="17" t="s">
        <v>57</v>
      </c>
      <c r="O39" s="17" t="s">
        <v>57</v>
      </c>
      <c r="P39" s="17" t="s">
        <v>58</v>
      </c>
      <c r="Q39" s="17" t="s">
        <v>57</v>
      </c>
      <c r="R39" s="17"/>
      <c r="S39" s="17"/>
      <c r="T39" s="17" t="s">
        <v>440</v>
      </c>
      <c r="U39" s="17" t="s">
        <v>441</v>
      </c>
      <c r="V39" s="17"/>
      <c r="W39" s="17"/>
      <c r="X39" s="17" t="s">
        <v>442</v>
      </c>
      <c r="Y39" s="17"/>
      <c r="Z39" s="17"/>
      <c r="AA39" s="17"/>
      <c r="AB39" s="17" t="s">
        <v>443</v>
      </c>
      <c r="AC39" s="17"/>
      <c r="AD39" s="17"/>
      <c r="AE39" s="17"/>
      <c r="AF39" s="17"/>
      <c r="AG39" s="17"/>
      <c r="AH39" s="17" t="s">
        <v>64</v>
      </c>
      <c r="AI39" s="17"/>
      <c r="AJ39" s="17" t="s">
        <v>65</v>
      </c>
      <c r="AK39" s="17" t="s">
        <v>66</v>
      </c>
      <c r="AL39" s="17" t="s">
        <v>67</v>
      </c>
      <c r="AM39" s="18" t="s">
        <v>444</v>
      </c>
      <c r="AN39" s="18" t="s">
        <v>445</v>
      </c>
      <c r="AO39" s="18" t="s">
        <v>212</v>
      </c>
      <c r="AP39" s="18" t="s">
        <v>447</v>
      </c>
      <c r="AQ39" s="18" t="s">
        <v>445</v>
      </c>
      <c r="AR39" s="18" t="s">
        <v>448</v>
      </c>
      <c r="AS39" s="17"/>
      <c r="AT39" s="17"/>
      <c r="AU39" s="17" t="s">
        <v>682</v>
      </c>
      <c r="AV39" s="17">
        <v>56</v>
      </c>
      <c r="AW39" s="17">
        <v>56</v>
      </c>
    </row>
    <row r="40" spans="1:49" x14ac:dyDescent="0.2">
      <c r="A40" s="17" t="s">
        <v>449</v>
      </c>
      <c r="B40" s="17">
        <v>2016</v>
      </c>
      <c r="C40" s="17" t="s">
        <v>450</v>
      </c>
      <c r="D40" s="17" t="s">
        <v>49</v>
      </c>
      <c r="E40" s="17" t="s">
        <v>75</v>
      </c>
      <c r="F40" s="17" t="s">
        <v>258</v>
      </c>
      <c r="G40" s="17" t="s">
        <v>451</v>
      </c>
      <c r="H40" s="17" t="s">
        <v>53</v>
      </c>
      <c r="I40" s="17" t="s">
        <v>54</v>
      </c>
      <c r="J40" s="17" t="s">
        <v>452</v>
      </c>
      <c r="K40" s="17" t="s">
        <v>56</v>
      </c>
      <c r="L40" s="17" t="s">
        <v>58</v>
      </c>
      <c r="M40" s="17" t="s">
        <v>58</v>
      </c>
      <c r="N40" s="17" t="s">
        <v>58</v>
      </c>
      <c r="O40" s="17" t="s">
        <v>57</v>
      </c>
      <c r="P40" s="17" t="s">
        <v>58</v>
      </c>
      <c r="Q40" s="17" t="s">
        <v>57</v>
      </c>
      <c r="R40" s="17" t="s">
        <v>453</v>
      </c>
      <c r="S40" s="17" t="s">
        <v>454</v>
      </c>
      <c r="T40" s="17" t="s">
        <v>455</v>
      </c>
      <c r="U40" s="17" t="s">
        <v>456</v>
      </c>
      <c r="V40" s="17"/>
      <c r="W40" s="17"/>
      <c r="X40" s="17" t="s">
        <v>457</v>
      </c>
      <c r="Y40" s="17"/>
      <c r="Z40" s="17"/>
      <c r="AA40" s="17"/>
      <c r="AB40" s="17" t="s">
        <v>458</v>
      </c>
      <c r="AC40" s="17"/>
      <c r="AD40" s="17"/>
      <c r="AE40" s="17"/>
      <c r="AF40" s="17"/>
      <c r="AG40" s="17"/>
      <c r="AH40" s="17" t="s">
        <v>209</v>
      </c>
      <c r="AI40" s="17"/>
      <c r="AJ40" s="17" t="s">
        <v>65</v>
      </c>
      <c r="AK40" s="17" t="s">
        <v>459</v>
      </c>
      <c r="AL40" s="17" t="s">
        <v>67</v>
      </c>
      <c r="AM40" s="18" t="s">
        <v>460</v>
      </c>
      <c r="AN40" s="18" t="s">
        <v>461</v>
      </c>
      <c r="AO40" s="18" t="s">
        <v>462</v>
      </c>
      <c r="AP40" s="18" t="s">
        <v>463</v>
      </c>
      <c r="AQ40" s="18" t="s">
        <v>461</v>
      </c>
      <c r="AR40" s="18" t="s">
        <v>464</v>
      </c>
      <c r="AS40" s="17"/>
      <c r="AT40" s="17"/>
      <c r="AU40" s="17" t="s">
        <v>465</v>
      </c>
      <c r="AV40" s="17">
        <v>180</v>
      </c>
      <c r="AW40" s="17">
        <v>90</v>
      </c>
    </row>
    <row r="41" spans="1:49" x14ac:dyDescent="0.2">
      <c r="A41" s="17" t="s">
        <v>449</v>
      </c>
      <c r="B41" s="17">
        <v>2016</v>
      </c>
      <c r="C41" s="17" t="s">
        <v>466</v>
      </c>
      <c r="D41" s="17" t="s">
        <v>88</v>
      </c>
      <c r="E41" s="17" t="s">
        <v>88</v>
      </c>
      <c r="F41" s="17" t="s">
        <v>258</v>
      </c>
      <c r="G41" s="17" t="s">
        <v>451</v>
      </c>
      <c r="H41" s="17" t="s">
        <v>53</v>
      </c>
      <c r="I41" s="17" t="s">
        <v>54</v>
      </c>
      <c r="J41" s="17" t="s">
        <v>452</v>
      </c>
      <c r="K41" s="17" t="s">
        <v>56</v>
      </c>
      <c r="L41" s="17" t="s">
        <v>58</v>
      </c>
      <c r="M41" s="17" t="s">
        <v>58</v>
      </c>
      <c r="N41" s="17" t="s">
        <v>58</v>
      </c>
      <c r="O41" s="17" t="s">
        <v>57</v>
      </c>
      <c r="P41" s="17" t="s">
        <v>58</v>
      </c>
      <c r="Q41" s="17" t="s">
        <v>57</v>
      </c>
      <c r="R41" s="17" t="s">
        <v>467</v>
      </c>
      <c r="S41" s="17" t="s">
        <v>468</v>
      </c>
      <c r="T41" s="17" t="s">
        <v>469</v>
      </c>
      <c r="U41" s="17" t="s">
        <v>470</v>
      </c>
      <c r="V41" s="17"/>
      <c r="W41" s="17"/>
      <c r="X41" s="17" t="s">
        <v>471</v>
      </c>
      <c r="Y41" s="17"/>
      <c r="Z41" s="17"/>
      <c r="AA41" s="17"/>
      <c r="AB41" s="17" t="s">
        <v>472</v>
      </c>
      <c r="AC41" s="17"/>
      <c r="AD41" s="17"/>
      <c r="AE41" s="17"/>
      <c r="AF41" s="17"/>
      <c r="AG41" s="17"/>
      <c r="AH41" s="17" t="s">
        <v>100</v>
      </c>
      <c r="AI41" s="17"/>
      <c r="AJ41" s="17" t="s">
        <v>65</v>
      </c>
      <c r="AK41" s="17" t="s">
        <v>459</v>
      </c>
      <c r="AL41" s="17" t="s">
        <v>67</v>
      </c>
      <c r="AM41" s="18" t="s">
        <v>473</v>
      </c>
      <c r="AN41" s="18" t="s">
        <v>461</v>
      </c>
      <c r="AO41" s="18" t="s">
        <v>474</v>
      </c>
      <c r="AP41" s="18" t="s">
        <v>475</v>
      </c>
      <c r="AQ41" s="18" t="s">
        <v>461</v>
      </c>
      <c r="AR41" s="18" t="s">
        <v>476</v>
      </c>
      <c r="AS41" s="17"/>
      <c r="AT41" s="17"/>
      <c r="AU41" s="17" t="s">
        <v>465</v>
      </c>
      <c r="AV41" s="17">
        <v>180</v>
      </c>
      <c r="AW41" s="17">
        <v>90</v>
      </c>
    </row>
    <row r="42" spans="1:49" x14ac:dyDescent="0.2">
      <c r="A42" s="8" t="s">
        <v>704</v>
      </c>
      <c r="B42" s="8">
        <v>2019</v>
      </c>
      <c r="C42" s="8" t="s">
        <v>118</v>
      </c>
      <c r="D42" s="8" t="s">
        <v>191</v>
      </c>
      <c r="E42" s="8" t="s">
        <v>192</v>
      </c>
      <c r="F42" s="8" t="s">
        <v>258</v>
      </c>
      <c r="G42" s="8" t="s">
        <v>705</v>
      </c>
      <c r="H42" s="8" t="s">
        <v>706</v>
      </c>
      <c r="I42" s="8" t="s">
        <v>706</v>
      </c>
      <c r="J42" s="8" t="s">
        <v>707</v>
      </c>
      <c r="K42" s="8" t="s">
        <v>56</v>
      </c>
      <c r="L42" s="8" t="s">
        <v>93</v>
      </c>
      <c r="M42" s="8" t="s">
        <v>57</v>
      </c>
      <c r="N42" s="8" t="s">
        <v>93</v>
      </c>
      <c r="O42" s="8" t="s">
        <v>58</v>
      </c>
      <c r="P42" s="8" t="s">
        <v>58</v>
      </c>
      <c r="Q42" s="8" t="s">
        <v>57</v>
      </c>
      <c r="R42" s="8" t="s">
        <v>722</v>
      </c>
      <c r="S42" s="10">
        <v>0.76700000000000002</v>
      </c>
      <c r="T42" s="8" t="s">
        <v>728</v>
      </c>
      <c r="U42" s="10">
        <v>0.83330000000000004</v>
      </c>
      <c r="V42" s="8"/>
      <c r="W42" s="8"/>
      <c r="X42" s="8" t="s">
        <v>737</v>
      </c>
      <c r="Y42" s="8"/>
      <c r="Z42" s="8"/>
      <c r="AA42" s="8" t="s">
        <v>395</v>
      </c>
      <c r="AB42" s="8"/>
      <c r="AC42" s="8"/>
      <c r="AD42" s="8"/>
      <c r="AE42" s="8"/>
      <c r="AF42" s="8"/>
      <c r="AG42" s="8"/>
      <c r="AH42" s="8"/>
      <c r="AI42" s="8"/>
      <c r="AJ42" s="8" t="s">
        <v>65</v>
      </c>
      <c r="AK42" s="8" t="s">
        <v>66</v>
      </c>
      <c r="AL42" s="8" t="s">
        <v>67</v>
      </c>
      <c r="AM42" s="8">
        <v>31.43</v>
      </c>
      <c r="AN42" s="8">
        <v>30</v>
      </c>
      <c r="AO42" s="8">
        <v>18.18</v>
      </c>
      <c r="AP42" s="8">
        <v>27.87</v>
      </c>
      <c r="AQ42" s="8">
        <v>26</v>
      </c>
      <c r="AR42" s="8">
        <v>18.39</v>
      </c>
      <c r="AS42" s="8"/>
      <c r="AT42" s="8"/>
      <c r="AU42" s="8" t="s">
        <v>748</v>
      </c>
      <c r="AV42" s="8">
        <v>112</v>
      </c>
      <c r="AW42" s="8">
        <v>112</v>
      </c>
    </row>
    <row r="43" spans="1:49" x14ac:dyDescent="0.2">
      <c r="A43" s="8" t="s">
        <v>704</v>
      </c>
      <c r="B43" s="8">
        <v>2019</v>
      </c>
      <c r="C43" s="8" t="s">
        <v>87</v>
      </c>
      <c r="D43" s="8" t="s">
        <v>88</v>
      </c>
      <c r="E43" s="8" t="s">
        <v>88</v>
      </c>
      <c r="F43" s="8" t="s">
        <v>258</v>
      </c>
      <c r="G43" s="8" t="s">
        <v>705</v>
      </c>
      <c r="H43" s="8" t="s">
        <v>706</v>
      </c>
      <c r="I43" s="8" t="s">
        <v>706</v>
      </c>
      <c r="J43" s="8" t="s">
        <v>707</v>
      </c>
      <c r="K43" s="8" t="s">
        <v>56</v>
      </c>
      <c r="L43" s="8" t="s">
        <v>93</v>
      </c>
      <c r="M43" s="8" t="s">
        <v>57</v>
      </c>
      <c r="N43" s="8" t="s">
        <v>93</v>
      </c>
      <c r="O43" s="8" t="s">
        <v>58</v>
      </c>
      <c r="P43" s="8" t="s">
        <v>58</v>
      </c>
      <c r="Q43" s="8" t="s">
        <v>57</v>
      </c>
      <c r="R43" s="8" t="s">
        <v>723</v>
      </c>
      <c r="S43" s="10">
        <v>0.67700000000000005</v>
      </c>
      <c r="T43" s="8" t="s">
        <v>729</v>
      </c>
      <c r="U43" s="10">
        <v>0.74229999999999996</v>
      </c>
      <c r="V43" s="8"/>
      <c r="W43" s="8"/>
      <c r="X43" s="8" t="s">
        <v>738</v>
      </c>
      <c r="Y43" s="8"/>
      <c r="Z43" s="8"/>
      <c r="AA43" s="8" t="s">
        <v>395</v>
      </c>
      <c r="AB43" s="8"/>
      <c r="AC43" s="8"/>
      <c r="AD43" s="8"/>
      <c r="AE43" s="8"/>
      <c r="AF43" s="8"/>
      <c r="AG43" s="8"/>
      <c r="AH43" s="8"/>
      <c r="AI43" s="8"/>
      <c r="AJ43" s="8" t="s">
        <v>65</v>
      </c>
      <c r="AK43" s="8" t="s">
        <v>66</v>
      </c>
      <c r="AL43" s="8" t="s">
        <v>67</v>
      </c>
      <c r="AM43" s="8">
        <v>40.17</v>
      </c>
      <c r="AN43" s="8">
        <v>31</v>
      </c>
      <c r="AO43" s="8">
        <v>18.100000000000001</v>
      </c>
      <c r="AP43" s="8">
        <v>40.700000000000003</v>
      </c>
      <c r="AQ43" s="8">
        <v>28</v>
      </c>
      <c r="AR43" s="8">
        <v>17.66</v>
      </c>
      <c r="AS43" s="8"/>
      <c r="AT43" s="8"/>
      <c r="AU43" s="8" t="s">
        <v>748</v>
      </c>
      <c r="AV43" s="8">
        <v>112</v>
      </c>
      <c r="AW43" s="8">
        <v>112</v>
      </c>
    </row>
    <row r="44" spans="1:49" x14ac:dyDescent="0.2">
      <c r="A44" s="8" t="s">
        <v>713</v>
      </c>
      <c r="B44" s="8">
        <v>2019</v>
      </c>
      <c r="C44" s="8" t="s">
        <v>118</v>
      </c>
      <c r="D44" s="8" t="s">
        <v>49</v>
      </c>
      <c r="E44" s="8" t="s">
        <v>75</v>
      </c>
      <c r="F44" s="8" t="s">
        <v>279</v>
      </c>
      <c r="G44" s="8" t="s">
        <v>714</v>
      </c>
      <c r="H44" s="8" t="s">
        <v>715</v>
      </c>
      <c r="I44" s="8" t="s">
        <v>716</v>
      </c>
      <c r="J44" s="8" t="s">
        <v>452</v>
      </c>
      <c r="K44" s="8" t="s">
        <v>56</v>
      </c>
      <c r="L44" s="8" t="s">
        <v>712</v>
      </c>
      <c r="M44" s="8" t="s">
        <v>57</v>
      </c>
      <c r="N44" s="8" t="s">
        <v>93</v>
      </c>
      <c r="O44" s="8" t="s">
        <v>58</v>
      </c>
      <c r="P44" s="8" t="s">
        <v>58</v>
      </c>
      <c r="Q44" s="8" t="s">
        <v>57</v>
      </c>
      <c r="R44" s="8" t="s">
        <v>724</v>
      </c>
      <c r="S44" s="8"/>
      <c r="T44" s="8" t="s">
        <v>730</v>
      </c>
      <c r="U44" s="9">
        <v>0.88</v>
      </c>
      <c r="V44" s="8"/>
      <c r="W44" s="8"/>
      <c r="X44" s="8" t="s">
        <v>741</v>
      </c>
      <c r="Y44" s="8"/>
      <c r="Z44" s="8"/>
      <c r="AA44" s="8" t="s">
        <v>395</v>
      </c>
      <c r="AB44" s="8"/>
      <c r="AC44" s="8"/>
      <c r="AD44" s="8"/>
      <c r="AE44" s="8"/>
      <c r="AF44" s="8"/>
      <c r="AG44" s="8"/>
      <c r="AH44" s="8"/>
      <c r="AI44" s="8"/>
      <c r="AJ44" s="17" t="s">
        <v>317</v>
      </c>
      <c r="AK44" s="17" t="s">
        <v>756</v>
      </c>
      <c r="AL44" s="17" t="s">
        <v>67</v>
      </c>
      <c r="AM44" s="17">
        <v>4.5</v>
      </c>
      <c r="AN44" s="17">
        <v>27</v>
      </c>
      <c r="AO44" s="17">
        <v>3.04</v>
      </c>
      <c r="AP44" s="17">
        <v>0.4</v>
      </c>
      <c r="AQ44" s="17">
        <v>25</v>
      </c>
      <c r="AR44" s="17">
        <v>0.7</v>
      </c>
      <c r="AS44" s="8"/>
      <c r="AT44" s="8"/>
      <c r="AU44" s="8" t="s">
        <v>774</v>
      </c>
      <c r="AV44" s="8">
        <v>91</v>
      </c>
      <c r="AW44" s="8">
        <v>56</v>
      </c>
    </row>
    <row r="45" spans="1:49" x14ac:dyDescent="0.2">
      <c r="A45" s="8" t="s">
        <v>713</v>
      </c>
      <c r="B45" s="8">
        <v>2019</v>
      </c>
      <c r="C45" s="8" t="s">
        <v>87</v>
      </c>
      <c r="D45" s="8" t="s">
        <v>88</v>
      </c>
      <c r="E45" s="8" t="s">
        <v>88</v>
      </c>
      <c r="F45" s="8" t="s">
        <v>279</v>
      </c>
      <c r="G45" s="8" t="s">
        <v>714</v>
      </c>
      <c r="H45" s="8" t="s">
        <v>715</v>
      </c>
      <c r="I45" s="8" t="s">
        <v>716</v>
      </c>
      <c r="J45" s="8" t="s">
        <v>452</v>
      </c>
      <c r="K45" s="8" t="s">
        <v>56</v>
      </c>
      <c r="L45" s="8" t="s">
        <v>712</v>
      </c>
      <c r="M45" s="8" t="s">
        <v>57</v>
      </c>
      <c r="N45" s="8" t="s">
        <v>93</v>
      </c>
      <c r="O45" s="8" t="s">
        <v>58</v>
      </c>
      <c r="P45" s="8" t="s">
        <v>58</v>
      </c>
      <c r="Q45" s="8" t="s">
        <v>57</v>
      </c>
      <c r="R45" s="8" t="s">
        <v>725</v>
      </c>
      <c r="S45" s="8"/>
      <c r="T45" s="8" t="s">
        <v>731</v>
      </c>
      <c r="U45" s="9">
        <v>0.72</v>
      </c>
      <c r="V45" s="8"/>
      <c r="W45" s="8"/>
      <c r="X45" s="8" t="s">
        <v>742</v>
      </c>
      <c r="Y45" s="8"/>
      <c r="Z45" s="8"/>
      <c r="AA45" s="8" t="s">
        <v>395</v>
      </c>
      <c r="AB45" s="8"/>
      <c r="AC45" s="8"/>
      <c r="AD45" s="8"/>
      <c r="AE45" s="8"/>
      <c r="AF45" s="8"/>
      <c r="AG45" s="8"/>
      <c r="AH45" s="8"/>
      <c r="AI45" s="8"/>
      <c r="AJ45" s="17" t="s">
        <v>317</v>
      </c>
      <c r="AK45" s="17" t="s">
        <v>756</v>
      </c>
      <c r="AL45" s="17" t="s">
        <v>67</v>
      </c>
      <c r="AM45" s="17">
        <v>4.8</v>
      </c>
      <c r="AN45" s="17">
        <v>27</v>
      </c>
      <c r="AO45" s="17">
        <v>3.6</v>
      </c>
      <c r="AP45" s="17">
        <v>5.08</v>
      </c>
      <c r="AQ45" s="17">
        <v>25</v>
      </c>
      <c r="AR45" s="17">
        <v>3.7</v>
      </c>
      <c r="AS45" s="8"/>
      <c r="AT45" s="8"/>
      <c r="AU45" s="8" t="s">
        <v>774</v>
      </c>
      <c r="AV45" s="8">
        <v>91</v>
      </c>
      <c r="AW45" s="8">
        <v>56</v>
      </c>
    </row>
    <row r="46" spans="1:49" x14ac:dyDescent="0.2">
      <c r="A46" s="17" t="s">
        <v>303</v>
      </c>
      <c r="B46" s="17">
        <v>2014</v>
      </c>
      <c r="C46" s="17" t="s">
        <v>304</v>
      </c>
      <c r="D46" s="17" t="s">
        <v>88</v>
      </c>
      <c r="E46" s="17" t="s">
        <v>88</v>
      </c>
      <c r="F46" s="17" t="s">
        <v>279</v>
      </c>
      <c r="G46" s="17" t="s">
        <v>305</v>
      </c>
      <c r="H46" s="17" t="s">
        <v>53</v>
      </c>
      <c r="I46" s="17" t="s">
        <v>54</v>
      </c>
      <c r="J46" s="17" t="s">
        <v>260</v>
      </c>
      <c r="K46" s="17"/>
      <c r="L46" s="17" t="s">
        <v>57</v>
      </c>
      <c r="M46" s="17" t="s">
        <v>57</v>
      </c>
      <c r="N46" s="17" t="s">
        <v>57</v>
      </c>
      <c r="O46" s="17" t="s">
        <v>57</v>
      </c>
      <c r="P46" s="17" t="s">
        <v>58</v>
      </c>
      <c r="Q46" s="17" t="s">
        <v>57</v>
      </c>
      <c r="R46" s="17"/>
      <c r="S46" s="17"/>
      <c r="T46" s="17"/>
      <c r="U46" s="17" t="s">
        <v>306</v>
      </c>
      <c r="V46" s="17"/>
      <c r="W46" s="17"/>
      <c r="X46" s="17"/>
      <c r="Y46" s="17"/>
      <c r="Z46" s="17"/>
      <c r="AA46" s="17"/>
      <c r="AB46" s="17"/>
      <c r="AC46" s="17"/>
      <c r="AD46" s="17"/>
      <c r="AE46" s="17"/>
      <c r="AF46" s="17"/>
      <c r="AG46" s="17"/>
      <c r="AH46" s="17"/>
      <c r="AI46" s="17"/>
      <c r="AJ46" s="17" t="s">
        <v>317</v>
      </c>
      <c r="AK46" s="17" t="s">
        <v>678</v>
      </c>
      <c r="AL46" s="17" t="s">
        <v>67</v>
      </c>
      <c r="AM46" s="18" t="s">
        <v>318</v>
      </c>
      <c r="AN46" s="18" t="s">
        <v>308</v>
      </c>
      <c r="AO46" s="18" t="s">
        <v>319</v>
      </c>
      <c r="AP46" s="18" t="s">
        <v>320</v>
      </c>
      <c r="AQ46" s="18" t="s">
        <v>308</v>
      </c>
      <c r="AR46" s="18" t="s">
        <v>321</v>
      </c>
      <c r="AS46" s="17"/>
      <c r="AT46" s="17"/>
      <c r="AU46" s="17" t="s">
        <v>681</v>
      </c>
      <c r="AV46" s="17">
        <v>35</v>
      </c>
      <c r="AW46" s="17">
        <v>35</v>
      </c>
    </row>
    <row r="47" spans="1:49" x14ac:dyDescent="0.2">
      <c r="A47" s="17" t="s">
        <v>303</v>
      </c>
      <c r="B47" s="17">
        <v>2014</v>
      </c>
      <c r="C47" s="17" t="s">
        <v>312</v>
      </c>
      <c r="D47" s="17" t="s">
        <v>49</v>
      </c>
      <c r="E47" s="17" t="s">
        <v>50</v>
      </c>
      <c r="F47" s="17" t="s">
        <v>279</v>
      </c>
      <c r="G47" s="17" t="s">
        <v>305</v>
      </c>
      <c r="H47" s="17" t="s">
        <v>53</v>
      </c>
      <c r="I47" s="17" t="s">
        <v>54</v>
      </c>
      <c r="J47" s="17" t="s">
        <v>260</v>
      </c>
      <c r="K47" s="17"/>
      <c r="L47" s="17" t="s">
        <v>57</v>
      </c>
      <c r="M47" s="17" t="s">
        <v>57</v>
      </c>
      <c r="N47" s="17" t="s">
        <v>57</v>
      </c>
      <c r="O47" s="17" t="s">
        <v>57</v>
      </c>
      <c r="P47" s="17" t="s">
        <v>58</v>
      </c>
      <c r="Q47" s="17" t="s">
        <v>57</v>
      </c>
      <c r="R47" s="17"/>
      <c r="S47" s="17"/>
      <c r="T47" s="17"/>
      <c r="U47" s="17" t="s">
        <v>306</v>
      </c>
      <c r="V47" s="17"/>
      <c r="W47" s="17"/>
      <c r="X47" s="17"/>
      <c r="Y47" s="17"/>
      <c r="Z47" s="17"/>
      <c r="AA47" s="17"/>
      <c r="AB47" s="17"/>
      <c r="AC47" s="17"/>
      <c r="AD47" s="17"/>
      <c r="AE47" s="17"/>
      <c r="AF47" s="17"/>
      <c r="AG47" s="17"/>
      <c r="AH47" s="17"/>
      <c r="AI47" s="17"/>
      <c r="AJ47" s="17" t="s">
        <v>317</v>
      </c>
      <c r="AK47" s="17" t="s">
        <v>678</v>
      </c>
      <c r="AL47" s="17" t="s">
        <v>67</v>
      </c>
      <c r="AM47" s="18" t="s">
        <v>222</v>
      </c>
      <c r="AN47" s="18" t="s">
        <v>308</v>
      </c>
      <c r="AO47" s="18" t="s">
        <v>322</v>
      </c>
      <c r="AP47" s="18" t="s">
        <v>323</v>
      </c>
      <c r="AQ47" s="18" t="s">
        <v>308</v>
      </c>
      <c r="AR47" s="18" t="s">
        <v>324</v>
      </c>
      <c r="AS47" s="17"/>
      <c r="AT47" s="17"/>
      <c r="AU47" s="17" t="s">
        <v>681</v>
      </c>
      <c r="AV47" s="17">
        <v>35</v>
      </c>
      <c r="AW47" s="17">
        <v>35</v>
      </c>
    </row>
    <row r="48" spans="1:49" x14ac:dyDescent="0.2">
      <c r="A48" s="8" t="s">
        <v>717</v>
      </c>
      <c r="B48" s="8">
        <v>2019</v>
      </c>
      <c r="C48" s="8" t="s">
        <v>118</v>
      </c>
      <c r="D48" s="8" t="s">
        <v>49</v>
      </c>
      <c r="E48" s="8" t="s">
        <v>75</v>
      </c>
      <c r="F48" s="8" t="s">
        <v>175</v>
      </c>
      <c r="G48" s="8" t="s">
        <v>718</v>
      </c>
      <c r="H48" s="8" t="s">
        <v>719</v>
      </c>
      <c r="I48" s="8" t="s">
        <v>54</v>
      </c>
      <c r="J48" s="8" t="s">
        <v>121</v>
      </c>
      <c r="K48" s="8" t="s">
        <v>56</v>
      </c>
      <c r="L48" s="8" t="s">
        <v>93</v>
      </c>
      <c r="M48" s="8" t="s">
        <v>712</v>
      </c>
      <c r="N48" s="8" t="s">
        <v>58</v>
      </c>
      <c r="O48" s="8" t="s">
        <v>58</v>
      </c>
      <c r="P48" s="8" t="s">
        <v>58</v>
      </c>
      <c r="Q48" s="8" t="s">
        <v>58</v>
      </c>
      <c r="R48" s="8"/>
      <c r="S48" s="10">
        <v>0.71430000000000005</v>
      </c>
      <c r="T48" s="8" t="s">
        <v>732</v>
      </c>
      <c r="U48" s="10">
        <v>0.55359999999999998</v>
      </c>
      <c r="V48" s="8"/>
      <c r="W48" s="8"/>
      <c r="X48" s="8" t="s">
        <v>743</v>
      </c>
      <c r="Y48" s="8"/>
      <c r="Z48" s="8"/>
      <c r="AA48" s="8" t="s">
        <v>395</v>
      </c>
      <c r="AB48" s="8"/>
      <c r="AC48" s="8"/>
      <c r="AD48" s="8"/>
      <c r="AE48" s="8"/>
      <c r="AF48" s="8"/>
      <c r="AG48" s="8"/>
      <c r="AH48" s="8"/>
      <c r="AI48" s="8"/>
      <c r="AJ48" s="17" t="s">
        <v>317</v>
      </c>
      <c r="AK48" s="17" t="s">
        <v>764</v>
      </c>
      <c r="AL48" s="17" t="s">
        <v>67</v>
      </c>
      <c r="AM48" s="17">
        <v>13.93</v>
      </c>
      <c r="AN48" s="17">
        <v>56</v>
      </c>
      <c r="AO48" s="17">
        <v>3.45</v>
      </c>
      <c r="AP48" s="17">
        <v>10.19</v>
      </c>
      <c r="AQ48" s="17">
        <v>47</v>
      </c>
      <c r="AR48" s="17">
        <v>2.78</v>
      </c>
      <c r="AS48" s="8"/>
      <c r="AT48" s="8"/>
      <c r="AU48" s="8" t="s">
        <v>773</v>
      </c>
      <c r="AV48" s="8">
        <v>210</v>
      </c>
      <c r="AW48" s="8">
        <v>150</v>
      </c>
    </row>
    <row r="49" spans="1:49" x14ac:dyDescent="0.2">
      <c r="A49" s="8" t="s">
        <v>717</v>
      </c>
      <c r="B49" s="8">
        <v>2019</v>
      </c>
      <c r="C49" s="8" t="s">
        <v>548</v>
      </c>
      <c r="D49" s="8" t="s">
        <v>88</v>
      </c>
      <c r="E49" s="8" t="s">
        <v>88</v>
      </c>
      <c r="F49" s="8" t="s">
        <v>175</v>
      </c>
      <c r="G49" s="8" t="s">
        <v>718</v>
      </c>
      <c r="H49" s="8" t="s">
        <v>719</v>
      </c>
      <c r="I49" s="8" t="s">
        <v>54</v>
      </c>
      <c r="J49" s="8" t="s">
        <v>121</v>
      </c>
      <c r="K49" s="8" t="s">
        <v>56</v>
      </c>
      <c r="L49" s="8" t="s">
        <v>93</v>
      </c>
      <c r="M49" s="8" t="s">
        <v>712</v>
      </c>
      <c r="N49" s="8" t="s">
        <v>58</v>
      </c>
      <c r="O49" s="8" t="s">
        <v>58</v>
      </c>
      <c r="P49" s="8" t="s">
        <v>58</v>
      </c>
      <c r="Q49" s="8" t="s">
        <v>58</v>
      </c>
      <c r="R49" s="8"/>
      <c r="S49" s="10">
        <v>0.63390000000000002</v>
      </c>
      <c r="T49" s="8" t="s">
        <v>733</v>
      </c>
      <c r="U49" s="10">
        <v>0.69640000000000002</v>
      </c>
      <c r="V49" s="8"/>
      <c r="W49" s="8"/>
      <c r="X49" s="8" t="s">
        <v>744</v>
      </c>
      <c r="Y49" s="8"/>
      <c r="Z49" s="8"/>
      <c r="AA49" s="8" t="s">
        <v>395</v>
      </c>
      <c r="AB49" s="8"/>
      <c r="AC49" s="8"/>
      <c r="AD49" s="8"/>
      <c r="AE49" s="8"/>
      <c r="AF49" s="8"/>
      <c r="AG49" s="8"/>
      <c r="AH49" s="8"/>
      <c r="AI49" s="8"/>
      <c r="AJ49" s="17" t="s">
        <v>317</v>
      </c>
      <c r="AK49" s="17" t="s">
        <v>764</v>
      </c>
      <c r="AL49" s="17" t="s">
        <v>67</v>
      </c>
      <c r="AM49" s="17">
        <v>13.21</v>
      </c>
      <c r="AN49" s="17">
        <v>56</v>
      </c>
      <c r="AO49" s="17">
        <v>3.11</v>
      </c>
      <c r="AP49" s="17">
        <v>12.21</v>
      </c>
      <c r="AQ49" s="17">
        <v>35</v>
      </c>
      <c r="AR49" s="17">
        <v>3.56</v>
      </c>
      <c r="AS49" s="8"/>
      <c r="AT49" s="8"/>
      <c r="AU49" s="8" t="s">
        <v>773</v>
      </c>
      <c r="AV49" s="8">
        <v>210</v>
      </c>
      <c r="AW49" s="8">
        <v>150</v>
      </c>
    </row>
    <row r="50" spans="1:49" x14ac:dyDescent="0.2">
      <c r="A50" s="8" t="s">
        <v>717</v>
      </c>
      <c r="B50" s="8">
        <v>2019</v>
      </c>
      <c r="C50" s="8" t="s">
        <v>118</v>
      </c>
      <c r="D50" s="8" t="s">
        <v>49</v>
      </c>
      <c r="E50" s="8" t="s">
        <v>75</v>
      </c>
      <c r="F50" s="8" t="s">
        <v>175</v>
      </c>
      <c r="G50" s="8" t="s">
        <v>718</v>
      </c>
      <c r="H50" s="8" t="s">
        <v>719</v>
      </c>
      <c r="I50" s="8" t="s">
        <v>54</v>
      </c>
      <c r="J50" s="8" t="s">
        <v>121</v>
      </c>
      <c r="K50" s="8" t="s">
        <v>56</v>
      </c>
      <c r="L50" s="8" t="s">
        <v>93</v>
      </c>
      <c r="M50" s="8" t="s">
        <v>712</v>
      </c>
      <c r="N50" s="8" t="s">
        <v>58</v>
      </c>
      <c r="O50" s="8" t="s">
        <v>58</v>
      </c>
      <c r="P50" s="8" t="s">
        <v>58</v>
      </c>
      <c r="Q50" s="8" t="s">
        <v>58</v>
      </c>
      <c r="R50" s="8"/>
      <c r="S50" s="10">
        <v>0.71430000000000005</v>
      </c>
      <c r="T50" s="8" t="s">
        <v>732</v>
      </c>
      <c r="U50" s="10">
        <v>0.55359999999999998</v>
      </c>
      <c r="V50" s="8"/>
      <c r="W50" s="8"/>
      <c r="X50" s="8" t="s">
        <v>743</v>
      </c>
      <c r="Y50" s="8"/>
      <c r="Z50" s="8"/>
      <c r="AA50" s="8" t="s">
        <v>395</v>
      </c>
      <c r="AB50" s="8"/>
      <c r="AC50" s="8"/>
      <c r="AD50" s="8"/>
      <c r="AE50" s="8"/>
      <c r="AF50" s="8"/>
      <c r="AG50" s="8"/>
      <c r="AH50" s="8"/>
      <c r="AI50" s="8"/>
      <c r="AJ50" s="17" t="s">
        <v>317</v>
      </c>
      <c r="AK50" s="17" t="s">
        <v>764</v>
      </c>
      <c r="AL50" s="17" t="s">
        <v>67</v>
      </c>
      <c r="AM50" s="17">
        <v>13.93</v>
      </c>
      <c r="AN50" s="17">
        <v>56</v>
      </c>
      <c r="AO50" s="17">
        <v>3.45</v>
      </c>
      <c r="AP50" s="17">
        <v>9.4</v>
      </c>
      <c r="AQ50" s="17">
        <v>54</v>
      </c>
      <c r="AR50" s="17">
        <v>3.39</v>
      </c>
      <c r="AS50" s="8"/>
      <c r="AT50" s="8"/>
      <c r="AU50" s="8" t="s">
        <v>772</v>
      </c>
      <c r="AV50" s="8">
        <v>150</v>
      </c>
      <c r="AW50" s="8">
        <v>150</v>
      </c>
    </row>
    <row r="51" spans="1:49" x14ac:dyDescent="0.2">
      <c r="A51" s="8" t="s">
        <v>717</v>
      </c>
      <c r="B51" s="8">
        <v>2019</v>
      </c>
      <c r="C51" s="8" t="s">
        <v>548</v>
      </c>
      <c r="D51" s="8" t="s">
        <v>88</v>
      </c>
      <c r="E51" s="8" t="s">
        <v>88</v>
      </c>
      <c r="F51" s="8" t="s">
        <v>175</v>
      </c>
      <c r="G51" s="8" t="s">
        <v>718</v>
      </c>
      <c r="H51" s="8" t="s">
        <v>719</v>
      </c>
      <c r="I51" s="8" t="s">
        <v>54</v>
      </c>
      <c r="J51" s="8" t="s">
        <v>121</v>
      </c>
      <c r="K51" s="8" t="s">
        <v>56</v>
      </c>
      <c r="L51" s="8" t="s">
        <v>93</v>
      </c>
      <c r="M51" s="8" t="s">
        <v>712</v>
      </c>
      <c r="N51" s="8" t="s">
        <v>58</v>
      </c>
      <c r="O51" s="8" t="s">
        <v>58</v>
      </c>
      <c r="P51" s="8" t="s">
        <v>58</v>
      </c>
      <c r="Q51" s="8" t="s">
        <v>58</v>
      </c>
      <c r="R51" s="8"/>
      <c r="S51" s="10">
        <v>0.63390000000000002</v>
      </c>
      <c r="T51" s="8" t="s">
        <v>733</v>
      </c>
      <c r="U51" s="10">
        <v>0.69640000000000002</v>
      </c>
      <c r="V51" s="8"/>
      <c r="W51" s="8"/>
      <c r="X51" s="8" t="s">
        <v>744</v>
      </c>
      <c r="Y51" s="8"/>
      <c r="Z51" s="8"/>
      <c r="AA51" s="8" t="s">
        <v>395</v>
      </c>
      <c r="AB51" s="8"/>
      <c r="AC51" s="8"/>
      <c r="AD51" s="8"/>
      <c r="AE51" s="8"/>
      <c r="AF51" s="8"/>
      <c r="AG51" s="8"/>
      <c r="AH51" s="8"/>
      <c r="AI51" s="8"/>
      <c r="AJ51" s="17" t="s">
        <v>317</v>
      </c>
      <c r="AK51" s="17" t="s">
        <v>764</v>
      </c>
      <c r="AL51" s="17" t="s">
        <v>67</v>
      </c>
      <c r="AM51" s="17">
        <v>13.21</v>
      </c>
      <c r="AN51" s="17">
        <v>56</v>
      </c>
      <c r="AO51" s="17">
        <v>3.11</v>
      </c>
      <c r="AP51" s="17">
        <v>11.96</v>
      </c>
      <c r="AQ51" s="17">
        <v>45</v>
      </c>
      <c r="AR51" s="17">
        <v>3.4</v>
      </c>
      <c r="AS51" s="8"/>
      <c r="AT51" s="8"/>
      <c r="AU51" s="8" t="s">
        <v>772</v>
      </c>
      <c r="AV51" s="8">
        <v>150</v>
      </c>
      <c r="AW51" s="8">
        <v>150</v>
      </c>
    </row>
    <row r="52" spans="1:49" x14ac:dyDescent="0.2">
      <c r="A52" s="8" t="s">
        <v>704</v>
      </c>
      <c r="B52" s="8">
        <v>2019</v>
      </c>
      <c r="C52" s="8" t="s">
        <v>118</v>
      </c>
      <c r="D52" s="8" t="s">
        <v>191</v>
      </c>
      <c r="E52" s="8" t="s">
        <v>192</v>
      </c>
      <c r="F52" s="8" t="s">
        <v>258</v>
      </c>
      <c r="G52" s="8" t="s">
        <v>705</v>
      </c>
      <c r="H52" s="8" t="s">
        <v>706</v>
      </c>
      <c r="I52" s="8" t="s">
        <v>706</v>
      </c>
      <c r="J52" s="8" t="s">
        <v>707</v>
      </c>
      <c r="K52" s="8" t="s">
        <v>56</v>
      </c>
      <c r="L52" s="8" t="s">
        <v>93</v>
      </c>
      <c r="M52" s="8" t="s">
        <v>57</v>
      </c>
      <c r="N52" s="8" t="s">
        <v>93</v>
      </c>
      <c r="O52" s="8" t="s">
        <v>58</v>
      </c>
      <c r="P52" s="8" t="s">
        <v>58</v>
      </c>
      <c r="Q52" s="8" t="s">
        <v>57</v>
      </c>
      <c r="R52" s="8" t="s">
        <v>722</v>
      </c>
      <c r="S52" s="10">
        <v>0.76700000000000002</v>
      </c>
      <c r="T52" s="8" t="s">
        <v>728</v>
      </c>
      <c r="U52" s="10">
        <v>0.83330000000000004</v>
      </c>
      <c r="V52" s="8"/>
      <c r="W52" s="8"/>
      <c r="X52" s="8" t="s">
        <v>737</v>
      </c>
      <c r="Y52" s="8"/>
      <c r="Z52" s="8"/>
      <c r="AA52" s="8" t="s">
        <v>395</v>
      </c>
      <c r="AB52" s="8"/>
      <c r="AC52" s="8"/>
      <c r="AD52" s="8"/>
      <c r="AE52" s="8"/>
      <c r="AF52" s="8"/>
      <c r="AG52" s="8"/>
      <c r="AH52" s="8"/>
      <c r="AI52" s="8"/>
      <c r="AJ52" s="17" t="s">
        <v>317</v>
      </c>
      <c r="AK52" s="17" t="s">
        <v>762</v>
      </c>
      <c r="AL52" s="17" t="s">
        <v>67</v>
      </c>
      <c r="AM52" s="17">
        <v>11.62</v>
      </c>
      <c r="AN52" s="17">
        <v>30</v>
      </c>
      <c r="AO52" s="17">
        <v>8.34</v>
      </c>
      <c r="AP52" s="17">
        <v>9.68</v>
      </c>
      <c r="AQ52" s="17">
        <v>26</v>
      </c>
      <c r="AR52" s="17">
        <v>8.4499999999999993</v>
      </c>
      <c r="AS52" s="17"/>
      <c r="AT52" s="8"/>
      <c r="AU52" s="8" t="s">
        <v>748</v>
      </c>
      <c r="AV52" s="8">
        <v>112</v>
      </c>
      <c r="AW52" s="8">
        <v>112</v>
      </c>
    </row>
    <row r="53" spans="1:49" x14ac:dyDescent="0.2">
      <c r="A53" s="8" t="s">
        <v>704</v>
      </c>
      <c r="B53" s="8">
        <v>2019</v>
      </c>
      <c r="C53" s="8" t="s">
        <v>87</v>
      </c>
      <c r="D53" s="8" t="s">
        <v>88</v>
      </c>
      <c r="E53" s="8" t="s">
        <v>88</v>
      </c>
      <c r="F53" s="8" t="s">
        <v>258</v>
      </c>
      <c r="G53" s="8" t="s">
        <v>705</v>
      </c>
      <c r="H53" s="8" t="s">
        <v>706</v>
      </c>
      <c r="I53" s="8" t="s">
        <v>706</v>
      </c>
      <c r="J53" s="8" t="s">
        <v>707</v>
      </c>
      <c r="K53" s="8" t="s">
        <v>56</v>
      </c>
      <c r="L53" s="8" t="s">
        <v>93</v>
      </c>
      <c r="M53" s="8" t="s">
        <v>57</v>
      </c>
      <c r="N53" s="8" t="s">
        <v>93</v>
      </c>
      <c r="O53" s="8" t="s">
        <v>58</v>
      </c>
      <c r="P53" s="8" t="s">
        <v>58</v>
      </c>
      <c r="Q53" s="8" t="s">
        <v>57</v>
      </c>
      <c r="R53" s="8" t="s">
        <v>723</v>
      </c>
      <c r="S53" s="10">
        <v>0.67700000000000005</v>
      </c>
      <c r="T53" s="8" t="s">
        <v>729</v>
      </c>
      <c r="U53" s="10">
        <v>0.74229999999999996</v>
      </c>
      <c r="V53" s="8"/>
      <c r="W53" s="8"/>
      <c r="X53" s="8" t="s">
        <v>738</v>
      </c>
      <c r="Y53" s="8"/>
      <c r="Z53" s="8"/>
      <c r="AA53" s="8" t="s">
        <v>395</v>
      </c>
      <c r="AB53" s="8"/>
      <c r="AC53" s="8"/>
      <c r="AD53" s="8"/>
      <c r="AE53" s="8"/>
      <c r="AF53" s="8"/>
      <c r="AG53" s="8"/>
      <c r="AH53" s="8"/>
      <c r="AI53" s="8"/>
      <c r="AJ53" s="17" t="s">
        <v>317</v>
      </c>
      <c r="AK53" s="17" t="s">
        <v>762</v>
      </c>
      <c r="AL53" s="17" t="s">
        <v>67</v>
      </c>
      <c r="AM53" s="17">
        <v>15.23</v>
      </c>
      <c r="AN53" s="17">
        <v>31</v>
      </c>
      <c r="AO53" s="17">
        <v>7.7</v>
      </c>
      <c r="AP53" s="17">
        <v>20.64</v>
      </c>
      <c r="AQ53" s="17">
        <v>28</v>
      </c>
      <c r="AR53" s="17">
        <v>8.94</v>
      </c>
      <c r="AS53" s="17"/>
      <c r="AT53" s="8"/>
      <c r="AU53" s="8" t="s">
        <v>748</v>
      </c>
      <c r="AV53" s="8">
        <v>112</v>
      </c>
      <c r="AW53" s="8">
        <v>112</v>
      </c>
    </row>
    <row r="54" spans="1:49" x14ac:dyDescent="0.2">
      <c r="A54" s="17" t="s">
        <v>117</v>
      </c>
      <c r="B54" s="17">
        <v>2011</v>
      </c>
      <c r="C54" s="17" t="s">
        <v>118</v>
      </c>
      <c r="D54" s="17" t="s">
        <v>105</v>
      </c>
      <c r="E54" s="17" t="s">
        <v>106</v>
      </c>
      <c r="F54" s="17" t="s">
        <v>119</v>
      </c>
      <c r="G54" s="17" t="s">
        <v>120</v>
      </c>
      <c r="H54" s="17" t="s">
        <v>91</v>
      </c>
      <c r="I54" s="17" t="s">
        <v>54</v>
      </c>
      <c r="J54" s="17" t="s">
        <v>121</v>
      </c>
      <c r="K54" s="17" t="s">
        <v>56</v>
      </c>
      <c r="L54" s="17" t="s">
        <v>93</v>
      </c>
      <c r="M54" s="17" t="s">
        <v>58</v>
      </c>
      <c r="N54" s="17" t="s">
        <v>93</v>
      </c>
      <c r="O54" s="17" t="s">
        <v>57</v>
      </c>
      <c r="P54" s="17" t="s">
        <v>58</v>
      </c>
      <c r="Q54" s="17" t="s">
        <v>57</v>
      </c>
      <c r="R54" s="17" t="s">
        <v>122</v>
      </c>
      <c r="S54" s="17" t="s">
        <v>123</v>
      </c>
      <c r="T54" s="17" t="s">
        <v>124</v>
      </c>
      <c r="U54" s="17" t="s">
        <v>125</v>
      </c>
      <c r="V54" s="17"/>
      <c r="W54" s="17"/>
      <c r="X54" s="17" t="s">
        <v>126</v>
      </c>
      <c r="Y54" s="17"/>
      <c r="Z54" s="17"/>
      <c r="AA54" s="17"/>
      <c r="AB54" s="17" t="s">
        <v>127</v>
      </c>
      <c r="AC54" s="17"/>
      <c r="AD54" s="17"/>
      <c r="AE54" s="17"/>
      <c r="AF54" s="17"/>
      <c r="AG54" s="17"/>
      <c r="AH54" s="17" t="s">
        <v>64</v>
      </c>
      <c r="AI54" s="17"/>
      <c r="AJ54" s="17" t="s">
        <v>165</v>
      </c>
      <c r="AK54" s="17" t="s">
        <v>776</v>
      </c>
      <c r="AL54" s="17" t="s">
        <v>101</v>
      </c>
      <c r="AM54" s="18"/>
      <c r="AN54" s="18"/>
      <c r="AO54" s="18"/>
      <c r="AP54" s="18" t="s">
        <v>130</v>
      </c>
      <c r="AQ54" s="18" t="s">
        <v>131</v>
      </c>
      <c r="AR54" s="18">
        <f>SQRT(AQ54+AQ55)*(AT54-AS54)*0.5/TINV(1-0.95,AQ54+AQ55-1)</f>
        <v>2.0910991152148237</v>
      </c>
      <c r="AS54" s="17" t="s">
        <v>132</v>
      </c>
      <c r="AT54" s="17" t="s">
        <v>133</v>
      </c>
      <c r="AU54" s="17" t="s">
        <v>690</v>
      </c>
      <c r="AV54" s="17">
        <v>180</v>
      </c>
      <c r="AW54" s="17">
        <v>35</v>
      </c>
    </row>
    <row r="55" spans="1:49" x14ac:dyDescent="0.2">
      <c r="A55" s="17" t="s">
        <v>117</v>
      </c>
      <c r="B55" s="17">
        <v>2011</v>
      </c>
      <c r="C55" s="17" t="s">
        <v>134</v>
      </c>
      <c r="D55" s="17" t="s">
        <v>88</v>
      </c>
      <c r="E55" s="17" t="s">
        <v>88</v>
      </c>
      <c r="F55" s="17" t="s">
        <v>119</v>
      </c>
      <c r="G55" s="17" t="s">
        <v>120</v>
      </c>
      <c r="H55" s="17" t="s">
        <v>91</v>
      </c>
      <c r="I55" s="17" t="s">
        <v>54</v>
      </c>
      <c r="J55" s="17" t="s">
        <v>121</v>
      </c>
      <c r="K55" s="17" t="s">
        <v>56</v>
      </c>
      <c r="L55" s="17" t="s">
        <v>93</v>
      </c>
      <c r="M55" s="17" t="s">
        <v>58</v>
      </c>
      <c r="N55" s="17" t="s">
        <v>93</v>
      </c>
      <c r="O55" s="17" t="s">
        <v>57</v>
      </c>
      <c r="P55" s="17" t="s">
        <v>58</v>
      </c>
      <c r="Q55" s="17" t="s">
        <v>57</v>
      </c>
      <c r="R55" s="17" t="s">
        <v>135</v>
      </c>
      <c r="S55" s="17" t="s">
        <v>136</v>
      </c>
      <c r="T55" s="17" t="s">
        <v>137</v>
      </c>
      <c r="U55" s="17" t="s">
        <v>138</v>
      </c>
      <c r="V55" s="17"/>
      <c r="W55" s="17"/>
      <c r="X55" s="17" t="s">
        <v>139</v>
      </c>
      <c r="Y55" s="17"/>
      <c r="Z55" s="17"/>
      <c r="AA55" s="17"/>
      <c r="AB55" s="17" t="s">
        <v>140</v>
      </c>
      <c r="AC55" s="17"/>
      <c r="AD55" s="17"/>
      <c r="AE55" s="17"/>
      <c r="AF55" s="17"/>
      <c r="AG55" s="17"/>
      <c r="AH55" s="17" t="s">
        <v>100</v>
      </c>
      <c r="AI55" s="17"/>
      <c r="AJ55" s="17" t="s">
        <v>165</v>
      </c>
      <c r="AK55" s="17" t="s">
        <v>776</v>
      </c>
      <c r="AL55" s="17" t="s">
        <v>101</v>
      </c>
      <c r="AM55" s="18"/>
      <c r="AN55" s="18"/>
      <c r="AO55" s="18"/>
      <c r="AP55" s="18"/>
      <c r="AQ55" s="18" t="s">
        <v>141</v>
      </c>
      <c r="AR55" s="18"/>
      <c r="AS55" s="17"/>
      <c r="AT55" s="17"/>
      <c r="AU55" s="17" t="s">
        <v>690</v>
      </c>
      <c r="AV55" s="17">
        <v>180</v>
      </c>
      <c r="AW55" s="17">
        <v>35</v>
      </c>
    </row>
    <row r="56" spans="1:49" x14ac:dyDescent="0.2">
      <c r="A56" s="17" t="s">
        <v>117</v>
      </c>
      <c r="B56" s="17">
        <v>2011</v>
      </c>
      <c r="C56" s="17" t="s">
        <v>118</v>
      </c>
      <c r="D56" s="17" t="s">
        <v>105</v>
      </c>
      <c r="E56" s="17" t="s">
        <v>106</v>
      </c>
      <c r="F56" s="17" t="s">
        <v>119</v>
      </c>
      <c r="G56" s="17" t="s">
        <v>120</v>
      </c>
      <c r="H56" s="17" t="s">
        <v>91</v>
      </c>
      <c r="I56" s="17" t="s">
        <v>54</v>
      </c>
      <c r="J56" s="17" t="s">
        <v>121</v>
      </c>
      <c r="K56" s="17" t="s">
        <v>56</v>
      </c>
      <c r="L56" s="17" t="s">
        <v>93</v>
      </c>
      <c r="M56" s="17" t="s">
        <v>58</v>
      </c>
      <c r="N56" s="17" t="s">
        <v>93</v>
      </c>
      <c r="O56" s="17" t="s">
        <v>57</v>
      </c>
      <c r="P56" s="17" t="s">
        <v>58</v>
      </c>
      <c r="Q56" s="17" t="s">
        <v>57</v>
      </c>
      <c r="R56" s="17" t="s">
        <v>122</v>
      </c>
      <c r="S56" s="17" t="s">
        <v>123</v>
      </c>
      <c r="T56" s="17" t="s">
        <v>124</v>
      </c>
      <c r="U56" s="17" t="s">
        <v>125</v>
      </c>
      <c r="V56" s="17"/>
      <c r="W56" s="17"/>
      <c r="X56" s="17" t="s">
        <v>126</v>
      </c>
      <c r="Y56" s="17"/>
      <c r="Z56" s="17"/>
      <c r="AA56" s="17"/>
      <c r="AB56" s="17" t="s">
        <v>127</v>
      </c>
      <c r="AC56" s="17"/>
      <c r="AD56" s="17"/>
      <c r="AE56" s="17"/>
      <c r="AF56" s="17"/>
      <c r="AG56" s="17"/>
      <c r="AH56" s="17" t="s">
        <v>64</v>
      </c>
      <c r="AI56" s="17"/>
      <c r="AJ56" s="17" t="s">
        <v>142</v>
      </c>
      <c r="AK56" s="17" t="s">
        <v>143</v>
      </c>
      <c r="AL56" s="17" t="s">
        <v>101</v>
      </c>
      <c r="AM56" s="18"/>
      <c r="AN56" s="18"/>
      <c r="AO56" s="18"/>
      <c r="AP56" s="18" t="s">
        <v>144</v>
      </c>
      <c r="AQ56" s="18" t="s">
        <v>131</v>
      </c>
      <c r="AR56" s="18">
        <f>SQRT(AQ56+AQ57)*(AT56-AS56)*0.5/TINV(1-0.95,AQ56+AQ57-1)</f>
        <v>1.9604054205138968</v>
      </c>
      <c r="AS56" s="17" t="s">
        <v>145</v>
      </c>
      <c r="AT56" s="17" t="s">
        <v>146</v>
      </c>
      <c r="AU56" s="17" t="s">
        <v>690</v>
      </c>
      <c r="AV56" s="17">
        <v>180</v>
      </c>
      <c r="AW56" s="17">
        <v>35</v>
      </c>
    </row>
    <row r="57" spans="1:49" x14ac:dyDescent="0.2">
      <c r="A57" s="17" t="s">
        <v>117</v>
      </c>
      <c r="B57" s="17">
        <v>2011</v>
      </c>
      <c r="C57" s="17" t="s">
        <v>134</v>
      </c>
      <c r="D57" s="17" t="s">
        <v>88</v>
      </c>
      <c r="E57" s="17" t="s">
        <v>88</v>
      </c>
      <c r="F57" s="17" t="s">
        <v>119</v>
      </c>
      <c r="G57" s="17" t="s">
        <v>120</v>
      </c>
      <c r="H57" s="17" t="s">
        <v>91</v>
      </c>
      <c r="I57" s="17" t="s">
        <v>54</v>
      </c>
      <c r="J57" s="17" t="s">
        <v>121</v>
      </c>
      <c r="K57" s="17" t="s">
        <v>56</v>
      </c>
      <c r="L57" s="17" t="s">
        <v>93</v>
      </c>
      <c r="M57" s="17" t="s">
        <v>58</v>
      </c>
      <c r="N57" s="17" t="s">
        <v>93</v>
      </c>
      <c r="O57" s="17" t="s">
        <v>57</v>
      </c>
      <c r="P57" s="17" t="s">
        <v>58</v>
      </c>
      <c r="Q57" s="17" t="s">
        <v>57</v>
      </c>
      <c r="R57" s="17" t="s">
        <v>135</v>
      </c>
      <c r="S57" s="17" t="s">
        <v>136</v>
      </c>
      <c r="T57" s="17" t="s">
        <v>137</v>
      </c>
      <c r="U57" s="17" t="s">
        <v>138</v>
      </c>
      <c r="V57" s="17"/>
      <c r="W57" s="17"/>
      <c r="X57" s="17" t="s">
        <v>139</v>
      </c>
      <c r="Y57" s="17"/>
      <c r="Z57" s="17"/>
      <c r="AA57" s="17"/>
      <c r="AB57" s="17" t="s">
        <v>140</v>
      </c>
      <c r="AC57" s="17"/>
      <c r="AD57" s="17"/>
      <c r="AE57" s="17"/>
      <c r="AF57" s="17"/>
      <c r="AG57" s="17"/>
      <c r="AH57" s="17" t="s">
        <v>100</v>
      </c>
      <c r="AI57" s="17"/>
      <c r="AJ57" s="17" t="s">
        <v>142</v>
      </c>
      <c r="AK57" s="17" t="s">
        <v>143</v>
      </c>
      <c r="AL57" s="17" t="s">
        <v>101</v>
      </c>
      <c r="AM57" s="18"/>
      <c r="AN57" s="18"/>
      <c r="AO57" s="18"/>
      <c r="AP57" s="18"/>
      <c r="AQ57" s="18" t="s">
        <v>141</v>
      </c>
      <c r="AR57" s="18"/>
      <c r="AS57" s="17"/>
      <c r="AT57" s="17"/>
      <c r="AU57" s="17" t="s">
        <v>690</v>
      </c>
      <c r="AV57" s="17">
        <v>180</v>
      </c>
      <c r="AW57" s="17">
        <v>35</v>
      </c>
    </row>
    <row r="58" spans="1:49" x14ac:dyDescent="0.2">
      <c r="A58" s="8" t="s">
        <v>713</v>
      </c>
      <c r="B58" s="8">
        <v>2019</v>
      </c>
      <c r="C58" s="8" t="s">
        <v>118</v>
      </c>
      <c r="D58" s="8" t="s">
        <v>49</v>
      </c>
      <c r="E58" s="8" t="s">
        <v>75</v>
      </c>
      <c r="F58" s="8" t="s">
        <v>279</v>
      </c>
      <c r="G58" s="8" t="s">
        <v>714</v>
      </c>
      <c r="H58" s="8" t="s">
        <v>715</v>
      </c>
      <c r="I58" s="8" t="s">
        <v>716</v>
      </c>
      <c r="J58" s="8" t="s">
        <v>452</v>
      </c>
      <c r="K58" s="8" t="s">
        <v>56</v>
      </c>
      <c r="L58" s="8" t="s">
        <v>712</v>
      </c>
      <c r="M58" s="8" t="s">
        <v>57</v>
      </c>
      <c r="N58" s="8" t="s">
        <v>93</v>
      </c>
      <c r="O58" s="8" t="s">
        <v>58</v>
      </c>
      <c r="P58" s="8" t="s">
        <v>58</v>
      </c>
      <c r="Q58" s="8" t="s">
        <v>57</v>
      </c>
      <c r="R58" s="8" t="s">
        <v>724</v>
      </c>
      <c r="S58" s="8"/>
      <c r="T58" s="8" t="s">
        <v>730</v>
      </c>
      <c r="U58" s="9">
        <v>0.88</v>
      </c>
      <c r="V58" s="8"/>
      <c r="W58" s="8"/>
      <c r="X58" s="8" t="s">
        <v>741</v>
      </c>
      <c r="Y58" s="8"/>
      <c r="Z58" s="8"/>
      <c r="AA58" s="8" t="s">
        <v>395</v>
      </c>
      <c r="AB58" s="8"/>
      <c r="AC58" s="8"/>
      <c r="AD58" s="8"/>
      <c r="AE58" s="8"/>
      <c r="AF58" s="8"/>
      <c r="AG58" s="8"/>
      <c r="AH58" s="8"/>
      <c r="AI58" s="8"/>
      <c r="AJ58" s="17" t="s">
        <v>751</v>
      </c>
      <c r="AK58" s="17" t="s">
        <v>756</v>
      </c>
      <c r="AL58" s="17" t="s">
        <v>67</v>
      </c>
      <c r="AM58" s="17">
        <v>39.9</v>
      </c>
      <c r="AN58" s="17">
        <v>27</v>
      </c>
      <c r="AO58" s="17">
        <v>8.4</v>
      </c>
      <c r="AP58" s="17">
        <v>16.079999999999998</v>
      </c>
      <c r="AQ58" s="17">
        <v>25</v>
      </c>
      <c r="AR58" s="17">
        <v>3.7</v>
      </c>
      <c r="AS58" s="8"/>
      <c r="AT58" s="8"/>
      <c r="AU58" s="8" t="s">
        <v>774</v>
      </c>
      <c r="AV58" s="8">
        <v>91</v>
      </c>
      <c r="AW58" s="8">
        <v>56</v>
      </c>
    </row>
    <row r="59" spans="1:49" x14ac:dyDescent="0.2">
      <c r="A59" s="8" t="s">
        <v>713</v>
      </c>
      <c r="B59" s="8">
        <v>2019</v>
      </c>
      <c r="C59" s="8" t="s">
        <v>87</v>
      </c>
      <c r="D59" s="8" t="s">
        <v>88</v>
      </c>
      <c r="E59" s="8" t="s">
        <v>88</v>
      </c>
      <c r="F59" s="8" t="s">
        <v>279</v>
      </c>
      <c r="G59" s="8" t="s">
        <v>714</v>
      </c>
      <c r="H59" s="8" t="s">
        <v>715</v>
      </c>
      <c r="I59" s="8" t="s">
        <v>716</v>
      </c>
      <c r="J59" s="8" t="s">
        <v>452</v>
      </c>
      <c r="K59" s="8" t="s">
        <v>56</v>
      </c>
      <c r="L59" s="8" t="s">
        <v>712</v>
      </c>
      <c r="M59" s="8" t="s">
        <v>57</v>
      </c>
      <c r="N59" s="8" t="s">
        <v>93</v>
      </c>
      <c r="O59" s="8" t="s">
        <v>58</v>
      </c>
      <c r="P59" s="8" t="s">
        <v>58</v>
      </c>
      <c r="Q59" s="8" t="s">
        <v>57</v>
      </c>
      <c r="R59" s="8" t="s">
        <v>725</v>
      </c>
      <c r="S59" s="8"/>
      <c r="T59" s="8" t="s">
        <v>731</v>
      </c>
      <c r="U59" s="9">
        <v>0.72</v>
      </c>
      <c r="V59" s="8"/>
      <c r="W59" s="8"/>
      <c r="X59" s="8" t="s">
        <v>742</v>
      </c>
      <c r="Y59" s="8"/>
      <c r="Z59" s="8"/>
      <c r="AA59" s="8" t="s">
        <v>395</v>
      </c>
      <c r="AB59" s="8"/>
      <c r="AC59" s="8"/>
      <c r="AD59" s="8"/>
      <c r="AE59" s="8"/>
      <c r="AF59" s="8"/>
      <c r="AG59" s="8"/>
      <c r="AH59" s="8"/>
      <c r="AI59" s="8"/>
      <c r="AJ59" s="17" t="s">
        <v>751</v>
      </c>
      <c r="AK59" s="17" t="s">
        <v>756</v>
      </c>
      <c r="AL59" s="17" t="s">
        <v>67</v>
      </c>
      <c r="AM59" s="17">
        <v>32.04</v>
      </c>
      <c r="AN59" s="17">
        <v>27</v>
      </c>
      <c r="AO59" s="17">
        <v>7.02</v>
      </c>
      <c r="AP59" s="17">
        <v>32.9</v>
      </c>
      <c r="AQ59" s="17">
        <v>25</v>
      </c>
      <c r="AR59" s="17">
        <v>7.2</v>
      </c>
      <c r="AS59" s="8"/>
      <c r="AT59" s="8"/>
      <c r="AU59" s="8" t="s">
        <v>774</v>
      </c>
      <c r="AV59" s="8">
        <v>91</v>
      </c>
      <c r="AW59" s="8">
        <v>56</v>
      </c>
    </row>
    <row r="60" spans="1:49" x14ac:dyDescent="0.2">
      <c r="A60" s="8" t="s">
        <v>691</v>
      </c>
      <c r="B60" s="8">
        <v>2020</v>
      </c>
      <c r="C60" s="8" t="s">
        <v>692</v>
      </c>
      <c r="D60" s="8" t="s">
        <v>105</v>
      </c>
      <c r="E60" s="8" t="s">
        <v>106</v>
      </c>
      <c r="F60" s="8" t="s">
        <v>747</v>
      </c>
      <c r="G60" s="8" t="s">
        <v>693</v>
      </c>
      <c r="H60" s="8" t="s">
        <v>694</v>
      </c>
      <c r="I60" s="8" t="s">
        <v>695</v>
      </c>
      <c r="J60" s="8" t="s">
        <v>696</v>
      </c>
      <c r="K60" s="8" t="s">
        <v>56</v>
      </c>
      <c r="L60" s="8" t="s">
        <v>93</v>
      </c>
      <c r="M60" s="8" t="s">
        <v>58</v>
      </c>
      <c r="N60" s="8" t="s">
        <v>93</v>
      </c>
      <c r="O60" s="8" t="s">
        <v>58</v>
      </c>
      <c r="P60" s="8" t="s">
        <v>93</v>
      </c>
      <c r="Q60" s="8" t="s">
        <v>93</v>
      </c>
      <c r="R60" s="8"/>
      <c r="S60" s="9">
        <v>0.76</v>
      </c>
      <c r="T60" s="8" t="s">
        <v>726</v>
      </c>
      <c r="U60" s="9">
        <v>0.92</v>
      </c>
      <c r="V60" s="8"/>
      <c r="W60" s="8"/>
      <c r="X60" s="8" t="s">
        <v>734</v>
      </c>
      <c r="Y60" s="8"/>
      <c r="Z60" s="8"/>
      <c r="AA60" s="8" t="s">
        <v>395</v>
      </c>
      <c r="AB60" s="8"/>
      <c r="AC60" s="8"/>
      <c r="AD60" s="8"/>
      <c r="AE60" s="8"/>
      <c r="AF60" s="8"/>
      <c r="AG60" s="8"/>
      <c r="AH60" s="8"/>
      <c r="AI60" s="8"/>
      <c r="AJ60" s="8" t="s">
        <v>751</v>
      </c>
      <c r="AK60" s="17" t="s">
        <v>750</v>
      </c>
      <c r="AL60" s="17" t="s">
        <v>67</v>
      </c>
      <c r="AM60" s="17">
        <v>4.0999999999999996</v>
      </c>
      <c r="AN60" s="17">
        <v>25</v>
      </c>
      <c r="AO60" s="17">
        <v>3</v>
      </c>
      <c r="AP60" s="17">
        <v>0.9</v>
      </c>
      <c r="AQ60" s="17">
        <v>25</v>
      </c>
      <c r="AR60" s="17">
        <v>1</v>
      </c>
      <c r="AS60" s="17"/>
      <c r="AT60" s="8"/>
      <c r="AU60" s="8" t="s">
        <v>238</v>
      </c>
      <c r="AV60" s="8">
        <v>90</v>
      </c>
      <c r="AW60" s="8">
        <v>35</v>
      </c>
    </row>
    <row r="61" spans="1:49" x14ac:dyDescent="0.2">
      <c r="A61" s="8" t="s">
        <v>691</v>
      </c>
      <c r="B61" s="8">
        <v>2020</v>
      </c>
      <c r="C61" s="8" t="s">
        <v>697</v>
      </c>
      <c r="D61" s="8" t="s">
        <v>88</v>
      </c>
      <c r="E61" s="8" t="s">
        <v>88</v>
      </c>
      <c r="F61" s="8" t="s">
        <v>747</v>
      </c>
      <c r="G61" s="8" t="s">
        <v>693</v>
      </c>
      <c r="H61" s="8" t="s">
        <v>694</v>
      </c>
      <c r="I61" s="8" t="s">
        <v>695</v>
      </c>
      <c r="J61" s="8" t="s">
        <v>696</v>
      </c>
      <c r="K61" s="8" t="s">
        <v>56</v>
      </c>
      <c r="L61" s="8" t="s">
        <v>93</v>
      </c>
      <c r="M61" s="8" t="s">
        <v>58</v>
      </c>
      <c r="N61" s="8" t="s">
        <v>93</v>
      </c>
      <c r="O61" s="8" t="s">
        <v>58</v>
      </c>
      <c r="P61" s="8" t="s">
        <v>93</v>
      </c>
      <c r="Q61" s="8" t="s">
        <v>93</v>
      </c>
      <c r="R61" s="8"/>
      <c r="S61" s="10">
        <v>0.76900000000000002</v>
      </c>
      <c r="T61" s="8" t="s">
        <v>727</v>
      </c>
      <c r="U61" s="10">
        <v>0.80800000000000005</v>
      </c>
      <c r="V61" s="8"/>
      <c r="W61" s="8"/>
      <c r="X61" s="8" t="s">
        <v>735</v>
      </c>
      <c r="Y61" s="8"/>
      <c r="Z61" s="8"/>
      <c r="AA61" s="8" t="s">
        <v>395</v>
      </c>
      <c r="AB61" s="8"/>
      <c r="AC61" s="8"/>
      <c r="AD61" s="8"/>
      <c r="AE61" s="8"/>
      <c r="AF61" s="8"/>
      <c r="AG61" s="8"/>
      <c r="AH61" s="8"/>
      <c r="AI61" s="8"/>
      <c r="AJ61" s="8" t="s">
        <v>751</v>
      </c>
      <c r="AK61" s="17" t="s">
        <v>750</v>
      </c>
      <c r="AL61" s="17" t="s">
        <v>67</v>
      </c>
      <c r="AM61" s="17">
        <v>4.5999999999999996</v>
      </c>
      <c r="AN61" s="17">
        <v>26</v>
      </c>
      <c r="AO61" s="17">
        <v>2.8</v>
      </c>
      <c r="AP61" s="17">
        <v>2.9</v>
      </c>
      <c r="AQ61" s="17">
        <v>26</v>
      </c>
      <c r="AR61" s="17">
        <v>2.8</v>
      </c>
      <c r="AS61" s="17"/>
      <c r="AT61" s="8"/>
      <c r="AU61" s="8" t="s">
        <v>238</v>
      </c>
      <c r="AV61" s="8">
        <v>90</v>
      </c>
      <c r="AW61" s="8">
        <v>35</v>
      </c>
    </row>
    <row r="62" spans="1:49" x14ac:dyDescent="0.2">
      <c r="A62" s="8" t="s">
        <v>704</v>
      </c>
      <c r="B62" s="8">
        <v>2019</v>
      </c>
      <c r="C62" s="8" t="s">
        <v>118</v>
      </c>
      <c r="D62" s="8" t="s">
        <v>191</v>
      </c>
      <c r="E62" s="8" t="s">
        <v>192</v>
      </c>
      <c r="F62" s="8" t="s">
        <v>258</v>
      </c>
      <c r="G62" s="8" t="s">
        <v>705</v>
      </c>
      <c r="H62" s="8" t="s">
        <v>706</v>
      </c>
      <c r="I62" s="8" t="s">
        <v>706</v>
      </c>
      <c r="J62" s="8" t="s">
        <v>707</v>
      </c>
      <c r="K62" s="8" t="s">
        <v>56</v>
      </c>
      <c r="L62" s="8" t="s">
        <v>93</v>
      </c>
      <c r="M62" s="8" t="s">
        <v>57</v>
      </c>
      <c r="N62" s="8" t="s">
        <v>93</v>
      </c>
      <c r="O62" s="8" t="s">
        <v>58</v>
      </c>
      <c r="P62" s="8" t="s">
        <v>58</v>
      </c>
      <c r="Q62" s="8" t="s">
        <v>57</v>
      </c>
      <c r="R62" s="8" t="s">
        <v>722</v>
      </c>
      <c r="S62" s="10">
        <v>0.76700000000000002</v>
      </c>
      <c r="T62" s="8" t="s">
        <v>728</v>
      </c>
      <c r="U62" s="10">
        <v>0.83330000000000004</v>
      </c>
      <c r="V62" s="8"/>
      <c r="W62" s="8"/>
      <c r="X62" s="8" t="s">
        <v>737</v>
      </c>
      <c r="Y62" s="8"/>
      <c r="Z62" s="8"/>
      <c r="AA62" s="8" t="s">
        <v>395</v>
      </c>
      <c r="AB62" s="8"/>
      <c r="AC62" s="8"/>
      <c r="AD62" s="8"/>
      <c r="AE62" s="8"/>
      <c r="AF62" s="8"/>
      <c r="AG62" s="8"/>
      <c r="AH62" s="8"/>
      <c r="AI62" s="8"/>
      <c r="AJ62" s="17" t="s">
        <v>165</v>
      </c>
      <c r="AK62" s="17" t="s">
        <v>776</v>
      </c>
      <c r="AL62" s="17" t="s">
        <v>67</v>
      </c>
      <c r="AM62" s="17">
        <v>11.87</v>
      </c>
      <c r="AN62" s="17">
        <v>30</v>
      </c>
      <c r="AO62" s="17">
        <v>9.73</v>
      </c>
      <c r="AP62" s="17">
        <v>10.5</v>
      </c>
      <c r="AQ62" s="17">
        <v>26</v>
      </c>
      <c r="AR62" s="17">
        <v>8.6999999999999993</v>
      </c>
      <c r="AS62" s="17"/>
      <c r="AT62" s="8"/>
      <c r="AU62" s="8" t="s">
        <v>748</v>
      </c>
      <c r="AV62" s="8">
        <v>112</v>
      </c>
      <c r="AW62" s="8">
        <v>112</v>
      </c>
    </row>
    <row r="63" spans="1:49" x14ac:dyDescent="0.2">
      <c r="A63" s="8" t="s">
        <v>704</v>
      </c>
      <c r="B63" s="8">
        <v>2019</v>
      </c>
      <c r="C63" s="8" t="s">
        <v>87</v>
      </c>
      <c r="D63" s="8" t="s">
        <v>88</v>
      </c>
      <c r="E63" s="8" t="s">
        <v>88</v>
      </c>
      <c r="F63" s="8" t="s">
        <v>258</v>
      </c>
      <c r="G63" s="8" t="s">
        <v>705</v>
      </c>
      <c r="H63" s="8" t="s">
        <v>706</v>
      </c>
      <c r="I63" s="8" t="s">
        <v>706</v>
      </c>
      <c r="J63" s="8" t="s">
        <v>707</v>
      </c>
      <c r="K63" s="8" t="s">
        <v>56</v>
      </c>
      <c r="L63" s="8" t="s">
        <v>93</v>
      </c>
      <c r="M63" s="8" t="s">
        <v>57</v>
      </c>
      <c r="N63" s="8" t="s">
        <v>93</v>
      </c>
      <c r="O63" s="8" t="s">
        <v>58</v>
      </c>
      <c r="P63" s="8" t="s">
        <v>58</v>
      </c>
      <c r="Q63" s="8" t="s">
        <v>57</v>
      </c>
      <c r="R63" s="8" t="s">
        <v>723</v>
      </c>
      <c r="S63" s="10">
        <v>0.67700000000000005</v>
      </c>
      <c r="T63" s="8" t="s">
        <v>729</v>
      </c>
      <c r="U63" s="10">
        <v>0.74229999999999996</v>
      </c>
      <c r="V63" s="8"/>
      <c r="W63" s="8"/>
      <c r="X63" s="8" t="s">
        <v>738</v>
      </c>
      <c r="Y63" s="8"/>
      <c r="Z63" s="8"/>
      <c r="AA63" s="8" t="s">
        <v>395</v>
      </c>
      <c r="AB63" s="8"/>
      <c r="AC63" s="8"/>
      <c r="AD63" s="8"/>
      <c r="AE63" s="8"/>
      <c r="AF63" s="8"/>
      <c r="AG63" s="8"/>
      <c r="AH63" s="8"/>
      <c r="AI63" s="8"/>
      <c r="AJ63" s="17" t="s">
        <v>165</v>
      </c>
      <c r="AK63" s="17" t="s">
        <v>776</v>
      </c>
      <c r="AL63" s="17" t="s">
        <v>67</v>
      </c>
      <c r="AM63" s="17">
        <v>9.35</v>
      </c>
      <c r="AN63" s="17">
        <v>31</v>
      </c>
      <c r="AO63" s="17">
        <v>8.06</v>
      </c>
      <c r="AP63" s="17">
        <v>14.64</v>
      </c>
      <c r="AQ63" s="17">
        <v>28</v>
      </c>
      <c r="AR63" s="17">
        <v>10.06</v>
      </c>
      <c r="AS63" s="17"/>
      <c r="AT63" s="8"/>
      <c r="AU63" s="8" t="s">
        <v>748</v>
      </c>
      <c r="AV63" s="8">
        <v>112</v>
      </c>
      <c r="AW63" s="8">
        <v>112</v>
      </c>
    </row>
    <row r="64" spans="1:49" x14ac:dyDescent="0.2">
      <c r="A64" s="17" t="s">
        <v>117</v>
      </c>
      <c r="B64" s="17">
        <v>2011</v>
      </c>
      <c r="C64" s="17" t="s">
        <v>118</v>
      </c>
      <c r="D64" s="17" t="s">
        <v>105</v>
      </c>
      <c r="E64" s="17" t="s">
        <v>106</v>
      </c>
      <c r="F64" s="17" t="s">
        <v>119</v>
      </c>
      <c r="G64" s="17" t="s">
        <v>120</v>
      </c>
      <c r="H64" s="17" t="s">
        <v>91</v>
      </c>
      <c r="I64" s="17" t="s">
        <v>54</v>
      </c>
      <c r="J64" s="17" t="s">
        <v>121</v>
      </c>
      <c r="K64" s="17" t="s">
        <v>56</v>
      </c>
      <c r="L64" s="17" t="s">
        <v>93</v>
      </c>
      <c r="M64" s="17" t="s">
        <v>58</v>
      </c>
      <c r="N64" s="17" t="s">
        <v>93</v>
      </c>
      <c r="O64" s="17" t="s">
        <v>57</v>
      </c>
      <c r="P64" s="17" t="s">
        <v>58</v>
      </c>
      <c r="Q64" s="17" t="s">
        <v>57</v>
      </c>
      <c r="R64" s="17" t="s">
        <v>122</v>
      </c>
      <c r="S64" s="17" t="s">
        <v>123</v>
      </c>
      <c r="T64" s="17" t="s">
        <v>124</v>
      </c>
      <c r="U64" s="17" t="s">
        <v>125</v>
      </c>
      <c r="V64" s="17"/>
      <c r="W64" s="17"/>
      <c r="X64" s="17" t="s">
        <v>126</v>
      </c>
      <c r="Y64" s="17"/>
      <c r="Z64" s="17"/>
      <c r="AA64" s="17"/>
      <c r="AB64" s="17" t="s">
        <v>127</v>
      </c>
      <c r="AC64" s="17"/>
      <c r="AD64" s="17"/>
      <c r="AE64" s="17"/>
      <c r="AF64" s="17"/>
      <c r="AG64" s="17"/>
      <c r="AH64" s="17" t="s">
        <v>64</v>
      </c>
      <c r="AI64" s="17"/>
      <c r="AJ64" s="17" t="s">
        <v>165</v>
      </c>
      <c r="AK64" s="17" t="s">
        <v>166</v>
      </c>
      <c r="AL64" s="17" t="s">
        <v>101</v>
      </c>
      <c r="AM64" s="18"/>
      <c r="AN64" s="18"/>
      <c r="AO64" s="18"/>
      <c r="AP64" s="18" t="s">
        <v>167</v>
      </c>
      <c r="AQ64" s="18" t="s">
        <v>131</v>
      </c>
      <c r="AR64" s="18">
        <f>SQRT(AQ64+AQ65)*(AT64-AS64)*0.5/TINV(1-0.95,AQ64+AQ65-1)</f>
        <v>2.12844017084366</v>
      </c>
      <c r="AS64" s="17" t="s">
        <v>153</v>
      </c>
      <c r="AT64" s="17" t="s">
        <v>133</v>
      </c>
      <c r="AU64" s="17" t="s">
        <v>690</v>
      </c>
      <c r="AV64" s="17">
        <v>180</v>
      </c>
      <c r="AW64" s="17">
        <v>35</v>
      </c>
    </row>
    <row r="65" spans="1:49" x14ac:dyDescent="0.2">
      <c r="A65" s="17" t="s">
        <v>117</v>
      </c>
      <c r="B65" s="17">
        <v>2011</v>
      </c>
      <c r="C65" s="17" t="s">
        <v>134</v>
      </c>
      <c r="D65" s="17" t="s">
        <v>88</v>
      </c>
      <c r="E65" s="17" t="s">
        <v>88</v>
      </c>
      <c r="F65" s="17" t="s">
        <v>119</v>
      </c>
      <c r="G65" s="17" t="s">
        <v>120</v>
      </c>
      <c r="H65" s="17" t="s">
        <v>91</v>
      </c>
      <c r="I65" s="17" t="s">
        <v>54</v>
      </c>
      <c r="J65" s="17" t="s">
        <v>121</v>
      </c>
      <c r="K65" s="17" t="s">
        <v>56</v>
      </c>
      <c r="L65" s="17" t="s">
        <v>93</v>
      </c>
      <c r="M65" s="17" t="s">
        <v>58</v>
      </c>
      <c r="N65" s="17" t="s">
        <v>93</v>
      </c>
      <c r="O65" s="17" t="s">
        <v>57</v>
      </c>
      <c r="P65" s="17" t="s">
        <v>58</v>
      </c>
      <c r="Q65" s="17" t="s">
        <v>57</v>
      </c>
      <c r="R65" s="17" t="s">
        <v>135</v>
      </c>
      <c r="S65" s="17" t="s">
        <v>136</v>
      </c>
      <c r="T65" s="17" t="s">
        <v>137</v>
      </c>
      <c r="U65" s="17" t="s">
        <v>138</v>
      </c>
      <c r="V65" s="17"/>
      <c r="W65" s="17"/>
      <c r="X65" s="17" t="s">
        <v>139</v>
      </c>
      <c r="Y65" s="17"/>
      <c r="Z65" s="17"/>
      <c r="AA65" s="17"/>
      <c r="AB65" s="17" t="s">
        <v>140</v>
      </c>
      <c r="AC65" s="17"/>
      <c r="AD65" s="17"/>
      <c r="AE65" s="17"/>
      <c r="AF65" s="17"/>
      <c r="AG65" s="17"/>
      <c r="AH65" s="17" t="s">
        <v>100</v>
      </c>
      <c r="AI65" s="17"/>
      <c r="AJ65" s="17" t="s">
        <v>165</v>
      </c>
      <c r="AK65" s="17" t="s">
        <v>166</v>
      </c>
      <c r="AL65" s="17" t="s">
        <v>101</v>
      </c>
      <c r="AM65" s="18"/>
      <c r="AN65" s="18"/>
      <c r="AO65" s="18"/>
      <c r="AP65" s="18"/>
      <c r="AQ65" s="18" t="s">
        <v>141</v>
      </c>
      <c r="AR65" s="18"/>
      <c r="AS65" s="17"/>
      <c r="AT65" s="17"/>
      <c r="AU65" s="17" t="s">
        <v>690</v>
      </c>
      <c r="AV65" s="17">
        <v>180</v>
      </c>
      <c r="AW65" s="17">
        <v>35</v>
      </c>
    </row>
    <row r="66" spans="1:49" x14ac:dyDescent="0.2">
      <c r="A66" s="17" t="s">
        <v>117</v>
      </c>
      <c r="B66" s="17">
        <v>2011</v>
      </c>
      <c r="C66" s="17" t="s">
        <v>118</v>
      </c>
      <c r="D66" s="17" t="s">
        <v>105</v>
      </c>
      <c r="E66" s="17" t="s">
        <v>106</v>
      </c>
      <c r="F66" s="17" t="s">
        <v>119</v>
      </c>
      <c r="G66" s="17" t="s">
        <v>120</v>
      </c>
      <c r="H66" s="17" t="s">
        <v>91</v>
      </c>
      <c r="I66" s="17" t="s">
        <v>54</v>
      </c>
      <c r="J66" s="17" t="s">
        <v>121</v>
      </c>
      <c r="K66" s="17" t="s">
        <v>56</v>
      </c>
      <c r="L66" s="17" t="s">
        <v>93</v>
      </c>
      <c r="M66" s="17" t="s">
        <v>58</v>
      </c>
      <c r="N66" s="17" t="s">
        <v>93</v>
      </c>
      <c r="O66" s="17" t="s">
        <v>57</v>
      </c>
      <c r="P66" s="17" t="s">
        <v>58</v>
      </c>
      <c r="Q66" s="17" t="s">
        <v>57</v>
      </c>
      <c r="R66" s="17" t="s">
        <v>122</v>
      </c>
      <c r="S66" s="17" t="s">
        <v>123</v>
      </c>
      <c r="T66" s="17" t="s">
        <v>124</v>
      </c>
      <c r="U66" s="17" t="s">
        <v>125</v>
      </c>
      <c r="V66" s="17"/>
      <c r="W66" s="17"/>
      <c r="X66" s="17" t="s">
        <v>126</v>
      </c>
      <c r="Y66" s="17"/>
      <c r="Z66" s="17"/>
      <c r="AA66" s="17"/>
      <c r="AB66" s="17" t="s">
        <v>127</v>
      </c>
      <c r="AC66" s="17"/>
      <c r="AD66" s="17"/>
      <c r="AE66" s="17"/>
      <c r="AF66" s="17"/>
      <c r="AG66" s="17"/>
      <c r="AH66" s="17" t="s">
        <v>64</v>
      </c>
      <c r="AI66" s="17"/>
      <c r="AJ66" s="17" t="s">
        <v>165</v>
      </c>
      <c r="AK66" s="17" t="s">
        <v>152</v>
      </c>
      <c r="AL66" s="17" t="s">
        <v>101</v>
      </c>
      <c r="AM66" s="18"/>
      <c r="AN66" s="18"/>
      <c r="AO66" s="18"/>
      <c r="AP66" s="18">
        <v>-0.14000000000000001</v>
      </c>
      <c r="AQ66" s="18" t="s">
        <v>131</v>
      </c>
      <c r="AR66" s="18">
        <f>SQRT(AQ66+AQ67)*(AT66-AS66)*0.5/TINV(1-0.95,AQ66+AQ67-1)</f>
        <v>1.9790759483283149</v>
      </c>
      <c r="AS66" s="17" t="s">
        <v>153</v>
      </c>
      <c r="AT66" s="17" t="s">
        <v>154</v>
      </c>
      <c r="AU66" s="17" t="s">
        <v>690</v>
      </c>
      <c r="AV66" s="17">
        <v>180</v>
      </c>
      <c r="AW66" s="17">
        <v>35</v>
      </c>
    </row>
    <row r="67" spans="1:49" x14ac:dyDescent="0.2">
      <c r="A67" s="17" t="s">
        <v>117</v>
      </c>
      <c r="B67" s="17">
        <v>2011</v>
      </c>
      <c r="C67" s="17" t="s">
        <v>134</v>
      </c>
      <c r="D67" s="17" t="s">
        <v>88</v>
      </c>
      <c r="E67" s="17" t="s">
        <v>88</v>
      </c>
      <c r="F67" s="17" t="s">
        <v>119</v>
      </c>
      <c r="G67" s="17" t="s">
        <v>120</v>
      </c>
      <c r="H67" s="17" t="s">
        <v>91</v>
      </c>
      <c r="I67" s="17" t="s">
        <v>54</v>
      </c>
      <c r="J67" s="17" t="s">
        <v>121</v>
      </c>
      <c r="K67" s="17" t="s">
        <v>56</v>
      </c>
      <c r="L67" s="17" t="s">
        <v>93</v>
      </c>
      <c r="M67" s="17" t="s">
        <v>58</v>
      </c>
      <c r="N67" s="17" t="s">
        <v>93</v>
      </c>
      <c r="O67" s="17" t="s">
        <v>57</v>
      </c>
      <c r="P67" s="17" t="s">
        <v>58</v>
      </c>
      <c r="Q67" s="17" t="s">
        <v>57</v>
      </c>
      <c r="R67" s="17" t="s">
        <v>135</v>
      </c>
      <c r="S67" s="17" t="s">
        <v>136</v>
      </c>
      <c r="T67" s="17" t="s">
        <v>137</v>
      </c>
      <c r="U67" s="17" t="s">
        <v>138</v>
      </c>
      <c r="V67" s="17"/>
      <c r="W67" s="17"/>
      <c r="X67" s="17" t="s">
        <v>139</v>
      </c>
      <c r="Y67" s="17"/>
      <c r="Z67" s="17"/>
      <c r="AA67" s="17"/>
      <c r="AB67" s="17" t="s">
        <v>140</v>
      </c>
      <c r="AC67" s="17"/>
      <c r="AD67" s="17"/>
      <c r="AE67" s="17"/>
      <c r="AF67" s="17"/>
      <c r="AG67" s="17"/>
      <c r="AH67" s="17" t="s">
        <v>100</v>
      </c>
      <c r="AI67" s="17"/>
      <c r="AJ67" s="17" t="s">
        <v>165</v>
      </c>
      <c r="AK67" s="17" t="s">
        <v>152</v>
      </c>
      <c r="AL67" s="17" t="s">
        <v>101</v>
      </c>
      <c r="AM67" s="18"/>
      <c r="AN67" s="18"/>
      <c r="AO67" s="18"/>
      <c r="AP67" s="18"/>
      <c r="AQ67" s="18" t="s">
        <v>141</v>
      </c>
      <c r="AR67" s="18"/>
      <c r="AS67" s="17"/>
      <c r="AT67" s="17"/>
      <c r="AU67" s="17" t="s">
        <v>690</v>
      </c>
      <c r="AV67" s="17">
        <v>180</v>
      </c>
      <c r="AW67" s="17">
        <v>35</v>
      </c>
    </row>
    <row r="68" spans="1:49" x14ac:dyDescent="0.2">
      <c r="A68" s="17" t="s">
        <v>117</v>
      </c>
      <c r="B68" s="17">
        <v>2011</v>
      </c>
      <c r="C68" s="17" t="s">
        <v>118</v>
      </c>
      <c r="D68" s="17" t="s">
        <v>105</v>
      </c>
      <c r="E68" s="17" t="s">
        <v>106</v>
      </c>
      <c r="F68" s="17" t="s">
        <v>119</v>
      </c>
      <c r="G68" s="17" t="s">
        <v>120</v>
      </c>
      <c r="H68" s="17" t="s">
        <v>91</v>
      </c>
      <c r="I68" s="17" t="s">
        <v>54</v>
      </c>
      <c r="J68" s="17" t="s">
        <v>121</v>
      </c>
      <c r="K68" s="17" t="s">
        <v>56</v>
      </c>
      <c r="L68" s="17" t="s">
        <v>93</v>
      </c>
      <c r="M68" s="17" t="s">
        <v>58</v>
      </c>
      <c r="N68" s="17" t="s">
        <v>93</v>
      </c>
      <c r="O68" s="17" t="s">
        <v>57</v>
      </c>
      <c r="P68" s="17" t="s">
        <v>58</v>
      </c>
      <c r="Q68" s="17" t="s">
        <v>57</v>
      </c>
      <c r="R68" s="17" t="s">
        <v>122</v>
      </c>
      <c r="S68" s="17" t="s">
        <v>123</v>
      </c>
      <c r="T68" s="17" t="s">
        <v>124</v>
      </c>
      <c r="U68" s="17" t="s">
        <v>125</v>
      </c>
      <c r="V68" s="17"/>
      <c r="W68" s="17"/>
      <c r="X68" s="17" t="s">
        <v>126</v>
      </c>
      <c r="Y68" s="17"/>
      <c r="Z68" s="17"/>
      <c r="AA68" s="17"/>
      <c r="AB68" s="17" t="s">
        <v>127</v>
      </c>
      <c r="AC68" s="17"/>
      <c r="AD68" s="17"/>
      <c r="AE68" s="17"/>
      <c r="AF68" s="17"/>
      <c r="AG68" s="17"/>
      <c r="AH68" s="17" t="s">
        <v>64</v>
      </c>
      <c r="AI68" s="17"/>
      <c r="AJ68" s="17" t="s">
        <v>165</v>
      </c>
      <c r="AK68" s="17" t="s">
        <v>152</v>
      </c>
      <c r="AL68" s="17" t="s">
        <v>101</v>
      </c>
      <c r="AM68" s="18"/>
      <c r="AN68" s="18"/>
      <c r="AO68" s="18"/>
      <c r="AP68" s="18" t="s">
        <v>155</v>
      </c>
      <c r="AQ68" s="18" t="s">
        <v>131</v>
      </c>
      <c r="AR68" s="18">
        <f>SQRT(AQ68+AQ69)*(AT68-AS68)*0.5/TINV(1-0.95,AQ68+AQ69-1)</f>
        <v>2.1471106986580772</v>
      </c>
      <c r="AS68" s="17" t="s">
        <v>156</v>
      </c>
      <c r="AT68" s="17" t="s">
        <v>157</v>
      </c>
      <c r="AU68" s="17" t="s">
        <v>690</v>
      </c>
      <c r="AV68" s="17">
        <v>180</v>
      </c>
      <c r="AW68" s="17">
        <v>35</v>
      </c>
    </row>
    <row r="69" spans="1:49" x14ac:dyDescent="0.2">
      <c r="A69" s="17" t="s">
        <v>117</v>
      </c>
      <c r="B69" s="17">
        <v>2011</v>
      </c>
      <c r="C69" s="17" t="s">
        <v>134</v>
      </c>
      <c r="D69" s="17" t="s">
        <v>88</v>
      </c>
      <c r="E69" s="17" t="s">
        <v>88</v>
      </c>
      <c r="F69" s="17" t="s">
        <v>119</v>
      </c>
      <c r="G69" s="17" t="s">
        <v>120</v>
      </c>
      <c r="H69" s="17" t="s">
        <v>91</v>
      </c>
      <c r="I69" s="17" t="s">
        <v>54</v>
      </c>
      <c r="J69" s="17" t="s">
        <v>121</v>
      </c>
      <c r="K69" s="17" t="s">
        <v>56</v>
      </c>
      <c r="L69" s="17" t="s">
        <v>93</v>
      </c>
      <c r="M69" s="17" t="s">
        <v>58</v>
      </c>
      <c r="N69" s="17" t="s">
        <v>93</v>
      </c>
      <c r="O69" s="17" t="s">
        <v>57</v>
      </c>
      <c r="P69" s="17" t="s">
        <v>58</v>
      </c>
      <c r="Q69" s="17" t="s">
        <v>57</v>
      </c>
      <c r="R69" s="17" t="s">
        <v>135</v>
      </c>
      <c r="S69" s="17" t="s">
        <v>136</v>
      </c>
      <c r="T69" s="17" t="s">
        <v>137</v>
      </c>
      <c r="U69" s="17" t="s">
        <v>138</v>
      </c>
      <c r="V69" s="17"/>
      <c r="W69" s="17"/>
      <c r="X69" s="17" t="s">
        <v>139</v>
      </c>
      <c r="Y69" s="17"/>
      <c r="Z69" s="17"/>
      <c r="AA69" s="17"/>
      <c r="AB69" s="17" t="s">
        <v>140</v>
      </c>
      <c r="AC69" s="17"/>
      <c r="AD69" s="17"/>
      <c r="AE69" s="17"/>
      <c r="AF69" s="17"/>
      <c r="AG69" s="17"/>
      <c r="AH69" s="17" t="s">
        <v>100</v>
      </c>
      <c r="AI69" s="17"/>
      <c r="AJ69" s="17" t="s">
        <v>165</v>
      </c>
      <c r="AK69" s="17" t="s">
        <v>152</v>
      </c>
      <c r="AL69" s="17" t="s">
        <v>101</v>
      </c>
      <c r="AM69" s="18"/>
      <c r="AN69" s="18"/>
      <c r="AO69" s="18"/>
      <c r="AP69" s="18"/>
      <c r="AQ69" s="18" t="s">
        <v>141</v>
      </c>
      <c r="AR69" s="18"/>
      <c r="AS69" s="17"/>
      <c r="AT69" s="17"/>
      <c r="AU69" s="17" t="s">
        <v>690</v>
      </c>
      <c r="AV69" s="17">
        <v>180</v>
      </c>
      <c r="AW69" s="17">
        <v>35</v>
      </c>
    </row>
    <row r="70" spans="1:49" x14ac:dyDescent="0.2">
      <c r="A70" s="8" t="s">
        <v>704</v>
      </c>
      <c r="B70" s="8">
        <v>2019</v>
      </c>
      <c r="C70" s="8" t="s">
        <v>118</v>
      </c>
      <c r="D70" s="8" t="s">
        <v>191</v>
      </c>
      <c r="E70" s="8" t="s">
        <v>192</v>
      </c>
      <c r="F70" s="8" t="s">
        <v>258</v>
      </c>
      <c r="G70" s="8" t="s">
        <v>705</v>
      </c>
      <c r="H70" s="8" t="s">
        <v>706</v>
      </c>
      <c r="I70" s="8" t="s">
        <v>706</v>
      </c>
      <c r="J70" s="8" t="s">
        <v>707</v>
      </c>
      <c r="K70" s="8" t="s">
        <v>56</v>
      </c>
      <c r="L70" s="8" t="s">
        <v>93</v>
      </c>
      <c r="M70" s="8" t="s">
        <v>57</v>
      </c>
      <c r="N70" s="8" t="s">
        <v>93</v>
      </c>
      <c r="O70" s="8" t="s">
        <v>58</v>
      </c>
      <c r="P70" s="8" t="s">
        <v>58</v>
      </c>
      <c r="Q70" s="8" t="s">
        <v>57</v>
      </c>
      <c r="R70" s="8" t="s">
        <v>722</v>
      </c>
      <c r="S70" s="10">
        <v>0.76700000000000002</v>
      </c>
      <c r="T70" s="8" t="s">
        <v>728</v>
      </c>
      <c r="U70" s="10">
        <v>0.83330000000000004</v>
      </c>
      <c r="V70" s="8"/>
      <c r="W70" s="8"/>
      <c r="X70" s="8" t="s">
        <v>737</v>
      </c>
      <c r="Y70" s="8"/>
      <c r="Z70" s="8"/>
      <c r="AA70" s="8" t="s">
        <v>395</v>
      </c>
      <c r="AB70" s="8"/>
      <c r="AC70" s="8"/>
      <c r="AD70" s="8"/>
      <c r="AE70" s="8"/>
      <c r="AF70" s="8"/>
      <c r="AG70" s="8"/>
      <c r="AH70" s="8"/>
      <c r="AI70" s="8"/>
      <c r="AJ70" s="17" t="s">
        <v>766</v>
      </c>
      <c r="AK70" s="17" t="s">
        <v>778</v>
      </c>
      <c r="AL70" s="17" t="s">
        <v>67</v>
      </c>
      <c r="AM70" s="17">
        <v>41.79</v>
      </c>
      <c r="AN70" s="17">
        <v>30</v>
      </c>
      <c r="AO70" s="17">
        <v>9.0239999999999991</v>
      </c>
      <c r="AP70" s="17">
        <v>44.87</v>
      </c>
      <c r="AQ70" s="17">
        <v>26</v>
      </c>
      <c r="AR70" s="17">
        <v>8.94</v>
      </c>
      <c r="AS70" s="17"/>
      <c r="AT70" s="8"/>
      <c r="AU70" s="8" t="s">
        <v>748</v>
      </c>
      <c r="AV70" s="8">
        <v>112</v>
      </c>
      <c r="AW70" s="8">
        <v>112</v>
      </c>
    </row>
    <row r="71" spans="1:49" x14ac:dyDescent="0.2">
      <c r="A71" s="8" t="s">
        <v>704</v>
      </c>
      <c r="B71" s="8">
        <v>2019</v>
      </c>
      <c r="C71" s="8" t="s">
        <v>87</v>
      </c>
      <c r="D71" s="8" t="s">
        <v>88</v>
      </c>
      <c r="E71" s="8" t="s">
        <v>88</v>
      </c>
      <c r="F71" s="8" t="s">
        <v>258</v>
      </c>
      <c r="G71" s="8" t="s">
        <v>705</v>
      </c>
      <c r="H71" s="8" t="s">
        <v>706</v>
      </c>
      <c r="I71" s="8" t="s">
        <v>706</v>
      </c>
      <c r="J71" s="8" t="s">
        <v>707</v>
      </c>
      <c r="K71" s="8" t="s">
        <v>56</v>
      </c>
      <c r="L71" s="8" t="s">
        <v>93</v>
      </c>
      <c r="M71" s="8" t="s">
        <v>57</v>
      </c>
      <c r="N71" s="8" t="s">
        <v>93</v>
      </c>
      <c r="O71" s="8" t="s">
        <v>58</v>
      </c>
      <c r="P71" s="8" t="s">
        <v>58</v>
      </c>
      <c r="Q71" s="8" t="s">
        <v>57</v>
      </c>
      <c r="R71" s="8" t="s">
        <v>723</v>
      </c>
      <c r="S71" s="10">
        <v>0.67700000000000005</v>
      </c>
      <c r="T71" s="8" t="s">
        <v>729</v>
      </c>
      <c r="U71" s="10">
        <v>0.74229999999999996</v>
      </c>
      <c r="V71" s="8"/>
      <c r="W71" s="8"/>
      <c r="X71" s="8" t="s">
        <v>738</v>
      </c>
      <c r="Y71" s="8"/>
      <c r="Z71" s="8"/>
      <c r="AA71" s="8" t="s">
        <v>395</v>
      </c>
      <c r="AB71" s="8"/>
      <c r="AC71" s="8"/>
      <c r="AD71" s="8"/>
      <c r="AE71" s="8"/>
      <c r="AF71" s="8"/>
      <c r="AG71" s="8"/>
      <c r="AH71" s="8"/>
      <c r="AI71" s="8"/>
      <c r="AJ71" s="17" t="s">
        <v>766</v>
      </c>
      <c r="AK71" s="17" t="s">
        <v>778</v>
      </c>
      <c r="AL71" s="17" t="s">
        <v>67</v>
      </c>
      <c r="AM71" s="17">
        <v>42.18</v>
      </c>
      <c r="AN71" s="17">
        <v>31</v>
      </c>
      <c r="AO71" s="17">
        <v>10.52</v>
      </c>
      <c r="AP71" s="17">
        <v>39.47</v>
      </c>
      <c r="AQ71" s="17">
        <v>28</v>
      </c>
      <c r="AR71" s="17">
        <v>9.39</v>
      </c>
      <c r="AS71" s="17"/>
      <c r="AT71" s="8"/>
      <c r="AU71" s="8" t="s">
        <v>748</v>
      </c>
      <c r="AV71" s="8">
        <v>112</v>
      </c>
      <c r="AW71" s="8">
        <v>112</v>
      </c>
    </row>
    <row r="72" spans="1:49" x14ac:dyDescent="0.2">
      <c r="A72" s="17" t="s">
        <v>117</v>
      </c>
      <c r="B72" s="17">
        <v>2011</v>
      </c>
      <c r="C72" s="17" t="s">
        <v>118</v>
      </c>
      <c r="D72" s="17" t="s">
        <v>105</v>
      </c>
      <c r="E72" s="17" t="s">
        <v>106</v>
      </c>
      <c r="F72" s="17" t="s">
        <v>119</v>
      </c>
      <c r="G72" s="17" t="s">
        <v>120</v>
      </c>
      <c r="H72" s="17" t="s">
        <v>91</v>
      </c>
      <c r="I72" s="17" t="s">
        <v>54</v>
      </c>
      <c r="J72" s="17" t="s">
        <v>121</v>
      </c>
      <c r="K72" s="17" t="s">
        <v>56</v>
      </c>
      <c r="L72" s="17" t="s">
        <v>93</v>
      </c>
      <c r="M72" s="17" t="s">
        <v>58</v>
      </c>
      <c r="N72" s="17" t="s">
        <v>93</v>
      </c>
      <c r="O72" s="17" t="s">
        <v>57</v>
      </c>
      <c r="P72" s="17" t="s">
        <v>58</v>
      </c>
      <c r="Q72" s="17" t="s">
        <v>57</v>
      </c>
      <c r="R72" s="17" t="s">
        <v>122</v>
      </c>
      <c r="S72" s="17" t="s">
        <v>123</v>
      </c>
      <c r="T72" s="17" t="s">
        <v>124</v>
      </c>
      <c r="U72" s="17" t="s">
        <v>125</v>
      </c>
      <c r="V72" s="17"/>
      <c r="W72" s="17"/>
      <c r="X72" s="17" t="s">
        <v>126</v>
      </c>
      <c r="Y72" s="17"/>
      <c r="Z72" s="17"/>
      <c r="AA72" s="17"/>
      <c r="AB72" s="17" t="s">
        <v>127</v>
      </c>
      <c r="AC72" s="17"/>
      <c r="AD72" s="17"/>
      <c r="AE72" s="17"/>
      <c r="AF72" s="17"/>
      <c r="AG72" s="17"/>
      <c r="AH72" s="17" t="s">
        <v>64</v>
      </c>
      <c r="AI72" s="17"/>
      <c r="AJ72" s="17" t="s">
        <v>147</v>
      </c>
      <c r="AK72" s="17" t="s">
        <v>143</v>
      </c>
      <c r="AL72" s="17" t="s">
        <v>101</v>
      </c>
      <c r="AM72" s="18"/>
      <c r="AN72" s="18"/>
      <c r="AO72" s="18"/>
      <c r="AP72" s="18" t="s">
        <v>148</v>
      </c>
      <c r="AQ72" s="18" t="s">
        <v>131</v>
      </c>
      <c r="AR72" s="18">
        <f>SQRT(AQ72+AQ73)*(AT72-AS72)*0.5/TINV(1-0.95,AQ72+AQ73-1)</f>
        <v>1.8483822536273884</v>
      </c>
      <c r="AS72" s="17" t="s">
        <v>149</v>
      </c>
      <c r="AT72" s="17" t="s">
        <v>150</v>
      </c>
      <c r="AU72" s="17" t="s">
        <v>690</v>
      </c>
      <c r="AV72" s="17">
        <v>180</v>
      </c>
      <c r="AW72" s="17">
        <v>35</v>
      </c>
    </row>
    <row r="73" spans="1:49" x14ac:dyDescent="0.2">
      <c r="A73" s="17" t="s">
        <v>117</v>
      </c>
      <c r="B73" s="17">
        <v>2011</v>
      </c>
      <c r="C73" s="17" t="s">
        <v>134</v>
      </c>
      <c r="D73" s="17" t="s">
        <v>88</v>
      </c>
      <c r="E73" s="17" t="s">
        <v>88</v>
      </c>
      <c r="F73" s="17" t="s">
        <v>119</v>
      </c>
      <c r="G73" s="17" t="s">
        <v>120</v>
      </c>
      <c r="H73" s="17" t="s">
        <v>91</v>
      </c>
      <c r="I73" s="17" t="s">
        <v>54</v>
      </c>
      <c r="J73" s="17" t="s">
        <v>121</v>
      </c>
      <c r="K73" s="17" t="s">
        <v>56</v>
      </c>
      <c r="L73" s="17" t="s">
        <v>93</v>
      </c>
      <c r="M73" s="17" t="s">
        <v>58</v>
      </c>
      <c r="N73" s="17" t="s">
        <v>93</v>
      </c>
      <c r="O73" s="17" t="s">
        <v>57</v>
      </c>
      <c r="P73" s="17" t="s">
        <v>58</v>
      </c>
      <c r="Q73" s="17" t="s">
        <v>57</v>
      </c>
      <c r="R73" s="17" t="s">
        <v>135</v>
      </c>
      <c r="S73" s="17" t="s">
        <v>136</v>
      </c>
      <c r="T73" s="17" t="s">
        <v>137</v>
      </c>
      <c r="U73" s="17" t="s">
        <v>138</v>
      </c>
      <c r="V73" s="17"/>
      <c r="W73" s="17"/>
      <c r="X73" s="17" t="s">
        <v>139</v>
      </c>
      <c r="Y73" s="17"/>
      <c r="Z73" s="17"/>
      <c r="AA73" s="17"/>
      <c r="AB73" s="17" t="s">
        <v>140</v>
      </c>
      <c r="AC73" s="17"/>
      <c r="AD73" s="17"/>
      <c r="AE73" s="17"/>
      <c r="AF73" s="17"/>
      <c r="AG73" s="17"/>
      <c r="AH73" s="17" t="s">
        <v>100</v>
      </c>
      <c r="AI73" s="17"/>
      <c r="AJ73" s="17" t="s">
        <v>147</v>
      </c>
      <c r="AK73" s="17" t="s">
        <v>143</v>
      </c>
      <c r="AL73" s="17" t="s">
        <v>101</v>
      </c>
      <c r="AM73" s="18"/>
      <c r="AN73" s="18"/>
      <c r="AO73" s="18"/>
      <c r="AP73" s="18"/>
      <c r="AQ73" s="18" t="s">
        <v>141</v>
      </c>
      <c r="AR73" s="18"/>
      <c r="AS73" s="17"/>
      <c r="AT73" s="17"/>
      <c r="AU73" s="17" t="s">
        <v>690</v>
      </c>
      <c r="AV73" s="17">
        <v>180</v>
      </c>
      <c r="AW73" s="17">
        <v>35</v>
      </c>
    </row>
    <row r="74" spans="1:49" x14ac:dyDescent="0.2">
      <c r="A74" s="8" t="s">
        <v>704</v>
      </c>
      <c r="B74" s="8">
        <v>2019</v>
      </c>
      <c r="C74" s="8" t="s">
        <v>118</v>
      </c>
      <c r="D74" s="8" t="s">
        <v>191</v>
      </c>
      <c r="E74" s="8" t="s">
        <v>192</v>
      </c>
      <c r="F74" s="8" t="s">
        <v>258</v>
      </c>
      <c r="G74" s="8" t="s">
        <v>705</v>
      </c>
      <c r="H74" s="8" t="s">
        <v>706</v>
      </c>
      <c r="I74" s="8" t="s">
        <v>706</v>
      </c>
      <c r="J74" s="8" t="s">
        <v>707</v>
      </c>
      <c r="K74" s="8" t="s">
        <v>56</v>
      </c>
      <c r="L74" s="8" t="s">
        <v>93</v>
      </c>
      <c r="M74" s="8" t="s">
        <v>57</v>
      </c>
      <c r="N74" s="8" t="s">
        <v>93</v>
      </c>
      <c r="O74" s="8" t="s">
        <v>58</v>
      </c>
      <c r="P74" s="8" t="s">
        <v>58</v>
      </c>
      <c r="Q74" s="8" t="s">
        <v>57</v>
      </c>
      <c r="R74" s="8" t="s">
        <v>722</v>
      </c>
      <c r="S74" s="10">
        <v>0.76700000000000002</v>
      </c>
      <c r="T74" s="8" t="s">
        <v>728</v>
      </c>
      <c r="U74" s="10">
        <v>0.83330000000000004</v>
      </c>
      <c r="V74" s="8"/>
      <c r="W74" s="8"/>
      <c r="X74" s="8" t="s">
        <v>737</v>
      </c>
      <c r="Y74" s="8"/>
      <c r="Z74" s="8"/>
      <c r="AA74" s="8" t="s">
        <v>395</v>
      </c>
      <c r="AB74" s="8"/>
      <c r="AC74" s="8"/>
      <c r="AD74" s="8"/>
      <c r="AE74" s="8"/>
      <c r="AF74" s="8"/>
      <c r="AG74" s="8"/>
      <c r="AH74" s="8"/>
      <c r="AI74" s="8"/>
      <c r="AJ74" s="17" t="s">
        <v>760</v>
      </c>
      <c r="AK74" s="17" t="s">
        <v>759</v>
      </c>
      <c r="AL74" s="17" t="s">
        <v>67</v>
      </c>
      <c r="AM74" s="17">
        <v>41.75</v>
      </c>
      <c r="AN74" s="17">
        <v>30</v>
      </c>
      <c r="AO74" s="17">
        <v>10</v>
      </c>
      <c r="AP74" s="17">
        <v>45.41</v>
      </c>
      <c r="AQ74" s="17">
        <v>26</v>
      </c>
      <c r="AR74" s="17">
        <v>7.94</v>
      </c>
      <c r="AS74" s="17"/>
      <c r="AT74" s="8"/>
      <c r="AU74" s="8" t="s">
        <v>748</v>
      </c>
      <c r="AV74" s="8">
        <v>112</v>
      </c>
      <c r="AW74" s="8">
        <v>112</v>
      </c>
    </row>
    <row r="75" spans="1:49" x14ac:dyDescent="0.2">
      <c r="A75" s="8" t="s">
        <v>704</v>
      </c>
      <c r="B75" s="8">
        <v>2019</v>
      </c>
      <c r="C75" s="8" t="s">
        <v>87</v>
      </c>
      <c r="D75" s="8" t="s">
        <v>88</v>
      </c>
      <c r="E75" s="8" t="s">
        <v>88</v>
      </c>
      <c r="F75" s="8" t="s">
        <v>258</v>
      </c>
      <c r="G75" s="8" t="s">
        <v>705</v>
      </c>
      <c r="H75" s="8" t="s">
        <v>706</v>
      </c>
      <c r="I75" s="8" t="s">
        <v>706</v>
      </c>
      <c r="J75" s="8" t="s">
        <v>707</v>
      </c>
      <c r="K75" s="8" t="s">
        <v>56</v>
      </c>
      <c r="L75" s="8" t="s">
        <v>93</v>
      </c>
      <c r="M75" s="8" t="s">
        <v>57</v>
      </c>
      <c r="N75" s="8" t="s">
        <v>93</v>
      </c>
      <c r="O75" s="8" t="s">
        <v>58</v>
      </c>
      <c r="P75" s="8" t="s">
        <v>58</v>
      </c>
      <c r="Q75" s="8" t="s">
        <v>57</v>
      </c>
      <c r="R75" s="8" t="s">
        <v>723</v>
      </c>
      <c r="S75" s="10">
        <v>0.67700000000000005</v>
      </c>
      <c r="T75" s="8" t="s">
        <v>729</v>
      </c>
      <c r="U75" s="10">
        <v>0.74229999999999996</v>
      </c>
      <c r="V75" s="8"/>
      <c r="W75" s="8"/>
      <c r="X75" s="8" t="s">
        <v>738</v>
      </c>
      <c r="Y75" s="8"/>
      <c r="Z75" s="8"/>
      <c r="AA75" s="8" t="s">
        <v>395</v>
      </c>
      <c r="AB75" s="8"/>
      <c r="AC75" s="8"/>
      <c r="AD75" s="8"/>
      <c r="AE75" s="8"/>
      <c r="AF75" s="8"/>
      <c r="AG75" s="8"/>
      <c r="AH75" s="8"/>
      <c r="AI75" s="8"/>
      <c r="AJ75" s="17" t="s">
        <v>760</v>
      </c>
      <c r="AK75" s="17" t="s">
        <v>759</v>
      </c>
      <c r="AL75" s="17" t="s">
        <v>67</v>
      </c>
      <c r="AM75" s="17">
        <v>41.59</v>
      </c>
      <c r="AN75" s="17">
        <v>31</v>
      </c>
      <c r="AO75" s="17">
        <v>9.7799999999999994</v>
      </c>
      <c r="AP75" s="17">
        <v>37.74</v>
      </c>
      <c r="AQ75" s="17">
        <v>28</v>
      </c>
      <c r="AR75" s="17">
        <v>10.77</v>
      </c>
      <c r="AS75" s="17"/>
      <c r="AT75" s="8"/>
      <c r="AU75" s="8" t="s">
        <v>748</v>
      </c>
      <c r="AV75" s="8">
        <v>112</v>
      </c>
      <c r="AW75" s="8">
        <v>112</v>
      </c>
    </row>
    <row r="76" spans="1:49" x14ac:dyDescent="0.2">
      <c r="A76" s="17" t="s">
        <v>332</v>
      </c>
      <c r="B76" s="17">
        <v>2018</v>
      </c>
      <c r="C76" s="17" t="s">
        <v>333</v>
      </c>
      <c r="D76" s="17" t="s">
        <v>49</v>
      </c>
      <c r="E76" s="17" t="s">
        <v>75</v>
      </c>
      <c r="F76" s="17" t="s">
        <v>334</v>
      </c>
      <c r="G76" s="17" t="s">
        <v>335</v>
      </c>
      <c r="H76" s="17" t="s">
        <v>91</v>
      </c>
      <c r="I76" s="17" t="s">
        <v>54</v>
      </c>
      <c r="J76" s="17" t="s">
        <v>92</v>
      </c>
      <c r="K76" s="17" t="s">
        <v>56</v>
      </c>
      <c r="L76" s="17" t="s">
        <v>58</v>
      </c>
      <c r="M76" s="17" t="s">
        <v>58</v>
      </c>
      <c r="N76" s="17" t="s">
        <v>93</v>
      </c>
      <c r="O76" s="17" t="s">
        <v>57</v>
      </c>
      <c r="P76" s="17" t="s">
        <v>58</v>
      </c>
      <c r="Q76" s="17" t="s">
        <v>57</v>
      </c>
      <c r="R76" s="17"/>
      <c r="S76" s="17"/>
      <c r="T76" s="17" t="s">
        <v>336</v>
      </c>
      <c r="U76" s="17" t="s">
        <v>337</v>
      </c>
      <c r="V76" s="17"/>
      <c r="W76" s="17"/>
      <c r="X76" s="17" t="s">
        <v>338</v>
      </c>
      <c r="Y76" s="17"/>
      <c r="Z76" s="17"/>
      <c r="AA76" s="17"/>
      <c r="AB76" s="17" t="s">
        <v>339</v>
      </c>
      <c r="AC76" s="17"/>
      <c r="AD76" s="17"/>
      <c r="AE76" s="17"/>
      <c r="AF76" s="17"/>
      <c r="AG76" s="17"/>
      <c r="AH76" s="17" t="s">
        <v>64</v>
      </c>
      <c r="AI76" s="17"/>
      <c r="AJ76" s="17" t="s">
        <v>775</v>
      </c>
      <c r="AK76" s="17" t="s">
        <v>675</v>
      </c>
      <c r="AL76" s="17" t="s">
        <v>67</v>
      </c>
      <c r="AM76" s="18" t="s">
        <v>340</v>
      </c>
      <c r="AN76" s="18" t="s">
        <v>341</v>
      </c>
      <c r="AO76" s="18" t="s">
        <v>342</v>
      </c>
      <c r="AP76" s="18" t="s">
        <v>343</v>
      </c>
      <c r="AQ76" s="18" t="s">
        <v>341</v>
      </c>
      <c r="AR76" s="18" t="s">
        <v>344</v>
      </c>
      <c r="AS76" s="17"/>
      <c r="AT76" s="17"/>
      <c r="AU76" s="17" t="s">
        <v>345</v>
      </c>
      <c r="AV76" s="17">
        <f>12*7</f>
        <v>84</v>
      </c>
      <c r="AW76" s="17">
        <v>35</v>
      </c>
    </row>
    <row r="77" spans="1:49" x14ac:dyDescent="0.2">
      <c r="A77" s="17" t="s">
        <v>332</v>
      </c>
      <c r="B77" s="17">
        <v>2018</v>
      </c>
      <c r="C77" s="17" t="s">
        <v>346</v>
      </c>
      <c r="D77" s="17" t="s">
        <v>88</v>
      </c>
      <c r="E77" s="17" t="s">
        <v>88</v>
      </c>
      <c r="F77" s="17" t="s">
        <v>334</v>
      </c>
      <c r="G77" s="17" t="s">
        <v>335</v>
      </c>
      <c r="H77" s="17" t="s">
        <v>91</v>
      </c>
      <c r="I77" s="17" t="s">
        <v>54</v>
      </c>
      <c r="J77" s="17" t="s">
        <v>92</v>
      </c>
      <c r="K77" s="17" t="s">
        <v>56</v>
      </c>
      <c r="L77" s="17" t="s">
        <v>58</v>
      </c>
      <c r="M77" s="17" t="s">
        <v>58</v>
      </c>
      <c r="N77" s="17" t="s">
        <v>93</v>
      </c>
      <c r="O77" s="17" t="s">
        <v>57</v>
      </c>
      <c r="P77" s="17" t="s">
        <v>58</v>
      </c>
      <c r="Q77" s="17" t="s">
        <v>57</v>
      </c>
      <c r="R77" s="17"/>
      <c r="S77" s="17"/>
      <c r="T77" s="17" t="s">
        <v>347</v>
      </c>
      <c r="U77" s="17" t="s">
        <v>348</v>
      </c>
      <c r="V77" s="17"/>
      <c r="W77" s="17"/>
      <c r="X77" s="17" t="s">
        <v>349</v>
      </c>
      <c r="Y77" s="17"/>
      <c r="Z77" s="17"/>
      <c r="AA77" s="17"/>
      <c r="AB77" s="17" t="s">
        <v>350</v>
      </c>
      <c r="AC77" s="17"/>
      <c r="AD77" s="17"/>
      <c r="AE77" s="17"/>
      <c r="AF77" s="17"/>
      <c r="AG77" s="17"/>
      <c r="AH77" s="17" t="s">
        <v>100</v>
      </c>
      <c r="AI77" s="17"/>
      <c r="AJ77" s="17" t="s">
        <v>775</v>
      </c>
      <c r="AK77" s="17" t="s">
        <v>675</v>
      </c>
      <c r="AL77" s="17" t="s">
        <v>67</v>
      </c>
      <c r="AM77" s="18" t="s">
        <v>351</v>
      </c>
      <c r="AN77" s="18" t="s">
        <v>341</v>
      </c>
      <c r="AO77" s="18" t="s">
        <v>352</v>
      </c>
      <c r="AP77" s="18" t="s">
        <v>353</v>
      </c>
      <c r="AQ77" s="18" t="s">
        <v>341</v>
      </c>
      <c r="AR77" s="18" t="s">
        <v>354</v>
      </c>
      <c r="AS77" s="17"/>
      <c r="AT77" s="17"/>
      <c r="AU77" s="17" t="s">
        <v>345</v>
      </c>
      <c r="AV77" s="17">
        <f>12*7</f>
        <v>84</v>
      </c>
      <c r="AW77" s="17">
        <v>35</v>
      </c>
    </row>
    <row r="78" spans="1:49" x14ac:dyDescent="0.2">
      <c r="A78" s="17" t="s">
        <v>332</v>
      </c>
      <c r="B78" s="17">
        <v>2018</v>
      </c>
      <c r="C78" s="17" t="s">
        <v>333</v>
      </c>
      <c r="D78" s="17" t="s">
        <v>49</v>
      </c>
      <c r="E78" s="17" t="s">
        <v>75</v>
      </c>
      <c r="F78" s="17" t="s">
        <v>334</v>
      </c>
      <c r="G78" s="17" t="s">
        <v>335</v>
      </c>
      <c r="H78" s="17" t="s">
        <v>91</v>
      </c>
      <c r="I78" s="17" t="s">
        <v>54</v>
      </c>
      <c r="J78" s="17" t="s">
        <v>92</v>
      </c>
      <c r="K78" s="17" t="s">
        <v>56</v>
      </c>
      <c r="L78" s="17" t="s">
        <v>58</v>
      </c>
      <c r="M78" s="17" t="s">
        <v>58</v>
      </c>
      <c r="N78" s="17" t="s">
        <v>93</v>
      </c>
      <c r="O78" s="17" t="s">
        <v>57</v>
      </c>
      <c r="P78" s="17" t="s">
        <v>58</v>
      </c>
      <c r="Q78" s="17" t="s">
        <v>57</v>
      </c>
      <c r="R78" s="17"/>
      <c r="S78" s="17"/>
      <c r="T78" s="17" t="s">
        <v>336</v>
      </c>
      <c r="U78" s="17" t="s">
        <v>337</v>
      </c>
      <c r="V78" s="17"/>
      <c r="W78" s="17"/>
      <c r="X78" s="17" t="s">
        <v>338</v>
      </c>
      <c r="Y78" s="17"/>
      <c r="Z78" s="17"/>
      <c r="AA78" s="17"/>
      <c r="AB78" s="17" t="s">
        <v>339</v>
      </c>
      <c r="AC78" s="17"/>
      <c r="AD78" s="17"/>
      <c r="AE78" s="17"/>
      <c r="AF78" s="17"/>
      <c r="AG78" s="17"/>
      <c r="AH78" s="17" t="s">
        <v>64</v>
      </c>
      <c r="AI78" s="17"/>
      <c r="AJ78" s="17" t="s">
        <v>775</v>
      </c>
      <c r="AK78" s="17" t="s">
        <v>675</v>
      </c>
      <c r="AL78" s="17" t="s">
        <v>67</v>
      </c>
      <c r="AM78" s="18" t="s">
        <v>340</v>
      </c>
      <c r="AN78" s="18" t="s">
        <v>341</v>
      </c>
      <c r="AO78" s="18" t="s">
        <v>342</v>
      </c>
      <c r="AP78" s="18" t="s">
        <v>340</v>
      </c>
      <c r="AQ78" s="18" t="s">
        <v>341</v>
      </c>
      <c r="AR78" s="18" t="s">
        <v>342</v>
      </c>
      <c r="AS78" s="17"/>
      <c r="AT78" s="17"/>
      <c r="AU78" s="17" t="s">
        <v>359</v>
      </c>
      <c r="AV78" s="17">
        <v>140</v>
      </c>
      <c r="AW78" s="17">
        <v>35</v>
      </c>
    </row>
    <row r="79" spans="1:49" x14ac:dyDescent="0.2">
      <c r="A79" s="17" t="s">
        <v>332</v>
      </c>
      <c r="B79" s="17">
        <v>2018</v>
      </c>
      <c r="C79" s="17" t="s">
        <v>346</v>
      </c>
      <c r="D79" s="17" t="s">
        <v>88</v>
      </c>
      <c r="E79" s="17" t="s">
        <v>88</v>
      </c>
      <c r="F79" s="17" t="s">
        <v>334</v>
      </c>
      <c r="G79" s="17" t="s">
        <v>335</v>
      </c>
      <c r="H79" s="17" t="s">
        <v>91</v>
      </c>
      <c r="I79" s="17" t="s">
        <v>54</v>
      </c>
      <c r="J79" s="17" t="s">
        <v>92</v>
      </c>
      <c r="K79" s="17" t="s">
        <v>56</v>
      </c>
      <c r="L79" s="17" t="s">
        <v>58</v>
      </c>
      <c r="M79" s="17" t="s">
        <v>58</v>
      </c>
      <c r="N79" s="17" t="s">
        <v>93</v>
      </c>
      <c r="O79" s="17" t="s">
        <v>57</v>
      </c>
      <c r="P79" s="17" t="s">
        <v>58</v>
      </c>
      <c r="Q79" s="17" t="s">
        <v>57</v>
      </c>
      <c r="R79" s="17"/>
      <c r="S79" s="17"/>
      <c r="T79" s="17" t="s">
        <v>347</v>
      </c>
      <c r="U79" s="17" t="s">
        <v>348</v>
      </c>
      <c r="V79" s="17"/>
      <c r="W79" s="17"/>
      <c r="X79" s="17" t="s">
        <v>349</v>
      </c>
      <c r="Y79" s="17"/>
      <c r="Z79" s="17"/>
      <c r="AA79" s="17"/>
      <c r="AB79" s="17" t="s">
        <v>350</v>
      </c>
      <c r="AC79" s="17"/>
      <c r="AD79" s="17"/>
      <c r="AE79" s="17"/>
      <c r="AF79" s="17"/>
      <c r="AG79" s="17"/>
      <c r="AH79" s="17" t="s">
        <v>100</v>
      </c>
      <c r="AI79" s="17"/>
      <c r="AJ79" s="17" t="s">
        <v>775</v>
      </c>
      <c r="AK79" s="17" t="s">
        <v>675</v>
      </c>
      <c r="AL79" s="17" t="s">
        <v>67</v>
      </c>
      <c r="AM79" s="18" t="s">
        <v>351</v>
      </c>
      <c r="AN79" s="18" t="s">
        <v>341</v>
      </c>
      <c r="AO79" s="18" t="s">
        <v>352</v>
      </c>
      <c r="AP79" s="18" t="s">
        <v>351</v>
      </c>
      <c r="AQ79" s="18" t="s">
        <v>341</v>
      </c>
      <c r="AR79" s="18" t="s">
        <v>352</v>
      </c>
      <c r="AS79" s="17"/>
      <c r="AT79" s="17"/>
      <c r="AU79" s="17" t="s">
        <v>359</v>
      </c>
      <c r="AV79" s="17">
        <v>140</v>
      </c>
      <c r="AW79" s="17">
        <v>35</v>
      </c>
    </row>
    <row r="80" spans="1:49" x14ac:dyDescent="0.2">
      <c r="A80" s="17" t="s">
        <v>332</v>
      </c>
      <c r="B80" s="17">
        <v>2018</v>
      </c>
      <c r="C80" s="17" t="s">
        <v>333</v>
      </c>
      <c r="D80" s="17" t="s">
        <v>49</v>
      </c>
      <c r="E80" s="17" t="s">
        <v>75</v>
      </c>
      <c r="F80" s="17" t="s">
        <v>334</v>
      </c>
      <c r="G80" s="17" t="s">
        <v>335</v>
      </c>
      <c r="H80" s="17" t="s">
        <v>91</v>
      </c>
      <c r="I80" s="17" t="s">
        <v>54</v>
      </c>
      <c r="J80" s="17" t="s">
        <v>92</v>
      </c>
      <c r="K80" s="17" t="s">
        <v>56</v>
      </c>
      <c r="L80" s="17" t="s">
        <v>58</v>
      </c>
      <c r="M80" s="17" t="s">
        <v>58</v>
      </c>
      <c r="N80" s="17" t="s">
        <v>93</v>
      </c>
      <c r="O80" s="17" t="s">
        <v>57</v>
      </c>
      <c r="P80" s="17" t="s">
        <v>58</v>
      </c>
      <c r="Q80" s="17" t="s">
        <v>57</v>
      </c>
      <c r="R80" s="17"/>
      <c r="S80" s="17"/>
      <c r="T80" s="17" t="s">
        <v>336</v>
      </c>
      <c r="U80" s="17" t="s">
        <v>337</v>
      </c>
      <c r="V80" s="17"/>
      <c r="W80" s="17"/>
      <c r="X80" s="17" t="s">
        <v>338</v>
      </c>
      <c r="Y80" s="17"/>
      <c r="Z80" s="17"/>
      <c r="AA80" s="17"/>
      <c r="AB80" s="17" t="s">
        <v>339</v>
      </c>
      <c r="AC80" s="17"/>
      <c r="AD80" s="17"/>
      <c r="AE80" s="17"/>
      <c r="AF80" s="17"/>
      <c r="AG80" s="17"/>
      <c r="AH80" s="17" t="s">
        <v>64</v>
      </c>
      <c r="AI80" s="17"/>
      <c r="AJ80" s="17" t="s">
        <v>775</v>
      </c>
      <c r="AK80" s="17" t="s">
        <v>675</v>
      </c>
      <c r="AL80" s="17" t="s">
        <v>67</v>
      </c>
      <c r="AM80" s="18" t="s">
        <v>340</v>
      </c>
      <c r="AN80" s="18" t="s">
        <v>341</v>
      </c>
      <c r="AO80" s="18" t="s">
        <v>342</v>
      </c>
      <c r="AP80" s="18" t="s">
        <v>355</v>
      </c>
      <c r="AQ80" s="18" t="s">
        <v>341</v>
      </c>
      <c r="AR80" s="18" t="s">
        <v>356</v>
      </c>
      <c r="AS80" s="17"/>
      <c r="AT80" s="17"/>
      <c r="AU80" s="17" t="s">
        <v>73</v>
      </c>
      <c r="AV80" s="17">
        <v>56</v>
      </c>
      <c r="AW80" s="17">
        <v>35</v>
      </c>
    </row>
    <row r="81" spans="1:49" x14ac:dyDescent="0.2">
      <c r="A81" s="17" t="s">
        <v>332</v>
      </c>
      <c r="B81" s="17">
        <v>2018</v>
      </c>
      <c r="C81" s="17" t="s">
        <v>346</v>
      </c>
      <c r="D81" s="17" t="s">
        <v>88</v>
      </c>
      <c r="E81" s="17" t="s">
        <v>88</v>
      </c>
      <c r="F81" s="17" t="s">
        <v>334</v>
      </c>
      <c r="G81" s="17" t="s">
        <v>335</v>
      </c>
      <c r="H81" s="17" t="s">
        <v>91</v>
      </c>
      <c r="I81" s="17" t="s">
        <v>54</v>
      </c>
      <c r="J81" s="17" t="s">
        <v>92</v>
      </c>
      <c r="K81" s="17" t="s">
        <v>56</v>
      </c>
      <c r="L81" s="17" t="s">
        <v>58</v>
      </c>
      <c r="M81" s="17" t="s">
        <v>58</v>
      </c>
      <c r="N81" s="17" t="s">
        <v>93</v>
      </c>
      <c r="O81" s="17" t="s">
        <v>57</v>
      </c>
      <c r="P81" s="17" t="s">
        <v>58</v>
      </c>
      <c r="Q81" s="17" t="s">
        <v>57</v>
      </c>
      <c r="R81" s="17"/>
      <c r="S81" s="17"/>
      <c r="T81" s="17" t="s">
        <v>347</v>
      </c>
      <c r="U81" s="17" t="s">
        <v>348</v>
      </c>
      <c r="V81" s="17"/>
      <c r="W81" s="17"/>
      <c r="X81" s="17" t="s">
        <v>349</v>
      </c>
      <c r="Y81" s="17"/>
      <c r="Z81" s="17"/>
      <c r="AA81" s="17"/>
      <c r="AB81" s="17" t="s">
        <v>350</v>
      </c>
      <c r="AC81" s="17"/>
      <c r="AD81" s="17"/>
      <c r="AE81" s="17"/>
      <c r="AF81" s="17"/>
      <c r="AG81" s="17"/>
      <c r="AH81" s="17" t="s">
        <v>100</v>
      </c>
      <c r="AI81" s="17"/>
      <c r="AJ81" s="17" t="s">
        <v>775</v>
      </c>
      <c r="AK81" s="17" t="s">
        <v>675</v>
      </c>
      <c r="AL81" s="17" t="s">
        <v>67</v>
      </c>
      <c r="AM81" s="18" t="s">
        <v>351</v>
      </c>
      <c r="AN81" s="18" t="s">
        <v>341</v>
      </c>
      <c r="AO81" s="18" t="s">
        <v>352</v>
      </c>
      <c r="AP81" s="18" t="s">
        <v>357</v>
      </c>
      <c r="AQ81" s="18" t="s">
        <v>341</v>
      </c>
      <c r="AR81" s="18" t="s">
        <v>358</v>
      </c>
      <c r="AS81" s="17"/>
      <c r="AT81" s="17"/>
      <c r="AU81" s="17" t="s">
        <v>73</v>
      </c>
      <c r="AV81" s="17">
        <v>56</v>
      </c>
      <c r="AW81" s="17">
        <v>35</v>
      </c>
    </row>
    <row r="82" spans="1:49" x14ac:dyDescent="0.2">
      <c r="A82" s="17" t="s">
        <v>117</v>
      </c>
      <c r="B82" s="17">
        <v>2011</v>
      </c>
      <c r="C82" s="17" t="s">
        <v>118</v>
      </c>
      <c r="D82" s="17" t="s">
        <v>105</v>
      </c>
      <c r="E82" s="17" t="s">
        <v>106</v>
      </c>
      <c r="F82" s="17" t="s">
        <v>119</v>
      </c>
      <c r="G82" s="17" t="s">
        <v>120</v>
      </c>
      <c r="H82" s="17" t="s">
        <v>91</v>
      </c>
      <c r="I82" s="17" t="s">
        <v>54</v>
      </c>
      <c r="J82" s="17" t="s">
        <v>121</v>
      </c>
      <c r="K82" s="17" t="s">
        <v>56</v>
      </c>
      <c r="L82" s="17" t="s">
        <v>93</v>
      </c>
      <c r="M82" s="17" t="s">
        <v>58</v>
      </c>
      <c r="N82" s="17" t="s">
        <v>93</v>
      </c>
      <c r="O82" s="17" t="s">
        <v>57</v>
      </c>
      <c r="P82" s="17" t="s">
        <v>58</v>
      </c>
      <c r="Q82" s="17" t="s">
        <v>57</v>
      </c>
      <c r="R82" s="17" t="s">
        <v>122</v>
      </c>
      <c r="S82" s="17" t="s">
        <v>123</v>
      </c>
      <c r="T82" s="17" t="s">
        <v>124</v>
      </c>
      <c r="U82" s="17" t="s">
        <v>125</v>
      </c>
      <c r="V82" s="17"/>
      <c r="W82" s="17"/>
      <c r="X82" s="17" t="s">
        <v>126</v>
      </c>
      <c r="Y82" s="17"/>
      <c r="Z82" s="17"/>
      <c r="AA82" s="17"/>
      <c r="AB82" s="17" t="s">
        <v>127</v>
      </c>
      <c r="AC82" s="17"/>
      <c r="AD82" s="17"/>
      <c r="AE82" s="17"/>
      <c r="AF82" s="17"/>
      <c r="AG82" s="17"/>
      <c r="AH82" s="17" t="s">
        <v>64</v>
      </c>
      <c r="AI82" s="17"/>
      <c r="AJ82" s="17" t="s">
        <v>477</v>
      </c>
      <c r="AK82" s="17" t="s">
        <v>143</v>
      </c>
      <c r="AL82" s="17" t="s">
        <v>101</v>
      </c>
      <c r="AM82" s="18"/>
      <c r="AN82" s="18"/>
      <c r="AO82" s="18"/>
      <c r="AP82" s="18" t="s">
        <v>162</v>
      </c>
      <c r="AQ82" s="18" t="s">
        <v>131</v>
      </c>
      <c r="AR82" s="18">
        <f>SQRT(AQ82+AQ83)*(AT82-AS82)*0.5/TINV(1-0.95,AQ82+AQ83-1)</f>
        <v>2.0164170039571512</v>
      </c>
      <c r="AS82" s="17" t="s">
        <v>163</v>
      </c>
      <c r="AT82" s="17" t="s">
        <v>164</v>
      </c>
      <c r="AU82" s="17" t="s">
        <v>690</v>
      </c>
      <c r="AV82" s="17">
        <v>180</v>
      </c>
      <c r="AW82" s="17">
        <v>35</v>
      </c>
    </row>
    <row r="83" spans="1:49" x14ac:dyDescent="0.2">
      <c r="A83" s="17" t="s">
        <v>117</v>
      </c>
      <c r="B83" s="17">
        <v>2011</v>
      </c>
      <c r="C83" s="17" t="s">
        <v>134</v>
      </c>
      <c r="D83" s="17" t="s">
        <v>88</v>
      </c>
      <c r="E83" s="17" t="s">
        <v>88</v>
      </c>
      <c r="F83" s="17" t="s">
        <v>119</v>
      </c>
      <c r="G83" s="17" t="s">
        <v>120</v>
      </c>
      <c r="H83" s="17" t="s">
        <v>91</v>
      </c>
      <c r="I83" s="17" t="s">
        <v>54</v>
      </c>
      <c r="J83" s="17" t="s">
        <v>121</v>
      </c>
      <c r="K83" s="17" t="s">
        <v>56</v>
      </c>
      <c r="L83" s="17" t="s">
        <v>93</v>
      </c>
      <c r="M83" s="17" t="s">
        <v>58</v>
      </c>
      <c r="N83" s="17" t="s">
        <v>93</v>
      </c>
      <c r="O83" s="17" t="s">
        <v>57</v>
      </c>
      <c r="P83" s="17" t="s">
        <v>58</v>
      </c>
      <c r="Q83" s="17" t="s">
        <v>57</v>
      </c>
      <c r="R83" s="17" t="s">
        <v>135</v>
      </c>
      <c r="S83" s="17" t="s">
        <v>136</v>
      </c>
      <c r="T83" s="17" t="s">
        <v>137</v>
      </c>
      <c r="U83" s="17" t="s">
        <v>138</v>
      </c>
      <c r="V83" s="17"/>
      <c r="W83" s="17"/>
      <c r="X83" s="17" t="s">
        <v>139</v>
      </c>
      <c r="Y83" s="17"/>
      <c r="Z83" s="17"/>
      <c r="AA83" s="17"/>
      <c r="AB83" s="17" t="s">
        <v>140</v>
      </c>
      <c r="AC83" s="17"/>
      <c r="AD83" s="17"/>
      <c r="AE83" s="17"/>
      <c r="AF83" s="17"/>
      <c r="AG83" s="17"/>
      <c r="AH83" s="17" t="s">
        <v>100</v>
      </c>
      <c r="AI83" s="17"/>
      <c r="AJ83" s="17" t="s">
        <v>477</v>
      </c>
      <c r="AK83" s="17" t="s">
        <v>143</v>
      </c>
      <c r="AL83" s="17" t="s">
        <v>101</v>
      </c>
      <c r="AM83" s="18"/>
      <c r="AN83" s="18"/>
      <c r="AO83" s="18"/>
      <c r="AP83" s="18"/>
      <c r="AQ83" s="18" t="s">
        <v>141</v>
      </c>
      <c r="AR83" s="18"/>
      <c r="AS83" s="17"/>
      <c r="AT83" s="17"/>
      <c r="AU83" s="17" t="s">
        <v>690</v>
      </c>
      <c r="AV83" s="17">
        <v>180</v>
      </c>
      <c r="AW83" s="17">
        <v>35</v>
      </c>
    </row>
    <row r="84" spans="1:49" x14ac:dyDescent="0.2">
      <c r="A84" s="17" t="s">
        <v>226</v>
      </c>
      <c r="B84" s="17">
        <v>2017</v>
      </c>
      <c r="C84" s="17" t="s">
        <v>227</v>
      </c>
      <c r="D84" s="17" t="s">
        <v>105</v>
      </c>
      <c r="E84" s="17" t="s">
        <v>106</v>
      </c>
      <c r="F84" s="17" t="s">
        <v>175</v>
      </c>
      <c r="G84" s="17" t="s">
        <v>228</v>
      </c>
      <c r="H84" s="17" t="s">
        <v>91</v>
      </c>
      <c r="I84" s="17" t="s">
        <v>54</v>
      </c>
      <c r="J84" s="17" t="s">
        <v>121</v>
      </c>
      <c r="K84" s="17" t="s">
        <v>56</v>
      </c>
      <c r="L84" s="17" t="s">
        <v>58</v>
      </c>
      <c r="M84" s="17" t="s">
        <v>58</v>
      </c>
      <c r="N84" s="17" t="s">
        <v>93</v>
      </c>
      <c r="O84" s="17" t="s">
        <v>58</v>
      </c>
      <c r="P84" s="17" t="s">
        <v>58</v>
      </c>
      <c r="Q84" s="17" t="s">
        <v>58</v>
      </c>
      <c r="R84" s="17"/>
      <c r="S84" s="17"/>
      <c r="T84" s="17" t="s">
        <v>229</v>
      </c>
      <c r="U84" s="17" t="s">
        <v>230</v>
      </c>
      <c r="V84" s="17" t="s">
        <v>231</v>
      </c>
      <c r="W84" s="17"/>
      <c r="X84" s="17" t="s">
        <v>232</v>
      </c>
      <c r="Y84" s="17"/>
      <c r="Z84" s="17"/>
      <c r="AA84" s="17"/>
      <c r="AB84" s="17" t="s">
        <v>233</v>
      </c>
      <c r="AC84" s="17"/>
      <c r="AD84" s="17"/>
      <c r="AE84" s="17"/>
      <c r="AF84" s="17"/>
      <c r="AG84" s="17"/>
      <c r="AH84" s="17" t="s">
        <v>64</v>
      </c>
      <c r="AI84" s="17"/>
      <c r="AJ84" s="17" t="s">
        <v>477</v>
      </c>
      <c r="AK84" s="17" t="s">
        <v>143</v>
      </c>
      <c r="AL84" s="17" t="s">
        <v>67</v>
      </c>
      <c r="AM84" s="18"/>
      <c r="AN84" s="18"/>
      <c r="AO84" s="18" t="s">
        <v>250</v>
      </c>
      <c r="AP84" s="18" t="s">
        <v>251</v>
      </c>
      <c r="AQ84" s="18"/>
      <c r="AR84" s="18" t="s">
        <v>252</v>
      </c>
      <c r="AS84" s="17"/>
      <c r="AT84" s="17"/>
      <c r="AU84" s="17" t="s">
        <v>238</v>
      </c>
      <c r="AV84" s="17">
        <v>90</v>
      </c>
      <c r="AW84" s="17">
        <v>90</v>
      </c>
    </row>
    <row r="85" spans="1:49" x14ac:dyDescent="0.2">
      <c r="A85" s="17" t="s">
        <v>226</v>
      </c>
      <c r="B85" s="17">
        <v>2017</v>
      </c>
      <c r="C85" s="17" t="s">
        <v>239</v>
      </c>
      <c r="D85" s="17" t="s">
        <v>88</v>
      </c>
      <c r="E85" s="17" t="s">
        <v>88</v>
      </c>
      <c r="F85" s="17" t="s">
        <v>175</v>
      </c>
      <c r="G85" s="17" t="s">
        <v>228</v>
      </c>
      <c r="H85" s="17" t="s">
        <v>91</v>
      </c>
      <c r="I85" s="17" t="s">
        <v>54</v>
      </c>
      <c r="J85" s="17" t="s">
        <v>121</v>
      </c>
      <c r="K85" s="17" t="s">
        <v>56</v>
      </c>
      <c r="L85" s="17" t="s">
        <v>58</v>
      </c>
      <c r="M85" s="17" t="s">
        <v>58</v>
      </c>
      <c r="N85" s="17" t="s">
        <v>93</v>
      </c>
      <c r="O85" s="17" t="s">
        <v>58</v>
      </c>
      <c r="P85" s="17" t="s">
        <v>58</v>
      </c>
      <c r="Q85" s="17" t="s">
        <v>58</v>
      </c>
      <c r="R85" s="17"/>
      <c r="S85" s="17"/>
      <c r="T85" s="17" t="s">
        <v>240</v>
      </c>
      <c r="U85" s="17" t="s">
        <v>241</v>
      </c>
      <c r="V85" s="17" t="s">
        <v>242</v>
      </c>
      <c r="W85" s="17"/>
      <c r="X85" s="17" t="s">
        <v>243</v>
      </c>
      <c r="Y85" s="17"/>
      <c r="Z85" s="17"/>
      <c r="AA85" s="17"/>
      <c r="AB85" s="17" t="s">
        <v>244</v>
      </c>
      <c r="AC85" s="17"/>
      <c r="AD85" s="17"/>
      <c r="AE85" s="17"/>
      <c r="AF85" s="17"/>
      <c r="AG85" s="17"/>
      <c r="AH85" s="17" t="s">
        <v>245</v>
      </c>
      <c r="AI85" s="17"/>
      <c r="AJ85" s="17" t="s">
        <v>477</v>
      </c>
      <c r="AK85" s="17" t="s">
        <v>143</v>
      </c>
      <c r="AL85" s="17" t="s">
        <v>67</v>
      </c>
      <c r="AM85" s="18"/>
      <c r="AN85" s="18"/>
      <c r="AO85" s="18" t="s">
        <v>253</v>
      </c>
      <c r="AP85" s="18" t="s">
        <v>254</v>
      </c>
      <c r="AQ85" s="18"/>
      <c r="AR85" s="18" t="s">
        <v>255</v>
      </c>
      <c r="AS85" s="17"/>
      <c r="AT85" s="17"/>
      <c r="AU85" s="17" t="s">
        <v>238</v>
      </c>
      <c r="AV85" s="17">
        <v>90</v>
      </c>
      <c r="AW85" s="17">
        <v>90</v>
      </c>
    </row>
    <row r="86" spans="1:49" x14ac:dyDescent="0.2">
      <c r="A86" s="17" t="s">
        <v>303</v>
      </c>
      <c r="B86" s="17">
        <v>2014</v>
      </c>
      <c r="C86" s="17" t="s">
        <v>304</v>
      </c>
      <c r="D86" s="17" t="s">
        <v>88</v>
      </c>
      <c r="E86" s="17" t="s">
        <v>88</v>
      </c>
      <c r="F86" s="17" t="s">
        <v>279</v>
      </c>
      <c r="G86" s="17" t="s">
        <v>305</v>
      </c>
      <c r="H86" s="17" t="s">
        <v>53</v>
      </c>
      <c r="I86" s="17" t="s">
        <v>54</v>
      </c>
      <c r="J86" s="17" t="s">
        <v>260</v>
      </c>
      <c r="K86" s="17"/>
      <c r="L86" s="17" t="s">
        <v>57</v>
      </c>
      <c r="M86" s="17" t="s">
        <v>57</v>
      </c>
      <c r="N86" s="17" t="s">
        <v>57</v>
      </c>
      <c r="O86" s="17" t="s">
        <v>57</v>
      </c>
      <c r="P86" s="17" t="s">
        <v>58</v>
      </c>
      <c r="Q86" s="17" t="s">
        <v>57</v>
      </c>
      <c r="R86" s="17"/>
      <c r="S86" s="17"/>
      <c r="T86" s="17"/>
      <c r="U86" s="17" t="s">
        <v>306</v>
      </c>
      <c r="V86" s="17"/>
      <c r="W86" s="17"/>
      <c r="X86" s="17"/>
      <c r="Y86" s="17"/>
      <c r="Z86" s="17"/>
      <c r="AA86" s="17"/>
      <c r="AB86" s="17"/>
      <c r="AC86" s="17"/>
      <c r="AD86" s="17"/>
      <c r="AE86" s="17"/>
      <c r="AF86" s="17"/>
      <c r="AG86" s="17"/>
      <c r="AH86" s="17"/>
      <c r="AI86" s="17"/>
      <c r="AJ86" s="17" t="s">
        <v>477</v>
      </c>
      <c r="AK86" s="17" t="s">
        <v>513</v>
      </c>
      <c r="AL86" s="17" t="s">
        <v>67</v>
      </c>
      <c r="AM86" s="18" t="s">
        <v>325</v>
      </c>
      <c r="AN86" s="18" t="s">
        <v>308</v>
      </c>
      <c r="AO86" s="18" t="s">
        <v>326</v>
      </c>
      <c r="AP86" s="18" t="s">
        <v>327</v>
      </c>
      <c r="AQ86" s="18" t="s">
        <v>308</v>
      </c>
      <c r="AR86" s="18" t="s">
        <v>223</v>
      </c>
      <c r="AS86" s="17"/>
      <c r="AT86" s="17"/>
      <c r="AU86" s="17" t="s">
        <v>681</v>
      </c>
      <c r="AV86" s="17">
        <v>35</v>
      </c>
      <c r="AW86" s="17">
        <v>35</v>
      </c>
    </row>
    <row r="87" spans="1:49" x14ac:dyDescent="0.2">
      <c r="A87" s="17" t="s">
        <v>303</v>
      </c>
      <c r="B87" s="17">
        <v>2014</v>
      </c>
      <c r="C87" s="17" t="s">
        <v>312</v>
      </c>
      <c r="D87" s="17" t="s">
        <v>49</v>
      </c>
      <c r="E87" s="17" t="s">
        <v>50</v>
      </c>
      <c r="F87" s="17" t="s">
        <v>279</v>
      </c>
      <c r="G87" s="17" t="s">
        <v>305</v>
      </c>
      <c r="H87" s="17" t="s">
        <v>53</v>
      </c>
      <c r="I87" s="17" t="s">
        <v>54</v>
      </c>
      <c r="J87" s="17" t="s">
        <v>260</v>
      </c>
      <c r="K87" s="17"/>
      <c r="L87" s="17" t="s">
        <v>57</v>
      </c>
      <c r="M87" s="17" t="s">
        <v>57</v>
      </c>
      <c r="N87" s="17" t="s">
        <v>57</v>
      </c>
      <c r="O87" s="17" t="s">
        <v>57</v>
      </c>
      <c r="P87" s="17" t="s">
        <v>58</v>
      </c>
      <c r="Q87" s="17" t="s">
        <v>57</v>
      </c>
      <c r="R87" s="17"/>
      <c r="S87" s="17"/>
      <c r="T87" s="17"/>
      <c r="U87" s="17" t="s">
        <v>306</v>
      </c>
      <c r="V87" s="17"/>
      <c r="W87" s="17"/>
      <c r="X87" s="17"/>
      <c r="Y87" s="17"/>
      <c r="Z87" s="17"/>
      <c r="AA87" s="17"/>
      <c r="AB87" s="17"/>
      <c r="AC87" s="17"/>
      <c r="AD87" s="17"/>
      <c r="AE87" s="17"/>
      <c r="AF87" s="17"/>
      <c r="AG87" s="17"/>
      <c r="AH87" s="17"/>
      <c r="AI87" s="17"/>
      <c r="AJ87" s="17" t="s">
        <v>477</v>
      </c>
      <c r="AK87" s="17" t="s">
        <v>513</v>
      </c>
      <c r="AL87" s="17" t="s">
        <v>67</v>
      </c>
      <c r="AM87" s="18" t="s">
        <v>328</v>
      </c>
      <c r="AN87" s="18" t="s">
        <v>308</v>
      </c>
      <c r="AO87" s="18" t="s">
        <v>329</v>
      </c>
      <c r="AP87" s="18" t="s">
        <v>330</v>
      </c>
      <c r="AQ87" s="18" t="s">
        <v>308</v>
      </c>
      <c r="AR87" s="18" t="s">
        <v>331</v>
      </c>
      <c r="AS87" s="17"/>
      <c r="AT87" s="17"/>
      <c r="AU87" s="17" t="s">
        <v>681</v>
      </c>
      <c r="AV87" s="17">
        <v>35</v>
      </c>
      <c r="AW87" s="17">
        <v>35</v>
      </c>
    </row>
    <row r="88" spans="1:49" x14ac:dyDescent="0.2">
      <c r="A88" s="17" t="s">
        <v>332</v>
      </c>
      <c r="B88" s="17">
        <v>2018</v>
      </c>
      <c r="C88" s="17" t="s">
        <v>333</v>
      </c>
      <c r="D88" s="17" t="s">
        <v>49</v>
      </c>
      <c r="E88" s="17" t="s">
        <v>75</v>
      </c>
      <c r="F88" s="17" t="s">
        <v>334</v>
      </c>
      <c r="G88" s="17" t="s">
        <v>335</v>
      </c>
      <c r="H88" s="17" t="s">
        <v>91</v>
      </c>
      <c r="I88" s="17" t="s">
        <v>54</v>
      </c>
      <c r="J88" s="17" t="s">
        <v>92</v>
      </c>
      <c r="K88" s="17" t="s">
        <v>56</v>
      </c>
      <c r="L88" s="17" t="s">
        <v>58</v>
      </c>
      <c r="M88" s="17" t="s">
        <v>58</v>
      </c>
      <c r="N88" s="17" t="s">
        <v>93</v>
      </c>
      <c r="O88" s="17" t="s">
        <v>57</v>
      </c>
      <c r="P88" s="17" t="s">
        <v>58</v>
      </c>
      <c r="Q88" s="17" t="s">
        <v>57</v>
      </c>
      <c r="R88" s="17"/>
      <c r="S88" s="17"/>
      <c r="T88" s="17" t="s">
        <v>336</v>
      </c>
      <c r="U88" s="17" t="s">
        <v>337</v>
      </c>
      <c r="V88" s="17"/>
      <c r="W88" s="17"/>
      <c r="X88" s="17" t="s">
        <v>338</v>
      </c>
      <c r="Y88" s="17"/>
      <c r="Z88" s="17"/>
      <c r="AA88" s="17"/>
      <c r="AB88" s="17" t="s">
        <v>339</v>
      </c>
      <c r="AC88" s="17"/>
      <c r="AD88" s="17"/>
      <c r="AE88" s="17"/>
      <c r="AF88" s="17"/>
      <c r="AG88" s="17"/>
      <c r="AH88" s="17" t="s">
        <v>64</v>
      </c>
      <c r="AI88" s="17"/>
      <c r="AJ88" s="17" t="s">
        <v>477</v>
      </c>
      <c r="AK88" s="17" t="s">
        <v>360</v>
      </c>
      <c r="AL88" s="17" t="s">
        <v>67</v>
      </c>
      <c r="AM88" s="18" t="s">
        <v>361</v>
      </c>
      <c r="AN88" s="18" t="s">
        <v>341</v>
      </c>
      <c r="AO88" s="18" t="s">
        <v>362</v>
      </c>
      <c r="AP88" s="18" t="s">
        <v>369</v>
      </c>
      <c r="AQ88" s="18" t="s">
        <v>341</v>
      </c>
      <c r="AR88" s="18" t="s">
        <v>370</v>
      </c>
      <c r="AS88" s="17"/>
      <c r="AT88" s="17"/>
      <c r="AU88" s="17" t="s">
        <v>345</v>
      </c>
      <c r="AV88" s="17">
        <f>12*7</f>
        <v>84</v>
      </c>
      <c r="AW88" s="17">
        <v>35</v>
      </c>
    </row>
    <row r="89" spans="1:49" x14ac:dyDescent="0.2">
      <c r="A89" s="17" t="s">
        <v>332</v>
      </c>
      <c r="B89" s="17">
        <v>2018</v>
      </c>
      <c r="C89" s="17" t="s">
        <v>333</v>
      </c>
      <c r="D89" s="17" t="s">
        <v>49</v>
      </c>
      <c r="E89" s="17" t="s">
        <v>75</v>
      </c>
      <c r="F89" s="17" t="s">
        <v>334</v>
      </c>
      <c r="G89" s="17" t="s">
        <v>335</v>
      </c>
      <c r="H89" s="17" t="s">
        <v>91</v>
      </c>
      <c r="I89" s="17" t="s">
        <v>54</v>
      </c>
      <c r="J89" s="17" t="s">
        <v>92</v>
      </c>
      <c r="K89" s="17" t="s">
        <v>56</v>
      </c>
      <c r="L89" s="17" t="s">
        <v>58</v>
      </c>
      <c r="M89" s="17" t="s">
        <v>58</v>
      </c>
      <c r="N89" s="17" t="s">
        <v>93</v>
      </c>
      <c r="O89" s="17" t="s">
        <v>57</v>
      </c>
      <c r="P89" s="17" t="s">
        <v>58</v>
      </c>
      <c r="Q89" s="17" t="s">
        <v>57</v>
      </c>
      <c r="R89" s="17"/>
      <c r="S89" s="17"/>
      <c r="T89" s="17" t="s">
        <v>336</v>
      </c>
      <c r="U89" s="17" t="s">
        <v>337</v>
      </c>
      <c r="V89" s="17"/>
      <c r="W89" s="17"/>
      <c r="X89" s="17" t="s">
        <v>338</v>
      </c>
      <c r="Y89" s="17"/>
      <c r="Z89" s="17"/>
      <c r="AA89" s="17"/>
      <c r="AB89" s="17" t="s">
        <v>339</v>
      </c>
      <c r="AC89" s="17"/>
      <c r="AD89" s="17"/>
      <c r="AE89" s="17"/>
      <c r="AF89" s="17"/>
      <c r="AG89" s="17"/>
      <c r="AH89" s="17" t="s">
        <v>64</v>
      </c>
      <c r="AI89" s="17"/>
      <c r="AJ89" s="17" t="s">
        <v>477</v>
      </c>
      <c r="AK89" s="17" t="s">
        <v>360</v>
      </c>
      <c r="AL89" s="17" t="s">
        <v>67</v>
      </c>
      <c r="AM89" s="18" t="s">
        <v>365</v>
      </c>
      <c r="AN89" s="18" t="s">
        <v>341</v>
      </c>
      <c r="AO89" s="18" t="s">
        <v>366</v>
      </c>
      <c r="AP89" s="18" t="s">
        <v>371</v>
      </c>
      <c r="AQ89" s="18" t="s">
        <v>341</v>
      </c>
      <c r="AR89" s="18" t="s">
        <v>372</v>
      </c>
      <c r="AS89" s="17"/>
      <c r="AT89" s="17"/>
      <c r="AU89" s="17" t="s">
        <v>345</v>
      </c>
      <c r="AV89" s="17">
        <f>12*7</f>
        <v>84</v>
      </c>
      <c r="AW89" s="17">
        <v>35</v>
      </c>
    </row>
    <row r="90" spans="1:49" x14ac:dyDescent="0.2">
      <c r="A90" s="17" t="s">
        <v>332</v>
      </c>
      <c r="B90" s="17">
        <v>2018</v>
      </c>
      <c r="C90" s="17" t="s">
        <v>333</v>
      </c>
      <c r="D90" s="17" t="s">
        <v>49</v>
      </c>
      <c r="E90" s="17" t="s">
        <v>75</v>
      </c>
      <c r="F90" s="17" t="s">
        <v>334</v>
      </c>
      <c r="G90" s="17" t="s">
        <v>335</v>
      </c>
      <c r="H90" s="17" t="s">
        <v>91</v>
      </c>
      <c r="I90" s="17" t="s">
        <v>54</v>
      </c>
      <c r="J90" s="17" t="s">
        <v>92</v>
      </c>
      <c r="K90" s="17" t="s">
        <v>56</v>
      </c>
      <c r="L90" s="17" t="s">
        <v>58</v>
      </c>
      <c r="M90" s="17" t="s">
        <v>58</v>
      </c>
      <c r="N90" s="17" t="s">
        <v>93</v>
      </c>
      <c r="O90" s="17" t="s">
        <v>57</v>
      </c>
      <c r="P90" s="17" t="s">
        <v>58</v>
      </c>
      <c r="Q90" s="17" t="s">
        <v>57</v>
      </c>
      <c r="R90" s="17"/>
      <c r="S90" s="17"/>
      <c r="T90" s="17" t="s">
        <v>336</v>
      </c>
      <c r="U90" s="17" t="s">
        <v>337</v>
      </c>
      <c r="V90" s="17"/>
      <c r="W90" s="17"/>
      <c r="X90" s="17" t="s">
        <v>338</v>
      </c>
      <c r="Y90" s="17"/>
      <c r="Z90" s="17"/>
      <c r="AA90" s="17"/>
      <c r="AB90" s="17" t="s">
        <v>339</v>
      </c>
      <c r="AC90" s="17"/>
      <c r="AD90" s="17"/>
      <c r="AE90" s="17"/>
      <c r="AF90" s="17"/>
      <c r="AG90" s="17"/>
      <c r="AH90" s="17" t="s">
        <v>64</v>
      </c>
      <c r="AI90" s="17"/>
      <c r="AJ90" s="17" t="s">
        <v>477</v>
      </c>
      <c r="AK90" s="17" t="s">
        <v>360</v>
      </c>
      <c r="AL90" s="17" t="s">
        <v>67</v>
      </c>
      <c r="AM90" s="18" t="s">
        <v>361</v>
      </c>
      <c r="AN90" s="18" t="s">
        <v>341</v>
      </c>
      <c r="AO90" s="18" t="s">
        <v>362</v>
      </c>
      <c r="AP90" s="18" t="s">
        <v>373</v>
      </c>
      <c r="AQ90" s="18" t="s">
        <v>341</v>
      </c>
      <c r="AR90" s="18" t="s">
        <v>374</v>
      </c>
      <c r="AS90" s="17"/>
      <c r="AT90" s="17"/>
      <c r="AU90" s="17" t="s">
        <v>359</v>
      </c>
      <c r="AV90" s="17">
        <v>140</v>
      </c>
      <c r="AW90" s="17">
        <v>35</v>
      </c>
    </row>
    <row r="91" spans="1:49" x14ac:dyDescent="0.2">
      <c r="A91" s="17" t="s">
        <v>332</v>
      </c>
      <c r="B91" s="17">
        <v>2018</v>
      </c>
      <c r="C91" s="17" t="s">
        <v>333</v>
      </c>
      <c r="D91" s="17" t="s">
        <v>49</v>
      </c>
      <c r="E91" s="17" t="s">
        <v>75</v>
      </c>
      <c r="F91" s="17" t="s">
        <v>334</v>
      </c>
      <c r="G91" s="17" t="s">
        <v>335</v>
      </c>
      <c r="H91" s="17" t="s">
        <v>91</v>
      </c>
      <c r="I91" s="17" t="s">
        <v>54</v>
      </c>
      <c r="J91" s="17" t="s">
        <v>92</v>
      </c>
      <c r="K91" s="17" t="s">
        <v>56</v>
      </c>
      <c r="L91" s="17" t="s">
        <v>58</v>
      </c>
      <c r="M91" s="17" t="s">
        <v>58</v>
      </c>
      <c r="N91" s="17" t="s">
        <v>93</v>
      </c>
      <c r="O91" s="17" t="s">
        <v>57</v>
      </c>
      <c r="P91" s="17" t="s">
        <v>58</v>
      </c>
      <c r="Q91" s="17" t="s">
        <v>57</v>
      </c>
      <c r="R91" s="17"/>
      <c r="S91" s="17"/>
      <c r="T91" s="17" t="s">
        <v>336</v>
      </c>
      <c r="U91" s="17" t="s">
        <v>337</v>
      </c>
      <c r="V91" s="17"/>
      <c r="W91" s="17"/>
      <c r="X91" s="17" t="s">
        <v>338</v>
      </c>
      <c r="Y91" s="17"/>
      <c r="Z91" s="17"/>
      <c r="AA91" s="17"/>
      <c r="AB91" s="17" t="s">
        <v>339</v>
      </c>
      <c r="AC91" s="17"/>
      <c r="AD91" s="17"/>
      <c r="AE91" s="17"/>
      <c r="AF91" s="17"/>
      <c r="AG91" s="17"/>
      <c r="AH91" s="17" t="s">
        <v>64</v>
      </c>
      <c r="AI91" s="17"/>
      <c r="AJ91" s="17" t="s">
        <v>477</v>
      </c>
      <c r="AK91" s="17" t="s">
        <v>360</v>
      </c>
      <c r="AL91" s="17" t="s">
        <v>67</v>
      </c>
      <c r="AM91" s="18" t="s">
        <v>365</v>
      </c>
      <c r="AN91" s="18" t="s">
        <v>341</v>
      </c>
      <c r="AO91" s="18" t="s">
        <v>366</v>
      </c>
      <c r="AP91" s="18" t="s">
        <v>369</v>
      </c>
      <c r="AQ91" s="18" t="s">
        <v>341</v>
      </c>
      <c r="AR91" s="18" t="s">
        <v>375</v>
      </c>
      <c r="AS91" s="17"/>
      <c r="AT91" s="17"/>
      <c r="AU91" s="17" t="s">
        <v>359</v>
      </c>
      <c r="AV91" s="17">
        <v>140</v>
      </c>
      <c r="AW91" s="17">
        <v>35</v>
      </c>
    </row>
    <row r="92" spans="1:49" x14ac:dyDescent="0.2">
      <c r="A92" s="17" t="s">
        <v>332</v>
      </c>
      <c r="B92" s="17">
        <v>2018</v>
      </c>
      <c r="C92" s="17" t="s">
        <v>333</v>
      </c>
      <c r="D92" s="17" t="s">
        <v>49</v>
      </c>
      <c r="E92" s="17" t="s">
        <v>75</v>
      </c>
      <c r="F92" s="17" t="s">
        <v>334</v>
      </c>
      <c r="G92" s="17" t="s">
        <v>335</v>
      </c>
      <c r="H92" s="17" t="s">
        <v>91</v>
      </c>
      <c r="I92" s="17" t="s">
        <v>54</v>
      </c>
      <c r="J92" s="17" t="s">
        <v>92</v>
      </c>
      <c r="K92" s="17" t="s">
        <v>56</v>
      </c>
      <c r="L92" s="17" t="s">
        <v>58</v>
      </c>
      <c r="M92" s="17" t="s">
        <v>58</v>
      </c>
      <c r="N92" s="17" t="s">
        <v>93</v>
      </c>
      <c r="O92" s="17" t="s">
        <v>57</v>
      </c>
      <c r="P92" s="17" t="s">
        <v>58</v>
      </c>
      <c r="Q92" s="17" t="s">
        <v>57</v>
      </c>
      <c r="R92" s="17"/>
      <c r="S92" s="17"/>
      <c r="T92" s="17" t="s">
        <v>336</v>
      </c>
      <c r="U92" s="17" t="s">
        <v>337</v>
      </c>
      <c r="V92" s="17"/>
      <c r="W92" s="17"/>
      <c r="X92" s="17" t="s">
        <v>338</v>
      </c>
      <c r="Y92" s="17"/>
      <c r="Z92" s="17"/>
      <c r="AA92" s="17"/>
      <c r="AB92" s="17" t="s">
        <v>339</v>
      </c>
      <c r="AC92" s="17"/>
      <c r="AD92" s="17"/>
      <c r="AE92" s="17"/>
      <c r="AF92" s="17"/>
      <c r="AG92" s="17"/>
      <c r="AH92" s="17" t="s">
        <v>64</v>
      </c>
      <c r="AI92" s="17"/>
      <c r="AJ92" s="17" t="s">
        <v>477</v>
      </c>
      <c r="AK92" s="17" t="s">
        <v>360</v>
      </c>
      <c r="AL92" s="17" t="s">
        <v>67</v>
      </c>
      <c r="AM92" s="18" t="s">
        <v>361</v>
      </c>
      <c r="AN92" s="18" t="s">
        <v>341</v>
      </c>
      <c r="AO92" s="18" t="s">
        <v>362</v>
      </c>
      <c r="AP92" s="18" t="s">
        <v>363</v>
      </c>
      <c r="AQ92" s="18" t="s">
        <v>341</v>
      </c>
      <c r="AR92" s="18" t="s">
        <v>364</v>
      </c>
      <c r="AS92" s="17"/>
      <c r="AT92" s="17"/>
      <c r="AU92" s="17" t="s">
        <v>73</v>
      </c>
      <c r="AV92" s="17">
        <v>56</v>
      </c>
      <c r="AW92" s="17">
        <v>35</v>
      </c>
    </row>
    <row r="93" spans="1:49" x14ac:dyDescent="0.2">
      <c r="A93" s="17" t="s">
        <v>332</v>
      </c>
      <c r="B93" s="17">
        <v>2018</v>
      </c>
      <c r="C93" s="17" t="s">
        <v>333</v>
      </c>
      <c r="D93" s="17" t="s">
        <v>49</v>
      </c>
      <c r="E93" s="17" t="s">
        <v>75</v>
      </c>
      <c r="F93" s="17" t="s">
        <v>334</v>
      </c>
      <c r="G93" s="17" t="s">
        <v>335</v>
      </c>
      <c r="H93" s="17" t="s">
        <v>91</v>
      </c>
      <c r="I93" s="17" t="s">
        <v>54</v>
      </c>
      <c r="J93" s="17" t="s">
        <v>92</v>
      </c>
      <c r="K93" s="17" t="s">
        <v>56</v>
      </c>
      <c r="L93" s="17" t="s">
        <v>58</v>
      </c>
      <c r="M93" s="17" t="s">
        <v>58</v>
      </c>
      <c r="N93" s="17" t="s">
        <v>93</v>
      </c>
      <c r="O93" s="17" t="s">
        <v>57</v>
      </c>
      <c r="P93" s="17" t="s">
        <v>58</v>
      </c>
      <c r="Q93" s="17" t="s">
        <v>57</v>
      </c>
      <c r="R93" s="17"/>
      <c r="S93" s="17"/>
      <c r="T93" s="17" t="s">
        <v>336</v>
      </c>
      <c r="U93" s="17" t="s">
        <v>337</v>
      </c>
      <c r="V93" s="17"/>
      <c r="W93" s="17"/>
      <c r="X93" s="17" t="s">
        <v>338</v>
      </c>
      <c r="Y93" s="17"/>
      <c r="Z93" s="17"/>
      <c r="AA93" s="17"/>
      <c r="AB93" s="17" t="s">
        <v>339</v>
      </c>
      <c r="AC93" s="17"/>
      <c r="AD93" s="17"/>
      <c r="AE93" s="17"/>
      <c r="AF93" s="17"/>
      <c r="AG93" s="17"/>
      <c r="AH93" s="17" t="s">
        <v>64</v>
      </c>
      <c r="AI93" s="17"/>
      <c r="AJ93" s="17" t="s">
        <v>477</v>
      </c>
      <c r="AK93" s="17" t="s">
        <v>360</v>
      </c>
      <c r="AL93" s="17" t="s">
        <v>67</v>
      </c>
      <c r="AM93" s="18" t="s">
        <v>365</v>
      </c>
      <c r="AN93" s="18" t="s">
        <v>341</v>
      </c>
      <c r="AO93" s="18" t="s">
        <v>366</v>
      </c>
      <c r="AP93" s="18" t="s">
        <v>367</v>
      </c>
      <c r="AQ93" s="18" t="s">
        <v>341</v>
      </c>
      <c r="AR93" s="18" t="s">
        <v>368</v>
      </c>
      <c r="AS93" s="17"/>
      <c r="AT93" s="17"/>
      <c r="AU93" s="17" t="s">
        <v>73</v>
      </c>
      <c r="AV93" s="17">
        <v>56</v>
      </c>
      <c r="AW93" s="17">
        <v>35</v>
      </c>
    </row>
    <row r="94" spans="1:49" x14ac:dyDescent="0.2">
      <c r="A94" s="17" t="s">
        <v>449</v>
      </c>
      <c r="B94" s="17">
        <v>2016</v>
      </c>
      <c r="C94" s="17" t="s">
        <v>450</v>
      </c>
      <c r="D94" s="17" t="s">
        <v>49</v>
      </c>
      <c r="E94" s="17" t="s">
        <v>75</v>
      </c>
      <c r="F94" s="17" t="s">
        <v>258</v>
      </c>
      <c r="G94" s="17" t="s">
        <v>451</v>
      </c>
      <c r="H94" s="17" t="s">
        <v>53</v>
      </c>
      <c r="I94" s="17" t="s">
        <v>54</v>
      </c>
      <c r="J94" s="17" t="s">
        <v>452</v>
      </c>
      <c r="K94" s="17" t="s">
        <v>56</v>
      </c>
      <c r="L94" s="17" t="s">
        <v>58</v>
      </c>
      <c r="M94" s="17" t="s">
        <v>58</v>
      </c>
      <c r="N94" s="17" t="s">
        <v>58</v>
      </c>
      <c r="O94" s="17" t="s">
        <v>57</v>
      </c>
      <c r="P94" s="17" t="s">
        <v>58</v>
      </c>
      <c r="Q94" s="17" t="s">
        <v>57</v>
      </c>
      <c r="R94" s="17" t="s">
        <v>453</v>
      </c>
      <c r="S94" s="17" t="s">
        <v>454</v>
      </c>
      <c r="T94" s="17" t="s">
        <v>455</v>
      </c>
      <c r="U94" s="17" t="s">
        <v>456</v>
      </c>
      <c r="V94" s="17"/>
      <c r="W94" s="17"/>
      <c r="X94" s="17" t="s">
        <v>457</v>
      </c>
      <c r="Y94" s="17"/>
      <c r="Z94" s="17"/>
      <c r="AA94" s="17"/>
      <c r="AB94" s="17" t="s">
        <v>458</v>
      </c>
      <c r="AC94" s="17"/>
      <c r="AD94" s="17"/>
      <c r="AE94" s="17"/>
      <c r="AF94" s="17"/>
      <c r="AG94" s="17"/>
      <c r="AH94" s="17" t="s">
        <v>209</v>
      </c>
      <c r="AI94" s="17"/>
      <c r="AJ94" s="17" t="s">
        <v>477</v>
      </c>
      <c r="AK94" s="17" t="s">
        <v>143</v>
      </c>
      <c r="AL94" s="17" t="s">
        <v>67</v>
      </c>
      <c r="AM94" s="18" t="s">
        <v>478</v>
      </c>
      <c r="AN94" s="18" t="s">
        <v>461</v>
      </c>
      <c r="AO94" s="18" t="s">
        <v>479</v>
      </c>
      <c r="AP94" s="18" t="s">
        <v>480</v>
      </c>
      <c r="AQ94" s="18" t="s">
        <v>461</v>
      </c>
      <c r="AR94" s="18" t="s">
        <v>481</v>
      </c>
      <c r="AS94" s="17"/>
      <c r="AT94" s="17"/>
      <c r="AU94" s="17" t="s">
        <v>465</v>
      </c>
      <c r="AV94" s="17">
        <v>180</v>
      </c>
      <c r="AW94" s="17">
        <v>90</v>
      </c>
    </row>
    <row r="95" spans="1:49" x14ac:dyDescent="0.2">
      <c r="A95" s="17" t="s">
        <v>449</v>
      </c>
      <c r="B95" s="17">
        <v>2016</v>
      </c>
      <c r="C95" s="17" t="s">
        <v>466</v>
      </c>
      <c r="D95" s="17" t="s">
        <v>88</v>
      </c>
      <c r="E95" s="17" t="s">
        <v>88</v>
      </c>
      <c r="F95" s="17" t="s">
        <v>258</v>
      </c>
      <c r="G95" s="17" t="s">
        <v>451</v>
      </c>
      <c r="H95" s="17" t="s">
        <v>53</v>
      </c>
      <c r="I95" s="17" t="s">
        <v>54</v>
      </c>
      <c r="J95" s="17" t="s">
        <v>452</v>
      </c>
      <c r="K95" s="17" t="s">
        <v>56</v>
      </c>
      <c r="L95" s="17" t="s">
        <v>58</v>
      </c>
      <c r="M95" s="17" t="s">
        <v>58</v>
      </c>
      <c r="N95" s="17" t="s">
        <v>58</v>
      </c>
      <c r="O95" s="17" t="s">
        <v>57</v>
      </c>
      <c r="P95" s="17" t="s">
        <v>58</v>
      </c>
      <c r="Q95" s="17" t="s">
        <v>57</v>
      </c>
      <c r="R95" s="17" t="s">
        <v>467</v>
      </c>
      <c r="S95" s="17" t="s">
        <v>468</v>
      </c>
      <c r="T95" s="17" t="s">
        <v>469</v>
      </c>
      <c r="U95" s="17" t="s">
        <v>470</v>
      </c>
      <c r="V95" s="17"/>
      <c r="W95" s="17"/>
      <c r="X95" s="17" t="s">
        <v>471</v>
      </c>
      <c r="Y95" s="17"/>
      <c r="Z95" s="17"/>
      <c r="AA95" s="17"/>
      <c r="AB95" s="17" t="s">
        <v>472</v>
      </c>
      <c r="AC95" s="17"/>
      <c r="AD95" s="17"/>
      <c r="AE95" s="17"/>
      <c r="AF95" s="17"/>
      <c r="AG95" s="17"/>
      <c r="AH95" s="17" t="s">
        <v>100</v>
      </c>
      <c r="AI95" s="17"/>
      <c r="AJ95" s="17" t="s">
        <v>477</v>
      </c>
      <c r="AK95" s="17" t="s">
        <v>143</v>
      </c>
      <c r="AL95" s="17" t="s">
        <v>67</v>
      </c>
      <c r="AM95" s="18" t="s">
        <v>482</v>
      </c>
      <c r="AN95" s="18" t="s">
        <v>461</v>
      </c>
      <c r="AO95" s="18" t="s">
        <v>483</v>
      </c>
      <c r="AP95" s="18" t="s">
        <v>484</v>
      </c>
      <c r="AQ95" s="18" t="s">
        <v>461</v>
      </c>
      <c r="AR95" s="18" t="s">
        <v>485</v>
      </c>
      <c r="AS95" s="17"/>
      <c r="AT95" s="17"/>
      <c r="AU95" s="17" t="s">
        <v>465</v>
      </c>
      <c r="AV95" s="17">
        <v>180</v>
      </c>
      <c r="AW95" s="17">
        <v>90</v>
      </c>
    </row>
    <row r="96" spans="1:49" x14ac:dyDescent="0.2">
      <c r="A96" s="17" t="s">
        <v>563</v>
      </c>
      <c r="B96" s="17">
        <v>2012</v>
      </c>
      <c r="C96" s="17" t="s">
        <v>564</v>
      </c>
      <c r="D96" s="17" t="s">
        <v>49</v>
      </c>
      <c r="E96" s="17" t="s">
        <v>50</v>
      </c>
      <c r="F96" s="17" t="s">
        <v>175</v>
      </c>
      <c r="G96" s="17" t="s">
        <v>565</v>
      </c>
      <c r="H96" s="17" t="s">
        <v>91</v>
      </c>
      <c r="I96" s="17" t="s">
        <v>54</v>
      </c>
      <c r="J96" s="17" t="s">
        <v>121</v>
      </c>
      <c r="K96" s="17" t="s">
        <v>56</v>
      </c>
      <c r="L96" s="17" t="s">
        <v>58</v>
      </c>
      <c r="M96" s="17" t="s">
        <v>57</v>
      </c>
      <c r="N96" s="17" t="s">
        <v>57</v>
      </c>
      <c r="O96" s="17" t="s">
        <v>57</v>
      </c>
      <c r="P96" s="17" t="s">
        <v>58</v>
      </c>
      <c r="Q96" s="17" t="s">
        <v>57</v>
      </c>
      <c r="R96" s="17"/>
      <c r="S96" s="17" t="s">
        <v>566</v>
      </c>
      <c r="T96" s="17" t="s">
        <v>567</v>
      </c>
      <c r="U96" s="17" t="s">
        <v>568</v>
      </c>
      <c r="V96" s="17" t="s">
        <v>569</v>
      </c>
      <c r="W96" s="17" t="s">
        <v>570</v>
      </c>
      <c r="X96" s="17" t="s">
        <v>571</v>
      </c>
      <c r="Y96" s="17"/>
      <c r="Z96" s="17"/>
      <c r="AA96" s="17"/>
      <c r="AB96" s="17" t="s">
        <v>572</v>
      </c>
      <c r="AC96" s="17"/>
      <c r="AD96" s="17"/>
      <c r="AE96" s="17"/>
      <c r="AF96" s="17"/>
      <c r="AG96" s="17"/>
      <c r="AH96" s="17" t="s">
        <v>64</v>
      </c>
      <c r="AI96" s="17"/>
      <c r="AJ96" s="17" t="s">
        <v>477</v>
      </c>
      <c r="AK96" s="17" t="s">
        <v>143</v>
      </c>
      <c r="AL96" s="17" t="s">
        <v>67</v>
      </c>
      <c r="AM96" s="18" t="s">
        <v>573</v>
      </c>
      <c r="AN96" s="18" t="s">
        <v>574</v>
      </c>
      <c r="AO96" s="18" t="s">
        <v>575</v>
      </c>
      <c r="AP96" s="18" t="s">
        <v>576</v>
      </c>
      <c r="AQ96" s="18" t="s">
        <v>574</v>
      </c>
      <c r="AR96" s="18" t="s">
        <v>577</v>
      </c>
      <c r="AS96" s="17"/>
      <c r="AT96" s="17"/>
      <c r="AU96" s="17" t="s">
        <v>578</v>
      </c>
      <c r="AV96" s="17">
        <v>198</v>
      </c>
      <c r="AW96" s="17">
        <v>168</v>
      </c>
    </row>
    <row r="97" spans="1:49" x14ac:dyDescent="0.2">
      <c r="A97" s="17" t="s">
        <v>563</v>
      </c>
      <c r="B97" s="17">
        <v>2012</v>
      </c>
      <c r="C97" s="17" t="s">
        <v>579</v>
      </c>
      <c r="D97" s="17" t="s">
        <v>88</v>
      </c>
      <c r="E97" s="17" t="s">
        <v>88</v>
      </c>
      <c r="F97" s="17" t="s">
        <v>175</v>
      </c>
      <c r="G97" s="17" t="s">
        <v>565</v>
      </c>
      <c r="H97" s="17" t="s">
        <v>91</v>
      </c>
      <c r="I97" s="17" t="s">
        <v>54</v>
      </c>
      <c r="J97" s="17" t="s">
        <v>121</v>
      </c>
      <c r="K97" s="17" t="s">
        <v>56</v>
      </c>
      <c r="L97" s="17" t="s">
        <v>58</v>
      </c>
      <c r="M97" s="17" t="s">
        <v>57</v>
      </c>
      <c r="N97" s="17" t="s">
        <v>57</v>
      </c>
      <c r="O97" s="17" t="s">
        <v>57</v>
      </c>
      <c r="P97" s="17" t="s">
        <v>58</v>
      </c>
      <c r="Q97" s="17" t="s">
        <v>57</v>
      </c>
      <c r="R97" s="17"/>
      <c r="S97" s="17" t="s">
        <v>96</v>
      </c>
      <c r="T97" s="17" t="s">
        <v>580</v>
      </c>
      <c r="U97" s="17" t="s">
        <v>581</v>
      </c>
      <c r="V97" s="17" t="s">
        <v>582</v>
      </c>
      <c r="W97" s="17" t="s">
        <v>570</v>
      </c>
      <c r="X97" s="17" t="s">
        <v>583</v>
      </c>
      <c r="Y97" s="17"/>
      <c r="Z97" s="17"/>
      <c r="AA97" s="17"/>
      <c r="AB97" s="17" t="s">
        <v>584</v>
      </c>
      <c r="AC97" s="17"/>
      <c r="AD97" s="17"/>
      <c r="AE97" s="17"/>
      <c r="AF97" s="17"/>
      <c r="AG97" s="17"/>
      <c r="AH97" s="17" t="s">
        <v>100</v>
      </c>
      <c r="AI97" s="17"/>
      <c r="AJ97" s="17" t="s">
        <v>477</v>
      </c>
      <c r="AK97" s="17" t="s">
        <v>143</v>
      </c>
      <c r="AL97" s="17" t="s">
        <v>67</v>
      </c>
      <c r="AM97" s="18" t="s">
        <v>585</v>
      </c>
      <c r="AN97" s="18" t="s">
        <v>574</v>
      </c>
      <c r="AO97" s="18" t="s">
        <v>586</v>
      </c>
      <c r="AP97" s="18" t="s">
        <v>587</v>
      </c>
      <c r="AQ97" s="18" t="s">
        <v>574</v>
      </c>
      <c r="AR97" s="18" t="s">
        <v>588</v>
      </c>
      <c r="AS97" s="17"/>
      <c r="AT97" s="17"/>
      <c r="AU97" s="17" t="s">
        <v>578</v>
      </c>
      <c r="AV97" s="17">
        <v>198</v>
      </c>
      <c r="AW97" s="17">
        <v>168</v>
      </c>
    </row>
    <row r="98" spans="1:49" x14ac:dyDescent="0.2">
      <c r="A98" s="17" t="s">
        <v>405</v>
      </c>
      <c r="B98" s="17">
        <v>2017</v>
      </c>
      <c r="C98" s="17" t="s">
        <v>87</v>
      </c>
      <c r="D98" s="17" t="s">
        <v>88</v>
      </c>
      <c r="E98" s="17" t="s">
        <v>88</v>
      </c>
      <c r="F98" s="17" t="s">
        <v>279</v>
      </c>
      <c r="G98" s="17" t="s">
        <v>406</v>
      </c>
      <c r="H98" s="17" t="s">
        <v>53</v>
      </c>
      <c r="I98" s="17" t="s">
        <v>54</v>
      </c>
      <c r="J98" s="17" t="s">
        <v>260</v>
      </c>
      <c r="K98" s="17" t="s">
        <v>56</v>
      </c>
      <c r="L98" s="17" t="s">
        <v>58</v>
      </c>
      <c r="M98" s="17" t="s">
        <v>57</v>
      </c>
      <c r="N98" s="17" t="s">
        <v>57</v>
      </c>
      <c r="O98" s="17" t="s">
        <v>57</v>
      </c>
      <c r="P98" s="17" t="s">
        <v>58</v>
      </c>
      <c r="Q98" s="17" t="s">
        <v>57</v>
      </c>
      <c r="R98" s="17"/>
      <c r="S98" s="17"/>
      <c r="T98" s="17" t="s">
        <v>407</v>
      </c>
      <c r="U98" s="17" t="s">
        <v>408</v>
      </c>
      <c r="V98" s="17" t="s">
        <v>409</v>
      </c>
      <c r="W98" s="17"/>
      <c r="X98" s="17" t="s">
        <v>87</v>
      </c>
      <c r="Y98" s="17"/>
      <c r="Z98" s="17"/>
      <c r="AA98" s="17"/>
      <c r="AB98" s="17" t="s">
        <v>410</v>
      </c>
      <c r="AC98" s="17"/>
      <c r="AD98" s="17"/>
      <c r="AE98" s="17"/>
      <c r="AF98" s="17"/>
      <c r="AG98" s="17"/>
      <c r="AH98" s="17" t="s">
        <v>100</v>
      </c>
      <c r="AI98" s="17"/>
      <c r="AJ98" s="17" t="s">
        <v>411</v>
      </c>
      <c r="AK98" s="17" t="s">
        <v>777</v>
      </c>
      <c r="AL98" s="17" t="s">
        <v>67</v>
      </c>
      <c r="AM98" s="18" t="s">
        <v>412</v>
      </c>
      <c r="AN98" s="18" t="s">
        <v>413</v>
      </c>
      <c r="AO98" s="18" t="s">
        <v>414</v>
      </c>
      <c r="AP98" s="18" t="s">
        <v>415</v>
      </c>
      <c r="AQ98" s="18" t="s">
        <v>413</v>
      </c>
      <c r="AR98" s="18" t="s">
        <v>416</v>
      </c>
      <c r="AS98" s="17"/>
      <c r="AT98" s="17"/>
      <c r="AU98" s="17" t="s">
        <v>684</v>
      </c>
      <c r="AV98" s="17">
        <v>56</v>
      </c>
      <c r="AW98" s="17">
        <v>35</v>
      </c>
    </row>
    <row r="99" spans="1:49" x14ac:dyDescent="0.2">
      <c r="A99" s="17" t="s">
        <v>405</v>
      </c>
      <c r="B99" s="17">
        <v>2017</v>
      </c>
      <c r="C99" s="17" t="s">
        <v>417</v>
      </c>
      <c r="D99" s="17" t="s">
        <v>49</v>
      </c>
      <c r="E99" s="17" t="s">
        <v>75</v>
      </c>
      <c r="F99" s="17" t="s">
        <v>279</v>
      </c>
      <c r="G99" s="17" t="s">
        <v>406</v>
      </c>
      <c r="H99" s="17" t="s">
        <v>53</v>
      </c>
      <c r="I99" s="17" t="s">
        <v>54</v>
      </c>
      <c r="J99" s="17" t="s">
        <v>260</v>
      </c>
      <c r="K99" s="17" t="s">
        <v>56</v>
      </c>
      <c r="L99" s="17" t="s">
        <v>58</v>
      </c>
      <c r="M99" s="17" t="s">
        <v>57</v>
      </c>
      <c r="N99" s="17" t="s">
        <v>57</v>
      </c>
      <c r="O99" s="17" t="s">
        <v>57</v>
      </c>
      <c r="P99" s="17" t="s">
        <v>58</v>
      </c>
      <c r="Q99" s="17" t="s">
        <v>57</v>
      </c>
      <c r="R99" s="17"/>
      <c r="S99" s="17"/>
      <c r="T99" s="17" t="s">
        <v>418</v>
      </c>
      <c r="U99" s="17" t="s">
        <v>419</v>
      </c>
      <c r="V99" s="17" t="s">
        <v>420</v>
      </c>
      <c r="W99" s="17"/>
      <c r="X99" s="17" t="s">
        <v>421</v>
      </c>
      <c r="Y99" s="17"/>
      <c r="Z99" s="17"/>
      <c r="AA99" s="17"/>
      <c r="AB99" s="17" t="s">
        <v>422</v>
      </c>
      <c r="AC99" s="17"/>
      <c r="AD99" s="17"/>
      <c r="AE99" s="17"/>
      <c r="AF99" s="17"/>
      <c r="AG99" s="17"/>
      <c r="AH99" s="17" t="s">
        <v>64</v>
      </c>
      <c r="AI99" s="17"/>
      <c r="AJ99" s="17" t="s">
        <v>411</v>
      </c>
      <c r="AK99" s="17" t="s">
        <v>777</v>
      </c>
      <c r="AL99" s="17" t="s">
        <v>67</v>
      </c>
      <c r="AM99" s="18" t="s">
        <v>423</v>
      </c>
      <c r="AN99" s="18" t="s">
        <v>102</v>
      </c>
      <c r="AO99" s="18" t="s">
        <v>424</v>
      </c>
      <c r="AP99" s="18" t="s">
        <v>425</v>
      </c>
      <c r="AQ99" s="18" t="s">
        <v>102</v>
      </c>
      <c r="AR99" s="18" t="s">
        <v>426</v>
      </c>
      <c r="AS99" s="17"/>
      <c r="AT99" s="17"/>
      <c r="AU99" s="17" t="s">
        <v>684</v>
      </c>
      <c r="AV99" s="17">
        <v>56</v>
      </c>
      <c r="AW99" s="17">
        <v>35</v>
      </c>
    </row>
    <row r="100" spans="1:49" x14ac:dyDescent="0.2">
      <c r="A100" s="8" t="s">
        <v>698</v>
      </c>
      <c r="B100" s="8">
        <v>2020</v>
      </c>
      <c r="C100" s="8" t="s">
        <v>699</v>
      </c>
      <c r="D100" s="8" t="s">
        <v>49</v>
      </c>
      <c r="E100" s="8" t="s">
        <v>75</v>
      </c>
      <c r="F100" s="8" t="s">
        <v>175</v>
      </c>
      <c r="G100" s="8" t="s">
        <v>700</v>
      </c>
      <c r="H100" s="8" t="s">
        <v>701</v>
      </c>
      <c r="I100" s="8" t="s">
        <v>695</v>
      </c>
      <c r="J100" s="8" t="s">
        <v>702</v>
      </c>
      <c r="K100" s="8" t="s">
        <v>703</v>
      </c>
      <c r="L100" s="8" t="s">
        <v>93</v>
      </c>
      <c r="M100" s="8" t="s">
        <v>57</v>
      </c>
      <c r="N100" s="8" t="s">
        <v>93</v>
      </c>
      <c r="O100" s="8" t="s">
        <v>93</v>
      </c>
      <c r="P100" s="8" t="s">
        <v>93</v>
      </c>
      <c r="Q100" s="8" t="s">
        <v>58</v>
      </c>
      <c r="R100" s="8"/>
      <c r="S100" s="10">
        <v>0.52800000000000002</v>
      </c>
      <c r="T100" s="8"/>
      <c r="U100" s="8"/>
      <c r="V100" s="8"/>
      <c r="W100" s="8"/>
      <c r="X100" s="8" t="s">
        <v>736</v>
      </c>
      <c r="Y100" s="8"/>
      <c r="Z100" s="8"/>
      <c r="AA100" s="8" t="s">
        <v>395</v>
      </c>
      <c r="AB100" s="8"/>
      <c r="AC100" s="8"/>
      <c r="AD100" s="8"/>
      <c r="AE100" s="8"/>
      <c r="AF100" s="8"/>
      <c r="AG100" s="8"/>
      <c r="AH100" s="8"/>
      <c r="AI100" s="8"/>
      <c r="AJ100" s="8" t="s">
        <v>656</v>
      </c>
      <c r="AK100" s="8" t="s">
        <v>755</v>
      </c>
      <c r="AL100" s="8" t="s">
        <v>67</v>
      </c>
      <c r="AM100" s="8">
        <v>14.53</v>
      </c>
      <c r="AN100" s="8">
        <v>51</v>
      </c>
      <c r="AO100" s="8">
        <v>1.77</v>
      </c>
      <c r="AP100" s="8">
        <v>11.41</v>
      </c>
      <c r="AQ100" s="8">
        <v>51</v>
      </c>
      <c r="AR100" s="8">
        <v>1.08</v>
      </c>
      <c r="AS100" s="8"/>
      <c r="AT100" s="8"/>
      <c r="AU100" s="8" t="s">
        <v>189</v>
      </c>
      <c r="AV100" s="8">
        <v>365</v>
      </c>
      <c r="AW100" s="8">
        <v>365</v>
      </c>
    </row>
    <row r="101" spans="1:49" x14ac:dyDescent="0.2">
      <c r="A101" s="8" t="s">
        <v>698</v>
      </c>
      <c r="B101" s="8">
        <v>2020</v>
      </c>
      <c r="C101" s="8" t="s">
        <v>548</v>
      </c>
      <c r="D101" s="8" t="s">
        <v>88</v>
      </c>
      <c r="E101" s="8" t="s">
        <v>88</v>
      </c>
      <c r="F101" s="8" t="s">
        <v>175</v>
      </c>
      <c r="G101" s="8" t="s">
        <v>700</v>
      </c>
      <c r="H101" s="8" t="s">
        <v>701</v>
      </c>
      <c r="I101" s="8" t="s">
        <v>695</v>
      </c>
      <c r="J101" s="8" t="s">
        <v>702</v>
      </c>
      <c r="K101" s="8" t="s">
        <v>703</v>
      </c>
      <c r="L101" s="8" t="s">
        <v>93</v>
      </c>
      <c r="M101" s="8" t="s">
        <v>57</v>
      </c>
      <c r="N101" s="8" t="s">
        <v>93</v>
      </c>
      <c r="O101" s="8" t="s">
        <v>93</v>
      </c>
      <c r="P101" s="8" t="s">
        <v>93</v>
      </c>
      <c r="Q101" s="8" t="s">
        <v>58</v>
      </c>
      <c r="R101" s="8"/>
      <c r="S101" s="10">
        <v>0.52900000000000003</v>
      </c>
      <c r="T101" s="8"/>
      <c r="U101" s="8"/>
      <c r="V101" s="8"/>
      <c r="W101" s="8"/>
      <c r="X101" s="8" t="s">
        <v>736</v>
      </c>
      <c r="Y101" s="8"/>
      <c r="Z101" s="8"/>
      <c r="AA101" s="8" t="s">
        <v>395</v>
      </c>
      <c r="AB101" s="8"/>
      <c r="AC101" s="8"/>
      <c r="AD101" s="8"/>
      <c r="AE101" s="8"/>
      <c r="AF101" s="8"/>
      <c r="AG101" s="8"/>
      <c r="AH101" s="8"/>
      <c r="AI101" s="8"/>
      <c r="AJ101" s="8" t="s">
        <v>656</v>
      </c>
      <c r="AK101" s="8" t="s">
        <v>755</v>
      </c>
      <c r="AL101" s="8" t="s">
        <v>67</v>
      </c>
      <c r="AM101" s="8">
        <v>15.02</v>
      </c>
      <c r="AN101" s="8">
        <v>51</v>
      </c>
      <c r="AO101" s="8">
        <v>1.82</v>
      </c>
      <c r="AP101" s="8">
        <v>9.31</v>
      </c>
      <c r="AQ101" s="8">
        <v>51</v>
      </c>
      <c r="AR101" s="8">
        <v>1.52</v>
      </c>
      <c r="AS101" s="8"/>
      <c r="AT101" s="8"/>
      <c r="AU101" s="8" t="s">
        <v>189</v>
      </c>
      <c r="AV101" s="8">
        <v>365</v>
      </c>
      <c r="AW101" s="8">
        <v>365</v>
      </c>
    </row>
    <row r="102" spans="1:49" x14ac:dyDescent="0.2">
      <c r="A102" s="17" t="s">
        <v>547</v>
      </c>
      <c r="B102" s="17">
        <v>2010</v>
      </c>
      <c r="C102" s="17" t="s">
        <v>548</v>
      </c>
      <c r="D102" s="17" t="s">
        <v>88</v>
      </c>
      <c r="E102" s="17" t="s">
        <v>88</v>
      </c>
      <c r="F102" s="17" t="s">
        <v>175</v>
      </c>
      <c r="G102" s="17" t="s">
        <v>549</v>
      </c>
      <c r="H102" s="17" t="s">
        <v>53</v>
      </c>
      <c r="I102" s="17" t="s">
        <v>54</v>
      </c>
      <c r="J102" s="17" t="s">
        <v>92</v>
      </c>
      <c r="K102" s="17" t="s">
        <v>177</v>
      </c>
      <c r="L102" s="17" t="s">
        <v>58</v>
      </c>
      <c r="M102" s="17" t="s">
        <v>57</v>
      </c>
      <c r="N102" s="17" t="s">
        <v>93</v>
      </c>
      <c r="O102" s="17" t="s">
        <v>57</v>
      </c>
      <c r="P102" s="17" t="s">
        <v>58</v>
      </c>
      <c r="Q102" s="17" t="s">
        <v>57</v>
      </c>
      <c r="R102" s="17"/>
      <c r="S102" s="17"/>
      <c r="T102" s="17"/>
      <c r="U102" s="17"/>
      <c r="V102" s="17"/>
      <c r="W102" s="17"/>
      <c r="X102" s="17" t="s">
        <v>554</v>
      </c>
      <c r="Y102" s="17"/>
      <c r="Z102" s="17"/>
      <c r="AA102" s="17"/>
      <c r="AB102" s="17" t="s">
        <v>555</v>
      </c>
      <c r="AC102" s="17"/>
      <c r="AD102" s="17"/>
      <c r="AE102" s="17"/>
      <c r="AF102" s="17"/>
      <c r="AG102" s="17"/>
      <c r="AH102" s="17" t="s">
        <v>525</v>
      </c>
      <c r="AI102" s="17"/>
      <c r="AJ102" s="17" t="s">
        <v>656</v>
      </c>
      <c r="AK102" s="17" t="s">
        <v>657</v>
      </c>
      <c r="AL102" s="17" t="s">
        <v>67</v>
      </c>
      <c r="AM102" s="18" t="s">
        <v>550</v>
      </c>
      <c r="AN102" s="18" t="s">
        <v>551</v>
      </c>
      <c r="AO102" s="18" t="s">
        <v>542</v>
      </c>
      <c r="AP102" s="18" t="s">
        <v>552</v>
      </c>
      <c r="AQ102" s="18" t="s">
        <v>551</v>
      </c>
      <c r="AR102" s="18" t="s">
        <v>553</v>
      </c>
      <c r="AS102" s="17"/>
      <c r="AT102" s="17"/>
      <c r="AU102" s="17" t="s">
        <v>189</v>
      </c>
      <c r="AV102" s="17">
        <v>365</v>
      </c>
      <c r="AW102" s="17">
        <v>365</v>
      </c>
    </row>
    <row r="103" spans="1:49" x14ac:dyDescent="0.2">
      <c r="A103" s="17" t="s">
        <v>547</v>
      </c>
      <c r="B103" s="17">
        <v>2010</v>
      </c>
      <c r="C103" s="17" t="s">
        <v>118</v>
      </c>
      <c r="D103" s="17" t="s">
        <v>191</v>
      </c>
      <c r="E103" s="17" t="s">
        <v>192</v>
      </c>
      <c r="F103" s="17" t="s">
        <v>175</v>
      </c>
      <c r="G103" s="17" t="s">
        <v>549</v>
      </c>
      <c r="H103" s="17" t="s">
        <v>53</v>
      </c>
      <c r="I103" s="17" t="s">
        <v>54</v>
      </c>
      <c r="J103" s="17" t="s">
        <v>92</v>
      </c>
      <c r="K103" s="17" t="s">
        <v>177</v>
      </c>
      <c r="L103" s="17" t="s">
        <v>58</v>
      </c>
      <c r="M103" s="17" t="s">
        <v>57</v>
      </c>
      <c r="N103" s="17" t="s">
        <v>93</v>
      </c>
      <c r="O103" s="17" t="s">
        <v>57</v>
      </c>
      <c r="P103" s="17" t="s">
        <v>58</v>
      </c>
      <c r="Q103" s="17" t="s">
        <v>57</v>
      </c>
      <c r="R103" s="17"/>
      <c r="S103" s="17"/>
      <c r="T103" s="17"/>
      <c r="U103" s="17"/>
      <c r="V103" s="17"/>
      <c r="W103" s="17"/>
      <c r="X103" s="17" t="s">
        <v>560</v>
      </c>
      <c r="Y103" s="17"/>
      <c r="Z103" s="17"/>
      <c r="AA103" s="17"/>
      <c r="AB103" s="17" t="s">
        <v>561</v>
      </c>
      <c r="AC103" s="17"/>
      <c r="AD103" s="17"/>
      <c r="AE103" s="17"/>
      <c r="AF103" s="17"/>
      <c r="AG103" s="17"/>
      <c r="AH103" s="17" t="s">
        <v>562</v>
      </c>
      <c r="AI103" s="17"/>
      <c r="AJ103" s="17" t="s">
        <v>656</v>
      </c>
      <c r="AK103" s="17" t="s">
        <v>657</v>
      </c>
      <c r="AL103" s="17" t="s">
        <v>67</v>
      </c>
      <c r="AM103" s="18" t="s">
        <v>556</v>
      </c>
      <c r="AN103" s="18" t="s">
        <v>551</v>
      </c>
      <c r="AO103" s="18" t="s">
        <v>557</v>
      </c>
      <c r="AP103" s="18" t="s">
        <v>558</v>
      </c>
      <c r="AQ103" s="18" t="s">
        <v>551</v>
      </c>
      <c r="AR103" s="18" t="s">
        <v>559</v>
      </c>
      <c r="AS103" s="17"/>
      <c r="AT103" s="17"/>
      <c r="AU103" s="17" t="s">
        <v>189</v>
      </c>
      <c r="AV103" s="17">
        <v>365</v>
      </c>
      <c r="AW103" s="17">
        <v>365</v>
      </c>
    </row>
    <row r="104" spans="1:49" x14ac:dyDescent="0.2">
      <c r="A104" s="17" t="s">
        <v>589</v>
      </c>
      <c r="B104" s="17">
        <v>2014</v>
      </c>
      <c r="C104" s="17" t="s">
        <v>506</v>
      </c>
      <c r="D104" s="17" t="s">
        <v>88</v>
      </c>
      <c r="E104" s="17" t="s">
        <v>88</v>
      </c>
      <c r="F104" s="17" t="s">
        <v>175</v>
      </c>
      <c r="G104" s="17" t="s">
        <v>590</v>
      </c>
      <c r="H104" s="17" t="s">
        <v>53</v>
      </c>
      <c r="I104" s="17" t="s">
        <v>54</v>
      </c>
      <c r="J104" s="17" t="s">
        <v>260</v>
      </c>
      <c r="K104" s="17" t="s">
        <v>56</v>
      </c>
      <c r="L104" s="17" t="s">
        <v>58</v>
      </c>
      <c r="M104" s="17" t="s">
        <v>57</v>
      </c>
      <c r="N104" s="17" t="s">
        <v>93</v>
      </c>
      <c r="O104" s="17" t="s">
        <v>57</v>
      </c>
      <c r="P104" s="17" t="s">
        <v>58</v>
      </c>
      <c r="Q104" s="17" t="s">
        <v>57</v>
      </c>
      <c r="R104" s="17"/>
      <c r="S104" s="17"/>
      <c r="T104" s="17"/>
      <c r="U104" s="17"/>
      <c r="V104" s="17"/>
      <c r="W104" s="17"/>
      <c r="X104" s="17" t="s">
        <v>596</v>
      </c>
      <c r="Y104" s="17"/>
      <c r="Z104" s="17"/>
      <c r="AA104" s="17"/>
      <c r="AB104" s="17" t="s">
        <v>597</v>
      </c>
      <c r="AC104" s="17"/>
      <c r="AD104" s="17"/>
      <c r="AE104" s="17"/>
      <c r="AF104" s="17"/>
      <c r="AG104" s="17"/>
      <c r="AH104" s="17" t="s">
        <v>598</v>
      </c>
      <c r="AI104" s="17"/>
      <c r="AJ104" s="17" t="s">
        <v>658</v>
      </c>
      <c r="AK104" s="17" t="s">
        <v>657</v>
      </c>
      <c r="AL104" s="17" t="s">
        <v>67</v>
      </c>
      <c r="AM104" s="18" t="s">
        <v>663</v>
      </c>
      <c r="AN104" s="18" t="s">
        <v>592</v>
      </c>
      <c r="AO104" s="18" t="s">
        <v>664</v>
      </c>
      <c r="AP104" s="18" t="s">
        <v>670</v>
      </c>
      <c r="AQ104" s="18" t="s">
        <v>592</v>
      </c>
      <c r="AR104" s="18" t="s">
        <v>671</v>
      </c>
      <c r="AS104" s="17"/>
      <c r="AT104" s="17"/>
      <c r="AU104" s="17" t="s">
        <v>103</v>
      </c>
      <c r="AV104" s="17">
        <v>180</v>
      </c>
      <c r="AW104" s="17">
        <v>365</v>
      </c>
    </row>
    <row r="105" spans="1:49" x14ac:dyDescent="0.2">
      <c r="A105" s="17" t="s">
        <v>589</v>
      </c>
      <c r="B105" s="17">
        <v>2014</v>
      </c>
      <c r="C105" s="17" t="s">
        <v>520</v>
      </c>
      <c r="D105" s="17" t="s">
        <v>191</v>
      </c>
      <c r="E105" s="17" t="s">
        <v>192</v>
      </c>
      <c r="F105" s="17" t="s">
        <v>175</v>
      </c>
      <c r="G105" s="17" t="s">
        <v>590</v>
      </c>
      <c r="H105" s="17" t="s">
        <v>53</v>
      </c>
      <c r="I105" s="17" t="s">
        <v>54</v>
      </c>
      <c r="J105" s="17" t="s">
        <v>260</v>
      </c>
      <c r="K105" s="17" t="s">
        <v>56</v>
      </c>
      <c r="L105" s="17" t="s">
        <v>58</v>
      </c>
      <c r="M105" s="17" t="s">
        <v>57</v>
      </c>
      <c r="N105" s="17" t="s">
        <v>93</v>
      </c>
      <c r="O105" s="17" t="s">
        <v>57</v>
      </c>
      <c r="P105" s="17" t="s">
        <v>58</v>
      </c>
      <c r="Q105" s="17" t="s">
        <v>57</v>
      </c>
      <c r="R105" s="17"/>
      <c r="S105" s="17"/>
      <c r="T105" s="17"/>
      <c r="U105" s="17"/>
      <c r="V105" s="17"/>
      <c r="W105" s="17"/>
      <c r="X105" s="17" t="s">
        <v>603</v>
      </c>
      <c r="Y105" s="17"/>
      <c r="Z105" s="17"/>
      <c r="AA105" s="17"/>
      <c r="AB105" s="17" t="s">
        <v>604</v>
      </c>
      <c r="AC105" s="17"/>
      <c r="AD105" s="17"/>
      <c r="AE105" s="17"/>
      <c r="AF105" s="17"/>
      <c r="AG105" s="17"/>
      <c r="AH105" s="17" t="s">
        <v>605</v>
      </c>
      <c r="AI105" s="17"/>
      <c r="AJ105" s="17" t="s">
        <v>658</v>
      </c>
      <c r="AK105" s="17" t="s">
        <v>657</v>
      </c>
      <c r="AL105" s="17" t="s">
        <v>67</v>
      </c>
      <c r="AM105" s="18" t="s">
        <v>666</v>
      </c>
      <c r="AN105" s="18" t="s">
        <v>600</v>
      </c>
      <c r="AO105" s="18" t="s">
        <v>667</v>
      </c>
      <c r="AP105" s="18" t="s">
        <v>672</v>
      </c>
      <c r="AQ105" s="18" t="s">
        <v>600</v>
      </c>
      <c r="AR105" s="18" t="s">
        <v>673</v>
      </c>
      <c r="AS105" s="17"/>
      <c r="AT105" s="17"/>
      <c r="AU105" s="17" t="s">
        <v>103</v>
      </c>
      <c r="AV105" s="17">
        <v>180</v>
      </c>
      <c r="AW105" s="17">
        <v>365</v>
      </c>
    </row>
    <row r="106" spans="1:49" x14ac:dyDescent="0.2">
      <c r="A106" s="17" t="s">
        <v>589</v>
      </c>
      <c r="B106" s="17">
        <v>2014</v>
      </c>
      <c r="C106" s="17" t="s">
        <v>506</v>
      </c>
      <c r="D106" s="17" t="s">
        <v>88</v>
      </c>
      <c r="E106" s="17" t="s">
        <v>88</v>
      </c>
      <c r="F106" s="17" t="s">
        <v>175</v>
      </c>
      <c r="G106" s="17" t="s">
        <v>590</v>
      </c>
      <c r="H106" s="17" t="s">
        <v>53</v>
      </c>
      <c r="I106" s="17" t="s">
        <v>54</v>
      </c>
      <c r="J106" s="17" t="s">
        <v>260</v>
      </c>
      <c r="K106" s="17" t="s">
        <v>56</v>
      </c>
      <c r="L106" s="17" t="s">
        <v>58</v>
      </c>
      <c r="M106" s="17" t="s">
        <v>57</v>
      </c>
      <c r="N106" s="17" t="s">
        <v>93</v>
      </c>
      <c r="O106" s="17" t="s">
        <v>57</v>
      </c>
      <c r="P106" s="17" t="s">
        <v>58</v>
      </c>
      <c r="Q106" s="17" t="s">
        <v>57</v>
      </c>
      <c r="R106" s="17"/>
      <c r="S106" s="17"/>
      <c r="T106" s="17"/>
      <c r="U106" s="17"/>
      <c r="V106" s="17"/>
      <c r="W106" s="17"/>
      <c r="X106" s="17" t="s">
        <v>596</v>
      </c>
      <c r="Y106" s="17"/>
      <c r="Z106" s="17"/>
      <c r="AA106" s="17"/>
      <c r="AB106" s="17" t="s">
        <v>597</v>
      </c>
      <c r="AC106" s="17"/>
      <c r="AD106" s="17"/>
      <c r="AE106" s="17"/>
      <c r="AF106" s="17"/>
      <c r="AG106" s="17"/>
      <c r="AH106" s="17" t="s">
        <v>598</v>
      </c>
      <c r="AI106" s="17"/>
      <c r="AJ106" s="17" t="s">
        <v>658</v>
      </c>
      <c r="AK106" s="17" t="s">
        <v>178</v>
      </c>
      <c r="AL106" s="17" t="s">
        <v>67</v>
      </c>
      <c r="AM106" s="18" t="s">
        <v>591</v>
      </c>
      <c r="AN106" s="18" t="s">
        <v>592</v>
      </c>
      <c r="AO106" s="18" t="s">
        <v>593</v>
      </c>
      <c r="AP106" s="18" t="s">
        <v>659</v>
      </c>
      <c r="AQ106" s="18" t="s">
        <v>592</v>
      </c>
      <c r="AR106" s="18" t="s">
        <v>660</v>
      </c>
      <c r="AS106" s="17"/>
      <c r="AT106" s="17"/>
      <c r="AU106" s="17" t="s">
        <v>103</v>
      </c>
      <c r="AV106" s="17">
        <v>180</v>
      </c>
      <c r="AW106" s="17">
        <v>365</v>
      </c>
    </row>
    <row r="107" spans="1:49" x14ac:dyDescent="0.2">
      <c r="A107" s="17" t="s">
        <v>589</v>
      </c>
      <c r="B107" s="17">
        <v>2014</v>
      </c>
      <c r="C107" s="17" t="s">
        <v>520</v>
      </c>
      <c r="D107" s="17" t="s">
        <v>191</v>
      </c>
      <c r="E107" s="17" t="s">
        <v>192</v>
      </c>
      <c r="F107" s="17" t="s">
        <v>175</v>
      </c>
      <c r="G107" s="17" t="s">
        <v>590</v>
      </c>
      <c r="H107" s="17" t="s">
        <v>53</v>
      </c>
      <c r="I107" s="17" t="s">
        <v>54</v>
      </c>
      <c r="J107" s="17" t="s">
        <v>260</v>
      </c>
      <c r="K107" s="17" t="s">
        <v>56</v>
      </c>
      <c r="L107" s="17" t="s">
        <v>58</v>
      </c>
      <c r="M107" s="17" t="s">
        <v>57</v>
      </c>
      <c r="N107" s="17" t="s">
        <v>93</v>
      </c>
      <c r="O107" s="17" t="s">
        <v>57</v>
      </c>
      <c r="P107" s="17" t="s">
        <v>58</v>
      </c>
      <c r="Q107" s="17" t="s">
        <v>57</v>
      </c>
      <c r="R107" s="17"/>
      <c r="S107" s="17"/>
      <c r="T107" s="17"/>
      <c r="U107" s="17"/>
      <c r="V107" s="17"/>
      <c r="W107" s="17"/>
      <c r="X107" s="17" t="s">
        <v>603</v>
      </c>
      <c r="Y107" s="17"/>
      <c r="Z107" s="17"/>
      <c r="AA107" s="17"/>
      <c r="AB107" s="17" t="s">
        <v>604</v>
      </c>
      <c r="AC107" s="17"/>
      <c r="AD107" s="17"/>
      <c r="AE107" s="17"/>
      <c r="AF107" s="17"/>
      <c r="AG107" s="17"/>
      <c r="AH107" s="17" t="s">
        <v>605</v>
      </c>
      <c r="AI107" s="17"/>
      <c r="AJ107" s="17" t="s">
        <v>658</v>
      </c>
      <c r="AK107" s="17" t="s">
        <v>178</v>
      </c>
      <c r="AL107" s="17" t="s">
        <v>67</v>
      </c>
      <c r="AM107" s="18" t="s">
        <v>599</v>
      </c>
      <c r="AN107" s="18" t="s">
        <v>600</v>
      </c>
      <c r="AO107" s="18" t="s">
        <v>593</v>
      </c>
      <c r="AP107" s="18" t="s">
        <v>661</v>
      </c>
      <c r="AQ107" s="18" t="s">
        <v>600</v>
      </c>
      <c r="AR107" s="18" t="s">
        <v>662</v>
      </c>
      <c r="AS107" s="17"/>
      <c r="AT107" s="17"/>
      <c r="AU107" s="17" t="s">
        <v>103</v>
      </c>
      <c r="AV107" s="17">
        <v>180</v>
      </c>
      <c r="AW107" s="17">
        <v>365</v>
      </c>
    </row>
    <row r="108" spans="1:49" x14ac:dyDescent="0.2">
      <c r="A108" s="8" t="s">
        <v>698</v>
      </c>
      <c r="B108" s="8">
        <v>2020</v>
      </c>
      <c r="C108" s="8" t="s">
        <v>699</v>
      </c>
      <c r="D108" s="8" t="s">
        <v>49</v>
      </c>
      <c r="E108" s="8" t="s">
        <v>75</v>
      </c>
      <c r="F108" s="8" t="s">
        <v>175</v>
      </c>
      <c r="G108" s="8" t="s">
        <v>700</v>
      </c>
      <c r="H108" s="8" t="s">
        <v>701</v>
      </c>
      <c r="I108" s="8" t="s">
        <v>695</v>
      </c>
      <c r="J108" s="8" t="s">
        <v>702</v>
      </c>
      <c r="K108" s="8" t="s">
        <v>703</v>
      </c>
      <c r="L108" s="8" t="s">
        <v>93</v>
      </c>
      <c r="M108" s="8" t="s">
        <v>57</v>
      </c>
      <c r="N108" s="8" t="s">
        <v>93</v>
      </c>
      <c r="O108" s="8" t="s">
        <v>93</v>
      </c>
      <c r="P108" s="8" t="s">
        <v>93</v>
      </c>
      <c r="Q108" s="8" t="s">
        <v>58</v>
      </c>
      <c r="R108" s="8"/>
      <c r="S108" s="10">
        <v>0.52800000000000002</v>
      </c>
      <c r="T108" s="8"/>
      <c r="U108" s="8"/>
      <c r="V108" s="8"/>
      <c r="W108" s="8"/>
      <c r="X108" s="8" t="s">
        <v>736</v>
      </c>
      <c r="Y108" s="8"/>
      <c r="Z108" s="8"/>
      <c r="AA108" s="8" t="s">
        <v>395</v>
      </c>
      <c r="AB108" s="8"/>
      <c r="AC108" s="8"/>
      <c r="AD108" s="8"/>
      <c r="AE108" s="8"/>
      <c r="AF108" s="8"/>
      <c r="AG108" s="8"/>
      <c r="AH108" s="8"/>
      <c r="AI108" s="8"/>
      <c r="AJ108" s="8" t="s">
        <v>188</v>
      </c>
      <c r="AK108" s="8" t="s">
        <v>752</v>
      </c>
      <c r="AL108" s="8" t="s">
        <v>67</v>
      </c>
      <c r="AM108" s="8">
        <v>17.760000000000002</v>
      </c>
      <c r="AN108" s="8">
        <v>51</v>
      </c>
      <c r="AO108" s="8">
        <v>3.68</v>
      </c>
      <c r="AP108" s="8">
        <v>14.64</v>
      </c>
      <c r="AQ108" s="8">
        <v>51</v>
      </c>
      <c r="AR108" s="8">
        <v>2.38</v>
      </c>
      <c r="AS108" s="8"/>
      <c r="AT108" s="8"/>
      <c r="AU108" s="8" t="s">
        <v>189</v>
      </c>
      <c r="AV108" s="8">
        <v>365</v>
      </c>
      <c r="AW108" s="8">
        <v>365</v>
      </c>
    </row>
    <row r="109" spans="1:49" x14ac:dyDescent="0.2">
      <c r="A109" s="8" t="s">
        <v>698</v>
      </c>
      <c r="B109" s="8">
        <v>2020</v>
      </c>
      <c r="C109" s="8" t="s">
        <v>548</v>
      </c>
      <c r="D109" s="8" t="s">
        <v>88</v>
      </c>
      <c r="E109" s="8" t="s">
        <v>88</v>
      </c>
      <c r="F109" s="8" t="s">
        <v>175</v>
      </c>
      <c r="G109" s="8" t="s">
        <v>700</v>
      </c>
      <c r="H109" s="8" t="s">
        <v>701</v>
      </c>
      <c r="I109" s="8" t="s">
        <v>695</v>
      </c>
      <c r="J109" s="8" t="s">
        <v>702</v>
      </c>
      <c r="K109" s="8" t="s">
        <v>703</v>
      </c>
      <c r="L109" s="8" t="s">
        <v>93</v>
      </c>
      <c r="M109" s="8" t="s">
        <v>57</v>
      </c>
      <c r="N109" s="8" t="s">
        <v>93</v>
      </c>
      <c r="O109" s="8" t="s">
        <v>93</v>
      </c>
      <c r="P109" s="8" t="s">
        <v>93</v>
      </c>
      <c r="Q109" s="8" t="s">
        <v>58</v>
      </c>
      <c r="R109" s="8"/>
      <c r="S109" s="10">
        <v>0.52900000000000003</v>
      </c>
      <c r="T109" s="8"/>
      <c r="U109" s="8"/>
      <c r="V109" s="8"/>
      <c r="W109" s="8"/>
      <c r="X109" s="8" t="s">
        <v>736</v>
      </c>
      <c r="Y109" s="8"/>
      <c r="Z109" s="8"/>
      <c r="AA109" s="8" t="s">
        <v>395</v>
      </c>
      <c r="AB109" s="8"/>
      <c r="AC109" s="8"/>
      <c r="AD109" s="8"/>
      <c r="AE109" s="8"/>
      <c r="AF109" s="8"/>
      <c r="AG109" s="8"/>
      <c r="AH109" s="8"/>
      <c r="AI109" s="8"/>
      <c r="AJ109" s="8" t="s">
        <v>188</v>
      </c>
      <c r="AK109" s="8" t="s">
        <v>752</v>
      </c>
      <c r="AL109" s="8" t="s">
        <v>67</v>
      </c>
      <c r="AM109" s="8">
        <v>17.04</v>
      </c>
      <c r="AN109" s="8">
        <v>51</v>
      </c>
      <c r="AO109" s="8">
        <v>3.52</v>
      </c>
      <c r="AP109" s="8">
        <v>12.59</v>
      </c>
      <c r="AQ109" s="8">
        <v>51</v>
      </c>
      <c r="AR109" s="8">
        <v>2.7</v>
      </c>
      <c r="AS109" s="8"/>
      <c r="AT109" s="8"/>
      <c r="AU109" s="8" t="s">
        <v>189</v>
      </c>
      <c r="AV109" s="8">
        <v>365</v>
      </c>
      <c r="AW109" s="8">
        <v>365</v>
      </c>
    </row>
    <row r="110" spans="1:49" x14ac:dyDescent="0.2">
      <c r="A110" s="17" t="s">
        <v>173</v>
      </c>
      <c r="B110" s="17">
        <v>2012</v>
      </c>
      <c r="C110" s="17" t="s">
        <v>174</v>
      </c>
      <c r="D110" s="17" t="s">
        <v>88</v>
      </c>
      <c r="E110" s="17" t="s">
        <v>88</v>
      </c>
      <c r="F110" s="17" t="s">
        <v>175</v>
      </c>
      <c r="G110" s="17" t="s">
        <v>176</v>
      </c>
      <c r="H110" s="17" t="s">
        <v>53</v>
      </c>
      <c r="I110" s="17" t="s">
        <v>54</v>
      </c>
      <c r="J110" s="17" t="s">
        <v>92</v>
      </c>
      <c r="K110" s="17" t="s">
        <v>177</v>
      </c>
      <c r="L110" s="17" t="s">
        <v>58</v>
      </c>
      <c r="M110" s="17" t="s">
        <v>58</v>
      </c>
      <c r="N110" s="17" t="s">
        <v>93</v>
      </c>
      <c r="O110" s="17" t="s">
        <v>58</v>
      </c>
      <c r="P110" s="17" t="s">
        <v>58</v>
      </c>
      <c r="Q110" s="17" t="s">
        <v>58</v>
      </c>
      <c r="R110" s="17"/>
      <c r="S110" s="17" t="s">
        <v>184</v>
      </c>
      <c r="T110" s="17"/>
      <c r="U110" s="17"/>
      <c r="V110" s="17"/>
      <c r="W110" s="17"/>
      <c r="X110" s="17" t="s">
        <v>185</v>
      </c>
      <c r="Y110" s="17"/>
      <c r="Z110" s="17"/>
      <c r="AA110" s="17"/>
      <c r="AB110" s="17" t="s">
        <v>186</v>
      </c>
      <c r="AC110" s="17"/>
      <c r="AD110" s="17"/>
      <c r="AE110" s="17"/>
      <c r="AF110" s="17"/>
      <c r="AG110" s="17"/>
      <c r="AH110" s="17" t="s">
        <v>187</v>
      </c>
      <c r="AI110" s="17"/>
      <c r="AJ110" s="17" t="s">
        <v>188</v>
      </c>
      <c r="AK110" s="17" t="s">
        <v>178</v>
      </c>
      <c r="AL110" s="17" t="s">
        <v>67</v>
      </c>
      <c r="AM110" s="18" t="s">
        <v>179</v>
      </c>
      <c r="AN110" s="18" t="s">
        <v>180</v>
      </c>
      <c r="AO110" s="18" t="s">
        <v>181</v>
      </c>
      <c r="AP110" s="18" t="s">
        <v>182</v>
      </c>
      <c r="AQ110" s="18" t="s">
        <v>180</v>
      </c>
      <c r="AR110" s="18" t="s">
        <v>183</v>
      </c>
      <c r="AS110" s="17"/>
      <c r="AT110" s="17"/>
      <c r="AU110" s="17" t="s">
        <v>189</v>
      </c>
      <c r="AV110" s="17">
        <v>365</v>
      </c>
      <c r="AW110" s="17">
        <v>365</v>
      </c>
    </row>
    <row r="111" spans="1:49" x14ac:dyDescent="0.2">
      <c r="A111" s="17" t="s">
        <v>173</v>
      </c>
      <c r="B111" s="17">
        <v>2012</v>
      </c>
      <c r="C111" s="17" t="s">
        <v>190</v>
      </c>
      <c r="D111" s="17" t="s">
        <v>191</v>
      </c>
      <c r="E111" s="17" t="s">
        <v>192</v>
      </c>
      <c r="F111" s="17" t="s">
        <v>175</v>
      </c>
      <c r="G111" s="17" t="s">
        <v>176</v>
      </c>
      <c r="H111" s="17" t="s">
        <v>53</v>
      </c>
      <c r="I111" s="17" t="s">
        <v>54</v>
      </c>
      <c r="J111" s="17" t="s">
        <v>92</v>
      </c>
      <c r="K111" s="17" t="s">
        <v>177</v>
      </c>
      <c r="L111" s="17" t="s">
        <v>58</v>
      </c>
      <c r="M111" s="17" t="s">
        <v>58</v>
      </c>
      <c r="N111" s="17" t="s">
        <v>93</v>
      </c>
      <c r="O111" s="17" t="s">
        <v>58</v>
      </c>
      <c r="P111" s="17" t="s">
        <v>58</v>
      </c>
      <c r="Q111" s="17" t="s">
        <v>58</v>
      </c>
      <c r="R111" s="17"/>
      <c r="S111" s="17" t="s">
        <v>197</v>
      </c>
      <c r="T111" s="17"/>
      <c r="U111" s="17"/>
      <c r="V111" s="17"/>
      <c r="W111" s="17"/>
      <c r="X111" s="17" t="s">
        <v>198</v>
      </c>
      <c r="Y111" s="17"/>
      <c r="Z111" s="17"/>
      <c r="AA111" s="17"/>
      <c r="AB111" s="17" t="s">
        <v>199</v>
      </c>
      <c r="AC111" s="17"/>
      <c r="AD111" s="17"/>
      <c r="AE111" s="17"/>
      <c r="AF111" s="17"/>
      <c r="AG111" s="17"/>
      <c r="AH111" s="17" t="s">
        <v>200</v>
      </c>
      <c r="AI111" s="17"/>
      <c r="AJ111" s="17" t="s">
        <v>188</v>
      </c>
      <c r="AK111" s="17" t="s">
        <v>178</v>
      </c>
      <c r="AL111" s="17" t="s">
        <v>67</v>
      </c>
      <c r="AM111" s="18" t="s">
        <v>193</v>
      </c>
      <c r="AN111" s="18" t="s">
        <v>180</v>
      </c>
      <c r="AO111" s="18" t="s">
        <v>194</v>
      </c>
      <c r="AP111" s="18" t="s">
        <v>195</v>
      </c>
      <c r="AQ111" s="18" t="s">
        <v>180</v>
      </c>
      <c r="AR111" s="18" t="s">
        <v>196</v>
      </c>
      <c r="AS111" s="17"/>
      <c r="AT111" s="17"/>
      <c r="AU111" s="17" t="s">
        <v>189</v>
      </c>
      <c r="AV111" s="17">
        <v>365</v>
      </c>
      <c r="AW111" s="17">
        <v>365</v>
      </c>
    </row>
    <row r="112" spans="1:49" x14ac:dyDescent="0.2">
      <c r="A112" s="17" t="s">
        <v>486</v>
      </c>
      <c r="B112" s="17">
        <v>2012</v>
      </c>
      <c r="C112" s="17" t="s">
        <v>487</v>
      </c>
      <c r="D112" s="17" t="s">
        <v>191</v>
      </c>
      <c r="E112" s="17" t="s">
        <v>192</v>
      </c>
      <c r="F112" s="17" t="s">
        <v>175</v>
      </c>
      <c r="G112" s="17" t="s">
        <v>176</v>
      </c>
      <c r="H112" s="17" t="s">
        <v>53</v>
      </c>
      <c r="I112" s="17" t="s">
        <v>54</v>
      </c>
      <c r="J112" s="17" t="s">
        <v>260</v>
      </c>
      <c r="K112" s="17" t="s">
        <v>488</v>
      </c>
      <c r="L112" s="17" t="s">
        <v>58</v>
      </c>
      <c r="M112" s="17" t="s">
        <v>58</v>
      </c>
      <c r="N112" s="17" t="s">
        <v>93</v>
      </c>
      <c r="O112" s="17" t="s">
        <v>57</v>
      </c>
      <c r="P112" s="17" t="s">
        <v>58</v>
      </c>
      <c r="Q112" s="17" t="s">
        <v>57</v>
      </c>
      <c r="R112" s="17" t="s">
        <v>491</v>
      </c>
      <c r="S112" s="17" t="s">
        <v>433</v>
      </c>
      <c r="T112" s="17"/>
      <c r="U112" s="17"/>
      <c r="V112" s="17"/>
      <c r="W112" s="17"/>
      <c r="X112" s="17"/>
      <c r="Y112" s="17"/>
      <c r="Z112" s="17"/>
      <c r="AA112" s="17" t="s">
        <v>492</v>
      </c>
      <c r="AB112" s="17"/>
      <c r="AC112" s="17" t="s">
        <v>493</v>
      </c>
      <c r="AD112" s="17"/>
      <c r="AE112" s="17"/>
      <c r="AF112" s="17"/>
      <c r="AG112" s="17"/>
      <c r="AH112" s="17" t="s">
        <v>494</v>
      </c>
      <c r="AI112" s="17"/>
      <c r="AJ112" s="17" t="s">
        <v>188</v>
      </c>
      <c r="AK112" s="17" t="s">
        <v>178</v>
      </c>
      <c r="AL112" s="17" t="s">
        <v>67</v>
      </c>
      <c r="AM112" s="18" t="s">
        <v>489</v>
      </c>
      <c r="AN112" s="18" t="s">
        <v>222</v>
      </c>
      <c r="AO112" s="18" t="s">
        <v>490</v>
      </c>
      <c r="AP112" s="18" t="s">
        <v>495</v>
      </c>
      <c r="AQ112" s="18" t="s">
        <v>222</v>
      </c>
      <c r="AR112" s="18" t="s">
        <v>496</v>
      </c>
      <c r="AS112" s="17"/>
      <c r="AT112" s="17"/>
      <c r="AU112" s="17" t="s">
        <v>685</v>
      </c>
      <c r="AV112" s="17">
        <v>194</v>
      </c>
      <c r="AW112" s="17">
        <v>14</v>
      </c>
    </row>
    <row r="113" spans="1:49" x14ac:dyDescent="0.2">
      <c r="A113" s="17" t="s">
        <v>486</v>
      </c>
      <c r="B113" s="17">
        <v>2012</v>
      </c>
      <c r="C113" s="17" t="s">
        <v>87</v>
      </c>
      <c r="D113" s="17" t="s">
        <v>88</v>
      </c>
      <c r="E113" s="17" t="s">
        <v>88</v>
      </c>
      <c r="F113" s="17" t="s">
        <v>175</v>
      </c>
      <c r="G113" s="17" t="s">
        <v>176</v>
      </c>
      <c r="H113" s="17" t="s">
        <v>53</v>
      </c>
      <c r="I113" s="17" t="s">
        <v>54</v>
      </c>
      <c r="J113" s="17" t="s">
        <v>260</v>
      </c>
      <c r="K113" s="17" t="s">
        <v>488</v>
      </c>
      <c r="L113" s="17" t="s">
        <v>58</v>
      </c>
      <c r="M113" s="17" t="s">
        <v>58</v>
      </c>
      <c r="N113" s="17" t="s">
        <v>93</v>
      </c>
      <c r="O113" s="17" t="s">
        <v>57</v>
      </c>
      <c r="P113" s="17" t="s">
        <v>58</v>
      </c>
      <c r="Q113" s="17" t="s">
        <v>57</v>
      </c>
      <c r="R113" s="17" t="s">
        <v>498</v>
      </c>
      <c r="S113" s="17" t="s">
        <v>445</v>
      </c>
      <c r="T113" s="17"/>
      <c r="U113" s="17"/>
      <c r="V113" s="17"/>
      <c r="W113" s="17"/>
      <c r="X113" s="17"/>
      <c r="Y113" s="17"/>
      <c r="Z113" s="17"/>
      <c r="AA113" s="17" t="s">
        <v>499</v>
      </c>
      <c r="AB113" s="17"/>
      <c r="AC113" s="17" t="s">
        <v>500</v>
      </c>
      <c r="AD113" s="17"/>
      <c r="AE113" s="17"/>
      <c r="AF113" s="17"/>
      <c r="AG113" s="17"/>
      <c r="AH113" s="17" t="s">
        <v>501</v>
      </c>
      <c r="AI113" s="17"/>
      <c r="AJ113" s="17" t="s">
        <v>188</v>
      </c>
      <c r="AK113" s="17" t="s">
        <v>178</v>
      </c>
      <c r="AL113" s="17" t="s">
        <v>67</v>
      </c>
      <c r="AM113" s="18" t="s">
        <v>502</v>
      </c>
      <c r="AN113" s="18" t="s">
        <v>222</v>
      </c>
      <c r="AO113" s="18" t="s">
        <v>497</v>
      </c>
      <c r="AP113" s="18" t="s">
        <v>503</v>
      </c>
      <c r="AQ113" s="18" t="s">
        <v>222</v>
      </c>
      <c r="AR113" s="18" t="s">
        <v>504</v>
      </c>
      <c r="AS113" s="17"/>
      <c r="AT113" s="17"/>
      <c r="AU113" s="17" t="s">
        <v>685</v>
      </c>
      <c r="AV113" s="17">
        <v>194</v>
      </c>
      <c r="AW113" s="17">
        <v>14</v>
      </c>
    </row>
    <row r="114" spans="1:49" x14ac:dyDescent="0.2">
      <c r="A114" s="17" t="s">
        <v>530</v>
      </c>
      <c r="B114" s="17">
        <v>2010</v>
      </c>
      <c r="C114" s="17" t="s">
        <v>506</v>
      </c>
      <c r="D114" s="17" t="s">
        <v>88</v>
      </c>
      <c r="E114" s="17" t="s">
        <v>88</v>
      </c>
      <c r="F114" s="17" t="s">
        <v>175</v>
      </c>
      <c r="G114" s="17" t="s">
        <v>531</v>
      </c>
      <c r="H114" s="17" t="s">
        <v>53</v>
      </c>
      <c r="I114" s="17" t="s">
        <v>54</v>
      </c>
      <c r="J114" s="17" t="s">
        <v>92</v>
      </c>
      <c r="K114" s="17" t="s">
        <v>532</v>
      </c>
      <c r="L114" s="17" t="s">
        <v>58</v>
      </c>
      <c r="M114" s="17" t="s">
        <v>58</v>
      </c>
      <c r="N114" s="17" t="s">
        <v>93</v>
      </c>
      <c r="O114" s="17" t="s">
        <v>58</v>
      </c>
      <c r="P114" s="17" t="s">
        <v>58</v>
      </c>
      <c r="Q114" s="17" t="s">
        <v>58</v>
      </c>
      <c r="R114" s="17"/>
      <c r="S114" s="17"/>
      <c r="T114" s="17"/>
      <c r="U114" s="17"/>
      <c r="V114" s="17"/>
      <c r="W114" s="17"/>
      <c r="X114" s="17" t="s">
        <v>538</v>
      </c>
      <c r="Y114" s="17"/>
      <c r="Z114" s="17"/>
      <c r="AA114" s="17"/>
      <c r="AB114" s="17"/>
      <c r="AC114" s="17"/>
      <c r="AD114" s="17"/>
      <c r="AE114" s="17"/>
      <c r="AF114" s="17"/>
      <c r="AG114" s="17"/>
      <c r="AH114" s="17"/>
      <c r="AI114" s="17"/>
      <c r="AJ114" s="17" t="s">
        <v>188</v>
      </c>
      <c r="AK114" s="17" t="s">
        <v>178</v>
      </c>
      <c r="AL114" s="17" t="s">
        <v>67</v>
      </c>
      <c r="AM114" s="18" t="s">
        <v>533</v>
      </c>
      <c r="AN114" s="18" t="s">
        <v>534</v>
      </c>
      <c r="AO114" s="18" t="s">
        <v>535</v>
      </c>
      <c r="AP114" s="18" t="s">
        <v>536</v>
      </c>
      <c r="AQ114" s="18" t="s">
        <v>534</v>
      </c>
      <c r="AR114" s="18" t="s">
        <v>537</v>
      </c>
      <c r="AS114" s="17"/>
      <c r="AT114" s="17"/>
      <c r="AU114" s="17" t="s">
        <v>688</v>
      </c>
      <c r="AV114" s="17"/>
      <c r="AW114" s="17" t="s">
        <v>688</v>
      </c>
    </row>
    <row r="115" spans="1:49" x14ac:dyDescent="0.2">
      <c r="A115" s="17" t="s">
        <v>530</v>
      </c>
      <c r="B115" s="17">
        <v>2010</v>
      </c>
      <c r="C115" s="17" t="s">
        <v>539</v>
      </c>
      <c r="D115" s="17" t="s">
        <v>105</v>
      </c>
      <c r="E115" s="17" t="s">
        <v>687</v>
      </c>
      <c r="F115" s="17" t="s">
        <v>175</v>
      </c>
      <c r="G115" s="17" t="s">
        <v>531</v>
      </c>
      <c r="H115" s="17" t="s">
        <v>53</v>
      </c>
      <c r="I115" s="17" t="s">
        <v>54</v>
      </c>
      <c r="J115" s="17" t="s">
        <v>92</v>
      </c>
      <c r="K115" s="17" t="s">
        <v>532</v>
      </c>
      <c r="L115" s="17" t="s">
        <v>58</v>
      </c>
      <c r="M115" s="17" t="s">
        <v>58</v>
      </c>
      <c r="N115" s="17" t="s">
        <v>93</v>
      </c>
      <c r="O115" s="17" t="s">
        <v>58</v>
      </c>
      <c r="P115" s="17" t="s">
        <v>58</v>
      </c>
      <c r="Q115" s="17" t="s">
        <v>58</v>
      </c>
      <c r="R115" s="17" t="s">
        <v>543</v>
      </c>
      <c r="S115" s="17" t="s">
        <v>544</v>
      </c>
      <c r="T115" s="17"/>
      <c r="U115" s="17"/>
      <c r="V115" s="17"/>
      <c r="W115" s="17"/>
      <c r="X115" s="17" t="s">
        <v>545</v>
      </c>
      <c r="Y115" s="17"/>
      <c r="Z115" s="17"/>
      <c r="AA115" s="17"/>
      <c r="AB115" s="17" t="s">
        <v>546</v>
      </c>
      <c r="AC115" s="17"/>
      <c r="AD115" s="17"/>
      <c r="AE115" s="17"/>
      <c r="AF115" s="17"/>
      <c r="AG115" s="17"/>
      <c r="AH115" s="17" t="s">
        <v>525</v>
      </c>
      <c r="AI115" s="17"/>
      <c r="AJ115" s="17" t="s">
        <v>188</v>
      </c>
      <c r="AK115" s="17" t="s">
        <v>178</v>
      </c>
      <c r="AL115" s="17" t="s">
        <v>67</v>
      </c>
      <c r="AM115" s="18" t="s">
        <v>212</v>
      </c>
      <c r="AN115" s="18" t="s">
        <v>534</v>
      </c>
      <c r="AO115" s="18" t="s">
        <v>540</v>
      </c>
      <c r="AP115" s="18" t="s">
        <v>541</v>
      </c>
      <c r="AQ115" s="18" t="s">
        <v>534</v>
      </c>
      <c r="AR115" s="18" t="s">
        <v>542</v>
      </c>
      <c r="AS115" s="17"/>
      <c r="AT115" s="17"/>
      <c r="AU115" s="17" t="s">
        <v>688</v>
      </c>
      <c r="AV115" s="17"/>
      <c r="AW115" s="17" t="s">
        <v>688</v>
      </c>
    </row>
    <row r="116" spans="1:49" x14ac:dyDescent="0.2">
      <c r="A116" s="17" t="s">
        <v>547</v>
      </c>
      <c r="B116" s="17">
        <v>2010</v>
      </c>
      <c r="C116" s="17" t="s">
        <v>548</v>
      </c>
      <c r="D116" s="17" t="s">
        <v>88</v>
      </c>
      <c r="E116" s="17" t="s">
        <v>88</v>
      </c>
      <c r="F116" s="17" t="s">
        <v>175</v>
      </c>
      <c r="G116" s="17" t="s">
        <v>549</v>
      </c>
      <c r="H116" s="17" t="s">
        <v>53</v>
      </c>
      <c r="I116" s="17" t="s">
        <v>54</v>
      </c>
      <c r="J116" s="17" t="s">
        <v>92</v>
      </c>
      <c r="K116" s="17" t="s">
        <v>177</v>
      </c>
      <c r="L116" s="17" t="s">
        <v>58</v>
      </c>
      <c r="M116" s="17" t="s">
        <v>57</v>
      </c>
      <c r="N116" s="17" t="s">
        <v>93</v>
      </c>
      <c r="O116" s="17" t="s">
        <v>57</v>
      </c>
      <c r="P116" s="17" t="s">
        <v>58</v>
      </c>
      <c r="Q116" s="17" t="s">
        <v>57</v>
      </c>
      <c r="R116" s="17"/>
      <c r="S116" s="17"/>
      <c r="T116" s="17"/>
      <c r="U116" s="17"/>
      <c r="V116" s="17"/>
      <c r="W116" s="17"/>
      <c r="X116" s="17" t="s">
        <v>554</v>
      </c>
      <c r="Y116" s="17"/>
      <c r="Z116" s="17"/>
      <c r="AA116" s="17"/>
      <c r="AB116" s="17" t="s">
        <v>555</v>
      </c>
      <c r="AC116" s="17"/>
      <c r="AD116" s="17"/>
      <c r="AE116" s="17"/>
      <c r="AF116" s="17"/>
      <c r="AG116" s="17"/>
      <c r="AH116" s="17" t="s">
        <v>525</v>
      </c>
      <c r="AI116" s="17"/>
      <c r="AJ116" s="17" t="s">
        <v>188</v>
      </c>
      <c r="AK116" s="17" t="s">
        <v>178</v>
      </c>
      <c r="AL116" s="17" t="s">
        <v>67</v>
      </c>
      <c r="AM116" s="18" t="s">
        <v>550</v>
      </c>
      <c r="AN116" s="18" t="s">
        <v>551</v>
      </c>
      <c r="AO116" s="18" t="s">
        <v>542</v>
      </c>
      <c r="AP116" s="18" t="s">
        <v>552</v>
      </c>
      <c r="AQ116" s="18" t="s">
        <v>551</v>
      </c>
      <c r="AR116" s="18" t="s">
        <v>553</v>
      </c>
      <c r="AS116" s="17"/>
      <c r="AT116" s="17"/>
      <c r="AU116" s="17" t="s">
        <v>189</v>
      </c>
      <c r="AV116" s="17">
        <v>365</v>
      </c>
      <c r="AW116" s="17">
        <v>365</v>
      </c>
    </row>
    <row r="117" spans="1:49" x14ac:dyDescent="0.2">
      <c r="A117" s="17" t="s">
        <v>547</v>
      </c>
      <c r="B117" s="17">
        <v>2010</v>
      </c>
      <c r="C117" s="17" t="s">
        <v>118</v>
      </c>
      <c r="D117" s="17" t="s">
        <v>191</v>
      </c>
      <c r="E117" s="17" t="s">
        <v>192</v>
      </c>
      <c r="F117" s="17" t="s">
        <v>175</v>
      </c>
      <c r="G117" s="17" t="s">
        <v>549</v>
      </c>
      <c r="H117" s="17" t="s">
        <v>53</v>
      </c>
      <c r="I117" s="17" t="s">
        <v>54</v>
      </c>
      <c r="J117" s="17" t="s">
        <v>92</v>
      </c>
      <c r="K117" s="17" t="s">
        <v>177</v>
      </c>
      <c r="L117" s="17" t="s">
        <v>58</v>
      </c>
      <c r="M117" s="17" t="s">
        <v>57</v>
      </c>
      <c r="N117" s="17" t="s">
        <v>93</v>
      </c>
      <c r="O117" s="17" t="s">
        <v>57</v>
      </c>
      <c r="P117" s="17" t="s">
        <v>58</v>
      </c>
      <c r="Q117" s="17" t="s">
        <v>57</v>
      </c>
      <c r="R117" s="17"/>
      <c r="S117" s="17"/>
      <c r="T117" s="17"/>
      <c r="U117" s="17"/>
      <c r="V117" s="17"/>
      <c r="W117" s="17"/>
      <c r="X117" s="17" t="s">
        <v>560</v>
      </c>
      <c r="Y117" s="17"/>
      <c r="Z117" s="17"/>
      <c r="AA117" s="17"/>
      <c r="AB117" s="17" t="s">
        <v>561</v>
      </c>
      <c r="AC117" s="17"/>
      <c r="AD117" s="17"/>
      <c r="AE117" s="17"/>
      <c r="AF117" s="17"/>
      <c r="AG117" s="17"/>
      <c r="AH117" s="17" t="s">
        <v>562</v>
      </c>
      <c r="AI117" s="17"/>
      <c r="AJ117" s="17" t="s">
        <v>188</v>
      </c>
      <c r="AK117" s="17" t="s">
        <v>178</v>
      </c>
      <c r="AL117" s="17" t="s">
        <v>67</v>
      </c>
      <c r="AM117" s="18" t="s">
        <v>556</v>
      </c>
      <c r="AN117" s="18" t="s">
        <v>551</v>
      </c>
      <c r="AO117" s="18" t="s">
        <v>557</v>
      </c>
      <c r="AP117" s="18" t="s">
        <v>558</v>
      </c>
      <c r="AQ117" s="18" t="s">
        <v>551</v>
      </c>
      <c r="AR117" s="18" t="s">
        <v>559</v>
      </c>
      <c r="AS117" s="17"/>
      <c r="AT117" s="17"/>
      <c r="AU117" s="17" t="s">
        <v>189</v>
      </c>
      <c r="AV117" s="17">
        <v>365</v>
      </c>
      <c r="AW117" s="17">
        <v>365</v>
      </c>
    </row>
    <row r="118" spans="1:49" x14ac:dyDescent="0.2">
      <c r="A118" s="17" t="s">
        <v>589</v>
      </c>
      <c r="B118" s="17">
        <v>2014</v>
      </c>
      <c r="C118" s="17" t="s">
        <v>506</v>
      </c>
      <c r="D118" s="17" t="s">
        <v>88</v>
      </c>
      <c r="E118" s="17" t="s">
        <v>88</v>
      </c>
      <c r="F118" s="17" t="s">
        <v>175</v>
      </c>
      <c r="G118" s="17" t="s">
        <v>590</v>
      </c>
      <c r="H118" s="17" t="s">
        <v>53</v>
      </c>
      <c r="I118" s="17" t="s">
        <v>54</v>
      </c>
      <c r="J118" s="17" t="s">
        <v>260</v>
      </c>
      <c r="K118" s="17" t="s">
        <v>56</v>
      </c>
      <c r="L118" s="17" t="s">
        <v>58</v>
      </c>
      <c r="M118" s="17" t="s">
        <v>57</v>
      </c>
      <c r="N118" s="17" t="s">
        <v>93</v>
      </c>
      <c r="O118" s="17" t="s">
        <v>57</v>
      </c>
      <c r="P118" s="17" t="s">
        <v>58</v>
      </c>
      <c r="Q118" s="17" t="s">
        <v>57</v>
      </c>
      <c r="R118" s="17"/>
      <c r="S118" s="17"/>
      <c r="T118" s="17"/>
      <c r="U118" s="17"/>
      <c r="V118" s="17"/>
      <c r="W118" s="17"/>
      <c r="X118" s="17" t="s">
        <v>596</v>
      </c>
      <c r="Y118" s="17"/>
      <c r="Z118" s="17"/>
      <c r="AA118" s="17"/>
      <c r="AB118" s="17" t="s">
        <v>597</v>
      </c>
      <c r="AC118" s="17"/>
      <c r="AD118" s="17"/>
      <c r="AE118" s="17"/>
      <c r="AF118" s="17"/>
      <c r="AG118" s="17"/>
      <c r="AH118" s="17" t="s">
        <v>598</v>
      </c>
      <c r="AI118" s="17"/>
      <c r="AJ118" s="17" t="s">
        <v>188</v>
      </c>
      <c r="AK118" s="17" t="s">
        <v>657</v>
      </c>
      <c r="AL118" s="17" t="s">
        <v>67</v>
      </c>
      <c r="AM118" s="18" t="s">
        <v>663</v>
      </c>
      <c r="AN118" s="18" t="s">
        <v>592</v>
      </c>
      <c r="AO118" s="18" t="s">
        <v>664</v>
      </c>
      <c r="AP118" s="18" t="s">
        <v>665</v>
      </c>
      <c r="AQ118" s="18" t="s">
        <v>592</v>
      </c>
      <c r="AR118" s="18" t="s">
        <v>588</v>
      </c>
      <c r="AS118" s="17"/>
      <c r="AT118" s="17"/>
      <c r="AU118" s="17" t="s">
        <v>189</v>
      </c>
      <c r="AV118" s="17">
        <v>365</v>
      </c>
      <c r="AW118" s="17">
        <v>365</v>
      </c>
    </row>
    <row r="119" spans="1:49" x14ac:dyDescent="0.2">
      <c r="A119" s="17" t="s">
        <v>589</v>
      </c>
      <c r="B119" s="17">
        <v>2014</v>
      </c>
      <c r="C119" s="17" t="s">
        <v>520</v>
      </c>
      <c r="D119" s="17" t="s">
        <v>191</v>
      </c>
      <c r="E119" s="17" t="s">
        <v>192</v>
      </c>
      <c r="F119" s="17" t="s">
        <v>175</v>
      </c>
      <c r="G119" s="17" t="s">
        <v>590</v>
      </c>
      <c r="H119" s="17" t="s">
        <v>53</v>
      </c>
      <c r="I119" s="17" t="s">
        <v>54</v>
      </c>
      <c r="J119" s="17" t="s">
        <v>260</v>
      </c>
      <c r="K119" s="17" t="s">
        <v>56</v>
      </c>
      <c r="L119" s="17" t="s">
        <v>58</v>
      </c>
      <c r="M119" s="17" t="s">
        <v>57</v>
      </c>
      <c r="N119" s="17" t="s">
        <v>93</v>
      </c>
      <c r="O119" s="17" t="s">
        <v>57</v>
      </c>
      <c r="P119" s="17" t="s">
        <v>58</v>
      </c>
      <c r="Q119" s="17" t="s">
        <v>57</v>
      </c>
      <c r="R119" s="17"/>
      <c r="S119" s="17"/>
      <c r="T119" s="17"/>
      <c r="U119" s="17"/>
      <c r="V119" s="17"/>
      <c r="W119" s="17"/>
      <c r="X119" s="17" t="s">
        <v>603</v>
      </c>
      <c r="Y119" s="17"/>
      <c r="Z119" s="17"/>
      <c r="AA119" s="17"/>
      <c r="AB119" s="17" t="s">
        <v>604</v>
      </c>
      <c r="AC119" s="17"/>
      <c r="AD119" s="17"/>
      <c r="AE119" s="17"/>
      <c r="AF119" s="17"/>
      <c r="AG119" s="17"/>
      <c r="AH119" s="17" t="s">
        <v>605</v>
      </c>
      <c r="AI119" s="17"/>
      <c r="AJ119" s="17" t="s">
        <v>188</v>
      </c>
      <c r="AK119" s="17" t="s">
        <v>657</v>
      </c>
      <c r="AL119" s="17" t="s">
        <v>67</v>
      </c>
      <c r="AM119" s="18" t="s">
        <v>666</v>
      </c>
      <c r="AN119" s="18" t="s">
        <v>600</v>
      </c>
      <c r="AO119" s="18" t="s">
        <v>667</v>
      </c>
      <c r="AP119" s="18" t="s">
        <v>668</v>
      </c>
      <c r="AQ119" s="18" t="s">
        <v>600</v>
      </c>
      <c r="AR119" s="18" t="s">
        <v>669</v>
      </c>
      <c r="AS119" s="17"/>
      <c r="AT119" s="17"/>
      <c r="AU119" s="17" t="s">
        <v>189</v>
      </c>
      <c r="AV119" s="17">
        <v>365</v>
      </c>
      <c r="AW119" s="17">
        <v>365</v>
      </c>
    </row>
    <row r="120" spans="1:49" x14ac:dyDescent="0.2">
      <c r="A120" s="17" t="s">
        <v>589</v>
      </c>
      <c r="B120" s="17">
        <v>2014</v>
      </c>
      <c r="C120" s="17" t="s">
        <v>506</v>
      </c>
      <c r="D120" s="17" t="s">
        <v>88</v>
      </c>
      <c r="E120" s="17" t="s">
        <v>88</v>
      </c>
      <c r="F120" s="17" t="s">
        <v>175</v>
      </c>
      <c r="G120" s="17" t="s">
        <v>590</v>
      </c>
      <c r="H120" s="17" t="s">
        <v>53</v>
      </c>
      <c r="I120" s="17" t="s">
        <v>54</v>
      </c>
      <c r="J120" s="17" t="s">
        <v>260</v>
      </c>
      <c r="K120" s="17" t="s">
        <v>56</v>
      </c>
      <c r="L120" s="17" t="s">
        <v>58</v>
      </c>
      <c r="M120" s="17" t="s">
        <v>57</v>
      </c>
      <c r="N120" s="17" t="s">
        <v>93</v>
      </c>
      <c r="O120" s="17" t="s">
        <v>57</v>
      </c>
      <c r="P120" s="17" t="s">
        <v>58</v>
      </c>
      <c r="Q120" s="17" t="s">
        <v>57</v>
      </c>
      <c r="R120" s="17"/>
      <c r="S120" s="17"/>
      <c r="T120" s="17"/>
      <c r="U120" s="17"/>
      <c r="V120" s="17"/>
      <c r="W120" s="17"/>
      <c r="X120" s="17" t="s">
        <v>596</v>
      </c>
      <c r="Y120" s="17"/>
      <c r="Z120" s="17"/>
      <c r="AA120" s="17"/>
      <c r="AB120" s="17" t="s">
        <v>597</v>
      </c>
      <c r="AC120" s="17"/>
      <c r="AD120" s="17"/>
      <c r="AE120" s="17"/>
      <c r="AF120" s="17"/>
      <c r="AG120" s="17"/>
      <c r="AH120" s="17" t="s">
        <v>598</v>
      </c>
      <c r="AI120" s="17"/>
      <c r="AJ120" s="17" t="s">
        <v>188</v>
      </c>
      <c r="AK120" s="17" t="s">
        <v>178</v>
      </c>
      <c r="AL120" s="17" t="s">
        <v>67</v>
      </c>
      <c r="AM120" s="18" t="s">
        <v>591</v>
      </c>
      <c r="AN120" s="18" t="s">
        <v>592</v>
      </c>
      <c r="AO120" s="18" t="s">
        <v>593</v>
      </c>
      <c r="AP120" s="18" t="s">
        <v>594</v>
      </c>
      <c r="AQ120" s="18" t="s">
        <v>592</v>
      </c>
      <c r="AR120" s="18" t="s">
        <v>595</v>
      </c>
      <c r="AS120" s="17"/>
      <c r="AT120" s="17"/>
      <c r="AU120" s="17" t="s">
        <v>189</v>
      </c>
      <c r="AV120" s="17">
        <v>365</v>
      </c>
      <c r="AW120" s="17">
        <v>365</v>
      </c>
    </row>
    <row r="121" spans="1:49" x14ac:dyDescent="0.2">
      <c r="A121" s="17" t="s">
        <v>589</v>
      </c>
      <c r="B121" s="17">
        <v>2014</v>
      </c>
      <c r="C121" s="17" t="s">
        <v>520</v>
      </c>
      <c r="D121" s="17" t="s">
        <v>191</v>
      </c>
      <c r="E121" s="17" t="s">
        <v>192</v>
      </c>
      <c r="F121" s="17" t="s">
        <v>175</v>
      </c>
      <c r="G121" s="17" t="s">
        <v>590</v>
      </c>
      <c r="H121" s="17" t="s">
        <v>53</v>
      </c>
      <c r="I121" s="17" t="s">
        <v>54</v>
      </c>
      <c r="J121" s="17" t="s">
        <v>260</v>
      </c>
      <c r="K121" s="17" t="s">
        <v>56</v>
      </c>
      <c r="L121" s="17" t="s">
        <v>58</v>
      </c>
      <c r="M121" s="17" t="s">
        <v>57</v>
      </c>
      <c r="N121" s="17" t="s">
        <v>93</v>
      </c>
      <c r="O121" s="17" t="s">
        <v>57</v>
      </c>
      <c r="P121" s="17" t="s">
        <v>58</v>
      </c>
      <c r="Q121" s="17" t="s">
        <v>57</v>
      </c>
      <c r="R121" s="17"/>
      <c r="S121" s="17"/>
      <c r="T121" s="17"/>
      <c r="U121" s="17"/>
      <c r="V121" s="17"/>
      <c r="W121" s="17"/>
      <c r="X121" s="17" t="s">
        <v>603</v>
      </c>
      <c r="Y121" s="17"/>
      <c r="Z121" s="17"/>
      <c r="AA121" s="17"/>
      <c r="AB121" s="17" t="s">
        <v>604</v>
      </c>
      <c r="AC121" s="17"/>
      <c r="AD121" s="17"/>
      <c r="AE121" s="17"/>
      <c r="AF121" s="17"/>
      <c r="AG121" s="17"/>
      <c r="AH121" s="17" t="s">
        <v>605</v>
      </c>
      <c r="AI121" s="17"/>
      <c r="AJ121" s="17" t="s">
        <v>188</v>
      </c>
      <c r="AK121" s="17" t="s">
        <v>178</v>
      </c>
      <c r="AL121" s="17" t="s">
        <v>67</v>
      </c>
      <c r="AM121" s="18" t="s">
        <v>599</v>
      </c>
      <c r="AN121" s="18" t="s">
        <v>600</v>
      </c>
      <c r="AO121" s="18" t="s">
        <v>593</v>
      </c>
      <c r="AP121" s="18" t="s">
        <v>601</v>
      </c>
      <c r="AQ121" s="18" t="s">
        <v>600</v>
      </c>
      <c r="AR121" s="18" t="s">
        <v>602</v>
      </c>
      <c r="AS121" s="17"/>
      <c r="AT121" s="17"/>
      <c r="AU121" s="17" t="s">
        <v>189</v>
      </c>
      <c r="AV121" s="17">
        <v>365</v>
      </c>
      <c r="AW121" s="17">
        <v>365</v>
      </c>
    </row>
    <row r="122" spans="1:49" x14ac:dyDescent="0.2">
      <c r="A122" s="17" t="s">
        <v>632</v>
      </c>
      <c r="B122" s="17">
        <v>2017</v>
      </c>
      <c r="C122" s="17" t="s">
        <v>174</v>
      </c>
      <c r="D122" s="17" t="s">
        <v>88</v>
      </c>
      <c r="E122" s="17" t="s">
        <v>88</v>
      </c>
      <c r="F122" s="17" t="s">
        <v>175</v>
      </c>
      <c r="G122" s="17" t="s">
        <v>633</v>
      </c>
      <c r="H122" s="17" t="s">
        <v>91</v>
      </c>
      <c r="I122" s="17" t="s">
        <v>54</v>
      </c>
      <c r="J122" s="17" t="s">
        <v>55</v>
      </c>
      <c r="K122" s="17" t="s">
        <v>634</v>
      </c>
      <c r="L122" s="17" t="s">
        <v>58</v>
      </c>
      <c r="M122" s="17" t="s">
        <v>57</v>
      </c>
      <c r="N122" s="17" t="s">
        <v>57</v>
      </c>
      <c r="O122" s="17" t="s">
        <v>57</v>
      </c>
      <c r="P122" s="17" t="s">
        <v>58</v>
      </c>
      <c r="Q122" s="17" t="s">
        <v>57</v>
      </c>
      <c r="R122" s="17" t="s">
        <v>635</v>
      </c>
      <c r="S122" s="17" t="s">
        <v>636</v>
      </c>
      <c r="T122" s="17"/>
      <c r="U122" s="17"/>
      <c r="V122" s="17"/>
      <c r="W122" s="17"/>
      <c r="X122" s="17" t="s">
        <v>637</v>
      </c>
      <c r="Y122" s="17"/>
      <c r="Z122" s="17"/>
      <c r="AA122" s="17"/>
      <c r="AB122" s="17" t="s">
        <v>638</v>
      </c>
      <c r="AC122" s="17"/>
      <c r="AD122" s="17"/>
      <c r="AE122" s="17"/>
      <c r="AF122" s="17"/>
      <c r="AG122" s="17"/>
      <c r="AH122" s="17" t="s">
        <v>639</v>
      </c>
      <c r="AI122" s="17"/>
      <c r="AJ122" s="17" t="s">
        <v>188</v>
      </c>
      <c r="AK122" s="17" t="s">
        <v>178</v>
      </c>
      <c r="AL122" s="17" t="s">
        <v>67</v>
      </c>
      <c r="AM122" s="18">
        <v>9.85</v>
      </c>
      <c r="AN122" s="18">
        <v>70</v>
      </c>
      <c r="AO122" s="18">
        <v>1.89</v>
      </c>
      <c r="AP122" s="18">
        <v>13.27</v>
      </c>
      <c r="AQ122" s="18">
        <v>70</v>
      </c>
      <c r="AR122" s="18">
        <v>3.02</v>
      </c>
      <c r="AS122" s="17"/>
      <c r="AT122" s="17"/>
      <c r="AU122" s="17" t="s">
        <v>189</v>
      </c>
      <c r="AV122" s="17">
        <v>365</v>
      </c>
      <c r="AW122" s="17">
        <v>365</v>
      </c>
    </row>
    <row r="123" spans="1:49" x14ac:dyDescent="0.2">
      <c r="A123" s="17" t="s">
        <v>632</v>
      </c>
      <c r="B123" s="17">
        <v>2017</v>
      </c>
      <c r="C123" s="17" t="s">
        <v>640</v>
      </c>
      <c r="D123" s="17" t="s">
        <v>191</v>
      </c>
      <c r="E123" s="17" t="s">
        <v>641</v>
      </c>
      <c r="F123" s="17" t="s">
        <v>175</v>
      </c>
      <c r="G123" s="17" t="s">
        <v>633</v>
      </c>
      <c r="H123" s="17" t="s">
        <v>91</v>
      </c>
      <c r="I123" s="17" t="s">
        <v>54</v>
      </c>
      <c r="J123" s="17" t="s">
        <v>55</v>
      </c>
      <c r="K123" s="17" t="s">
        <v>634</v>
      </c>
      <c r="L123" s="17" t="s">
        <v>58</v>
      </c>
      <c r="M123" s="17" t="s">
        <v>57</v>
      </c>
      <c r="N123" s="17" t="s">
        <v>57</v>
      </c>
      <c r="O123" s="17" t="s">
        <v>57</v>
      </c>
      <c r="P123" s="17" t="s">
        <v>58</v>
      </c>
      <c r="Q123" s="17" t="s">
        <v>57</v>
      </c>
      <c r="R123" s="17" t="s">
        <v>642</v>
      </c>
      <c r="S123" s="17" t="s">
        <v>643</v>
      </c>
      <c r="T123" s="17"/>
      <c r="U123" s="17"/>
      <c r="V123" s="17"/>
      <c r="W123" s="17"/>
      <c r="X123" s="17" t="s">
        <v>644</v>
      </c>
      <c r="Y123" s="17"/>
      <c r="Z123" s="17"/>
      <c r="AA123" s="17"/>
      <c r="AB123" s="17" t="s">
        <v>645</v>
      </c>
      <c r="AC123" s="17"/>
      <c r="AD123" s="17"/>
      <c r="AE123" s="17"/>
      <c r="AF123" s="17"/>
      <c r="AG123" s="17"/>
      <c r="AH123" s="17" t="s">
        <v>646</v>
      </c>
      <c r="AI123" s="17"/>
      <c r="AJ123" s="17" t="s">
        <v>188</v>
      </c>
      <c r="AK123" s="17" t="s">
        <v>178</v>
      </c>
      <c r="AL123" s="17" t="s">
        <v>67</v>
      </c>
      <c r="AM123" s="18">
        <v>9.8800000000000008</v>
      </c>
      <c r="AN123" s="18">
        <v>71</v>
      </c>
      <c r="AO123" s="18">
        <v>2.33</v>
      </c>
      <c r="AP123" s="18">
        <v>14.97</v>
      </c>
      <c r="AQ123" s="18">
        <v>71</v>
      </c>
      <c r="AR123" s="18">
        <v>3.03</v>
      </c>
      <c r="AS123" s="17"/>
      <c r="AT123" s="17"/>
      <c r="AU123" s="17" t="s">
        <v>189</v>
      </c>
      <c r="AV123" s="17">
        <v>365</v>
      </c>
      <c r="AW123" s="17">
        <v>365</v>
      </c>
    </row>
    <row r="124" spans="1:49" x14ac:dyDescent="0.2">
      <c r="A124" s="8" t="s">
        <v>698</v>
      </c>
      <c r="B124" s="8">
        <v>2020</v>
      </c>
      <c r="C124" s="8" t="s">
        <v>699</v>
      </c>
      <c r="D124" s="8" t="s">
        <v>49</v>
      </c>
      <c r="E124" s="8" t="s">
        <v>75</v>
      </c>
      <c r="F124" s="8" t="s">
        <v>175</v>
      </c>
      <c r="G124" s="8" t="s">
        <v>700</v>
      </c>
      <c r="H124" s="8" t="s">
        <v>701</v>
      </c>
      <c r="I124" s="8" t="s">
        <v>695</v>
      </c>
      <c r="J124" s="8" t="s">
        <v>702</v>
      </c>
      <c r="K124" s="8" t="s">
        <v>703</v>
      </c>
      <c r="L124" s="8" t="s">
        <v>93</v>
      </c>
      <c r="M124" s="8" t="s">
        <v>57</v>
      </c>
      <c r="N124" s="8" t="s">
        <v>93</v>
      </c>
      <c r="O124" s="8" t="s">
        <v>93</v>
      </c>
      <c r="P124" s="8" t="s">
        <v>93</v>
      </c>
      <c r="Q124" s="8" t="s">
        <v>58</v>
      </c>
      <c r="R124" s="8"/>
      <c r="S124" s="10">
        <v>0.52800000000000002</v>
      </c>
      <c r="T124" s="8"/>
      <c r="U124" s="8"/>
      <c r="V124" s="8"/>
      <c r="W124" s="8"/>
      <c r="X124" s="8" t="s">
        <v>736</v>
      </c>
      <c r="Y124" s="8"/>
      <c r="Z124" s="8"/>
      <c r="AA124" s="8" t="s">
        <v>395</v>
      </c>
      <c r="AB124" s="8"/>
      <c r="AC124" s="8"/>
      <c r="AD124" s="8"/>
      <c r="AE124" s="8"/>
      <c r="AF124" s="8"/>
      <c r="AG124" s="8"/>
      <c r="AH124" s="8"/>
      <c r="AI124" s="8"/>
      <c r="AJ124" s="8" t="s">
        <v>753</v>
      </c>
      <c r="AK124" s="8" t="s">
        <v>754</v>
      </c>
      <c r="AL124" s="8" t="s">
        <v>67</v>
      </c>
      <c r="AM124" s="8">
        <v>19.32</v>
      </c>
      <c r="AN124" s="8">
        <v>51</v>
      </c>
      <c r="AO124" s="8">
        <v>3.53</v>
      </c>
      <c r="AP124" s="8">
        <v>7.21</v>
      </c>
      <c r="AQ124" s="8">
        <v>51</v>
      </c>
      <c r="AR124" s="8">
        <v>2.88</v>
      </c>
      <c r="AS124" s="8"/>
      <c r="AT124" s="8"/>
      <c r="AU124" s="8" t="s">
        <v>189</v>
      </c>
      <c r="AV124" s="8">
        <v>365</v>
      </c>
      <c r="AW124" s="8">
        <v>365</v>
      </c>
    </row>
    <row r="125" spans="1:49" x14ac:dyDescent="0.2">
      <c r="A125" s="8" t="s">
        <v>698</v>
      </c>
      <c r="B125" s="8">
        <v>2020</v>
      </c>
      <c r="C125" s="8" t="s">
        <v>548</v>
      </c>
      <c r="D125" s="8" t="s">
        <v>88</v>
      </c>
      <c r="E125" s="8" t="s">
        <v>88</v>
      </c>
      <c r="F125" s="8" t="s">
        <v>175</v>
      </c>
      <c r="G125" s="8" t="s">
        <v>700</v>
      </c>
      <c r="H125" s="8" t="s">
        <v>701</v>
      </c>
      <c r="I125" s="8" t="s">
        <v>695</v>
      </c>
      <c r="J125" s="8" t="s">
        <v>702</v>
      </c>
      <c r="K125" s="8" t="s">
        <v>703</v>
      </c>
      <c r="L125" s="8" t="s">
        <v>93</v>
      </c>
      <c r="M125" s="8" t="s">
        <v>57</v>
      </c>
      <c r="N125" s="8" t="s">
        <v>93</v>
      </c>
      <c r="O125" s="8" t="s">
        <v>93</v>
      </c>
      <c r="P125" s="8" t="s">
        <v>93</v>
      </c>
      <c r="Q125" s="8" t="s">
        <v>58</v>
      </c>
      <c r="R125" s="8"/>
      <c r="S125" s="10">
        <v>0.52900000000000003</v>
      </c>
      <c r="T125" s="8"/>
      <c r="U125" s="8"/>
      <c r="V125" s="8"/>
      <c r="W125" s="8"/>
      <c r="X125" s="8" t="s">
        <v>736</v>
      </c>
      <c r="Y125" s="8"/>
      <c r="Z125" s="8"/>
      <c r="AA125" s="8" t="s">
        <v>395</v>
      </c>
      <c r="AB125" s="8"/>
      <c r="AC125" s="8"/>
      <c r="AD125" s="8"/>
      <c r="AE125" s="8"/>
      <c r="AF125" s="8"/>
      <c r="AG125" s="8"/>
      <c r="AH125" s="8"/>
      <c r="AI125" s="8"/>
      <c r="AJ125" s="8" t="s">
        <v>753</v>
      </c>
      <c r="AK125" s="8" t="s">
        <v>754</v>
      </c>
      <c r="AL125" s="8" t="s">
        <v>67</v>
      </c>
      <c r="AM125" s="8">
        <v>19.47</v>
      </c>
      <c r="AN125" s="8">
        <v>51</v>
      </c>
      <c r="AO125" s="8">
        <v>3.37</v>
      </c>
      <c r="AP125" s="8">
        <v>10.37</v>
      </c>
      <c r="AQ125" s="8">
        <v>51</v>
      </c>
      <c r="AR125" s="8">
        <v>2.17</v>
      </c>
      <c r="AS125" s="8"/>
      <c r="AT125" s="8"/>
      <c r="AU125" s="8" t="s">
        <v>189</v>
      </c>
      <c r="AV125" s="8">
        <v>365</v>
      </c>
      <c r="AW125" s="8">
        <v>365</v>
      </c>
    </row>
    <row r="126" spans="1:49" x14ac:dyDescent="0.2">
      <c r="A126" s="8" t="s">
        <v>704</v>
      </c>
      <c r="B126" s="8">
        <v>2019</v>
      </c>
      <c r="C126" s="8" t="s">
        <v>118</v>
      </c>
      <c r="D126" s="8" t="s">
        <v>191</v>
      </c>
      <c r="E126" s="8" t="s">
        <v>192</v>
      </c>
      <c r="F126" s="8" t="s">
        <v>258</v>
      </c>
      <c r="G126" s="8" t="s">
        <v>705</v>
      </c>
      <c r="H126" s="8" t="s">
        <v>706</v>
      </c>
      <c r="I126" s="8" t="s">
        <v>706</v>
      </c>
      <c r="J126" s="8" t="s">
        <v>707</v>
      </c>
      <c r="K126" s="8" t="s">
        <v>56</v>
      </c>
      <c r="L126" s="8" t="s">
        <v>93</v>
      </c>
      <c r="M126" s="8" t="s">
        <v>57</v>
      </c>
      <c r="N126" s="8" t="s">
        <v>93</v>
      </c>
      <c r="O126" s="8" t="s">
        <v>58</v>
      </c>
      <c r="P126" s="8" t="s">
        <v>58</v>
      </c>
      <c r="Q126" s="8" t="s">
        <v>57</v>
      </c>
      <c r="R126" s="8" t="s">
        <v>722</v>
      </c>
      <c r="S126" s="10">
        <v>0.76700000000000002</v>
      </c>
      <c r="T126" s="8" t="s">
        <v>728</v>
      </c>
      <c r="U126" s="10">
        <v>0.83330000000000004</v>
      </c>
      <c r="V126" s="8"/>
      <c r="W126" s="8"/>
      <c r="X126" s="8" t="s">
        <v>737</v>
      </c>
      <c r="Y126" s="8"/>
      <c r="Z126" s="8"/>
      <c r="AA126" s="8" t="s">
        <v>395</v>
      </c>
      <c r="AB126" s="8"/>
      <c r="AC126" s="8"/>
      <c r="AD126" s="8"/>
      <c r="AE126" s="8"/>
      <c r="AF126" s="8"/>
      <c r="AG126" s="8"/>
      <c r="AH126" s="8"/>
      <c r="AI126" s="8"/>
      <c r="AJ126" s="17" t="s">
        <v>753</v>
      </c>
      <c r="AK126" s="17" t="s">
        <v>166</v>
      </c>
      <c r="AL126" s="17" t="s">
        <v>67</v>
      </c>
      <c r="AM126" s="17">
        <v>31.18</v>
      </c>
      <c r="AN126" s="17">
        <v>30</v>
      </c>
      <c r="AO126" s="17">
        <v>23.79</v>
      </c>
      <c r="AP126" s="17">
        <v>26.5</v>
      </c>
      <c r="AQ126" s="17">
        <v>26</v>
      </c>
      <c r="AR126" s="17">
        <v>21.99</v>
      </c>
      <c r="AS126" s="17"/>
      <c r="AT126" s="8"/>
      <c r="AU126" s="8" t="s">
        <v>748</v>
      </c>
      <c r="AV126" s="8">
        <v>112</v>
      </c>
      <c r="AW126" s="8">
        <v>112</v>
      </c>
    </row>
    <row r="127" spans="1:49" x14ac:dyDescent="0.2">
      <c r="A127" s="8" t="s">
        <v>704</v>
      </c>
      <c r="B127" s="8">
        <v>2019</v>
      </c>
      <c r="C127" s="8" t="s">
        <v>87</v>
      </c>
      <c r="D127" s="8" t="s">
        <v>88</v>
      </c>
      <c r="E127" s="8" t="s">
        <v>88</v>
      </c>
      <c r="F127" s="8" t="s">
        <v>258</v>
      </c>
      <c r="G127" s="8" t="s">
        <v>705</v>
      </c>
      <c r="H127" s="8" t="s">
        <v>706</v>
      </c>
      <c r="I127" s="8" t="s">
        <v>706</v>
      </c>
      <c r="J127" s="8" t="s">
        <v>707</v>
      </c>
      <c r="K127" s="8" t="s">
        <v>56</v>
      </c>
      <c r="L127" s="8" t="s">
        <v>93</v>
      </c>
      <c r="M127" s="8" t="s">
        <v>57</v>
      </c>
      <c r="N127" s="8" t="s">
        <v>93</v>
      </c>
      <c r="O127" s="8" t="s">
        <v>58</v>
      </c>
      <c r="P127" s="8" t="s">
        <v>58</v>
      </c>
      <c r="Q127" s="8" t="s">
        <v>57</v>
      </c>
      <c r="R127" s="8" t="s">
        <v>723</v>
      </c>
      <c r="S127" s="10">
        <v>0.67700000000000005</v>
      </c>
      <c r="T127" s="8" t="s">
        <v>729</v>
      </c>
      <c r="U127" s="10">
        <v>0.74229999999999996</v>
      </c>
      <c r="V127" s="8"/>
      <c r="W127" s="8"/>
      <c r="X127" s="8" t="s">
        <v>738</v>
      </c>
      <c r="Y127" s="8"/>
      <c r="Z127" s="8"/>
      <c r="AA127" s="8" t="s">
        <v>395</v>
      </c>
      <c r="AB127" s="8"/>
      <c r="AC127" s="8"/>
      <c r="AD127" s="8"/>
      <c r="AE127" s="8"/>
      <c r="AF127" s="8"/>
      <c r="AG127" s="8"/>
      <c r="AH127" s="8"/>
      <c r="AI127" s="8"/>
      <c r="AJ127" s="17" t="s">
        <v>753</v>
      </c>
      <c r="AK127" s="17" t="s">
        <v>166</v>
      </c>
      <c r="AL127" s="17" t="s">
        <v>67</v>
      </c>
      <c r="AM127" s="17">
        <v>19.41</v>
      </c>
      <c r="AN127" s="17">
        <v>31</v>
      </c>
      <c r="AO127" s="17">
        <v>16.09</v>
      </c>
      <c r="AP127" s="17">
        <v>30.7</v>
      </c>
      <c r="AQ127" s="17">
        <v>28</v>
      </c>
      <c r="AR127" s="17">
        <v>23.78</v>
      </c>
      <c r="AS127" s="17"/>
      <c r="AT127" s="8"/>
      <c r="AU127" s="8" t="s">
        <v>748</v>
      </c>
      <c r="AV127" s="8">
        <v>112</v>
      </c>
      <c r="AW127" s="8">
        <v>112</v>
      </c>
    </row>
    <row r="128" spans="1:49" x14ac:dyDescent="0.2">
      <c r="A128" s="8" t="s">
        <v>708</v>
      </c>
      <c r="B128" s="8">
        <v>2020</v>
      </c>
      <c r="C128" s="8" t="s">
        <v>312</v>
      </c>
      <c r="D128" s="8" t="s">
        <v>105</v>
      </c>
      <c r="E128" s="8" t="s">
        <v>106</v>
      </c>
      <c r="F128" s="8" t="s">
        <v>89</v>
      </c>
      <c r="G128" s="8" t="s">
        <v>709</v>
      </c>
      <c r="H128" s="8" t="s">
        <v>710</v>
      </c>
      <c r="I128" s="8" t="s">
        <v>711</v>
      </c>
      <c r="J128" s="8" t="s">
        <v>452</v>
      </c>
      <c r="K128" s="8" t="s">
        <v>56</v>
      </c>
      <c r="L128" s="8" t="s">
        <v>712</v>
      </c>
      <c r="M128" s="8" t="s">
        <v>712</v>
      </c>
      <c r="N128" s="8" t="s">
        <v>57</v>
      </c>
      <c r="O128" s="8" t="s">
        <v>57</v>
      </c>
      <c r="P128" s="8" t="s">
        <v>57</v>
      </c>
      <c r="Q128" s="8" t="s">
        <v>57</v>
      </c>
      <c r="R128" s="8"/>
      <c r="S128" s="8"/>
      <c r="T128" s="8"/>
      <c r="U128" s="8"/>
      <c r="V128" s="8"/>
      <c r="W128" s="8"/>
      <c r="X128" s="8" t="s">
        <v>739</v>
      </c>
      <c r="Y128" s="8"/>
      <c r="Z128" s="8"/>
      <c r="AA128" s="8" t="s">
        <v>395</v>
      </c>
      <c r="AB128" s="8"/>
      <c r="AC128" s="8"/>
      <c r="AD128" s="8"/>
      <c r="AE128" s="8"/>
      <c r="AF128" s="8"/>
      <c r="AG128" s="8"/>
      <c r="AH128" s="8"/>
      <c r="AI128" s="8"/>
      <c r="AJ128" s="17" t="s">
        <v>168</v>
      </c>
      <c r="AK128" s="17" t="s">
        <v>234</v>
      </c>
      <c r="AL128" s="17" t="s">
        <v>67</v>
      </c>
      <c r="AM128" s="17">
        <v>180.88</v>
      </c>
      <c r="AN128" s="17">
        <v>157</v>
      </c>
      <c r="AO128" s="17">
        <f>1.67*SQRT(AN128)</f>
        <v>20.925040023856585</v>
      </c>
      <c r="AP128" s="17">
        <v>182.36</v>
      </c>
      <c r="AQ128" s="17">
        <v>157</v>
      </c>
      <c r="AR128" s="17">
        <f>1.82*SQRT(AQ128)</f>
        <v>22.804534636777834</v>
      </c>
      <c r="AS128" s="8"/>
      <c r="AT128" s="8"/>
      <c r="AU128" s="8" t="s">
        <v>749</v>
      </c>
      <c r="AV128" s="8">
        <v>30</v>
      </c>
      <c r="AW128" s="8">
        <v>30</v>
      </c>
    </row>
    <row r="129" spans="1:49" x14ac:dyDescent="0.2">
      <c r="A129" s="8" t="s">
        <v>708</v>
      </c>
      <c r="B129" s="8">
        <v>2020</v>
      </c>
      <c r="C129" s="8" t="s">
        <v>87</v>
      </c>
      <c r="D129" s="8" t="s">
        <v>88</v>
      </c>
      <c r="E129" s="8" t="s">
        <v>88</v>
      </c>
      <c r="F129" s="8" t="s">
        <v>89</v>
      </c>
      <c r="G129" s="8" t="s">
        <v>709</v>
      </c>
      <c r="H129" s="8" t="s">
        <v>710</v>
      </c>
      <c r="I129" s="8" t="s">
        <v>711</v>
      </c>
      <c r="J129" s="8" t="s">
        <v>452</v>
      </c>
      <c r="K129" s="8" t="s">
        <v>56</v>
      </c>
      <c r="L129" s="8" t="s">
        <v>712</v>
      </c>
      <c r="M129" s="8" t="s">
        <v>712</v>
      </c>
      <c r="N129" s="8" t="s">
        <v>57</v>
      </c>
      <c r="O129" s="8" t="s">
        <v>57</v>
      </c>
      <c r="P129" s="8" t="s">
        <v>57</v>
      </c>
      <c r="Q129" s="8" t="s">
        <v>57</v>
      </c>
      <c r="R129" s="8"/>
      <c r="S129" s="8"/>
      <c r="T129" s="8"/>
      <c r="U129" s="8"/>
      <c r="V129" s="8"/>
      <c r="W129" s="8"/>
      <c r="X129" s="8" t="s">
        <v>740</v>
      </c>
      <c r="Y129" s="8"/>
      <c r="Z129" s="8"/>
      <c r="AA129" s="8" t="s">
        <v>395</v>
      </c>
      <c r="AB129" s="8"/>
      <c r="AC129" s="8"/>
      <c r="AD129" s="8"/>
      <c r="AE129" s="8"/>
      <c r="AF129" s="8"/>
      <c r="AG129" s="8"/>
      <c r="AH129" s="8"/>
      <c r="AI129" s="8"/>
      <c r="AJ129" s="17" t="s">
        <v>168</v>
      </c>
      <c r="AK129" s="17" t="s">
        <v>234</v>
      </c>
      <c r="AL129" s="17" t="s">
        <v>67</v>
      </c>
      <c r="AM129" s="17">
        <v>180.24</v>
      </c>
      <c r="AN129" s="17">
        <v>157</v>
      </c>
      <c r="AO129" s="17">
        <f>1.67*SQRT(AN129)</f>
        <v>20.925040023856585</v>
      </c>
      <c r="AP129" s="17">
        <v>279.73</v>
      </c>
      <c r="AQ129" s="17">
        <v>157</v>
      </c>
      <c r="AR129" s="17">
        <f>1.82*SQRT(AQ129)</f>
        <v>22.804534636777834</v>
      </c>
      <c r="AS129" s="8"/>
      <c r="AT129" s="8"/>
      <c r="AU129" s="8" t="s">
        <v>749</v>
      </c>
      <c r="AV129" s="8">
        <v>30</v>
      </c>
      <c r="AW129" s="8">
        <v>30</v>
      </c>
    </row>
    <row r="130" spans="1:49" x14ac:dyDescent="0.2">
      <c r="A130" s="17" t="s">
        <v>117</v>
      </c>
      <c r="B130" s="17">
        <v>2011</v>
      </c>
      <c r="C130" s="17" t="s">
        <v>118</v>
      </c>
      <c r="D130" s="17" t="s">
        <v>105</v>
      </c>
      <c r="E130" s="17" t="s">
        <v>106</v>
      </c>
      <c r="F130" s="17" t="s">
        <v>119</v>
      </c>
      <c r="G130" s="17" t="s">
        <v>120</v>
      </c>
      <c r="H130" s="17" t="s">
        <v>91</v>
      </c>
      <c r="I130" s="17" t="s">
        <v>54</v>
      </c>
      <c r="J130" s="17" t="s">
        <v>121</v>
      </c>
      <c r="K130" s="17" t="s">
        <v>56</v>
      </c>
      <c r="L130" s="17" t="s">
        <v>93</v>
      </c>
      <c r="M130" s="17" t="s">
        <v>58</v>
      </c>
      <c r="N130" s="17" t="s">
        <v>93</v>
      </c>
      <c r="O130" s="17" t="s">
        <v>57</v>
      </c>
      <c r="P130" s="17" t="s">
        <v>58</v>
      </c>
      <c r="Q130" s="17" t="s">
        <v>57</v>
      </c>
      <c r="R130" s="17" t="s">
        <v>122</v>
      </c>
      <c r="S130" s="17" t="s">
        <v>123</v>
      </c>
      <c r="T130" s="17" t="s">
        <v>124</v>
      </c>
      <c r="U130" s="17" t="s">
        <v>125</v>
      </c>
      <c r="V130" s="17"/>
      <c r="W130" s="17"/>
      <c r="X130" s="17" t="s">
        <v>126</v>
      </c>
      <c r="Y130" s="17"/>
      <c r="Z130" s="17"/>
      <c r="AA130" s="17"/>
      <c r="AB130" s="17" t="s">
        <v>127</v>
      </c>
      <c r="AC130" s="17"/>
      <c r="AD130" s="17"/>
      <c r="AE130" s="17"/>
      <c r="AF130" s="17"/>
      <c r="AG130" s="17"/>
      <c r="AH130" s="17" t="s">
        <v>64</v>
      </c>
      <c r="AI130" s="17"/>
      <c r="AJ130" s="17" t="s">
        <v>168</v>
      </c>
      <c r="AK130" s="17" t="s">
        <v>169</v>
      </c>
      <c r="AL130" s="17" t="s">
        <v>101</v>
      </c>
      <c r="AM130" s="18"/>
      <c r="AN130" s="18"/>
      <c r="AO130" s="18"/>
      <c r="AP130" s="18" t="s">
        <v>170</v>
      </c>
      <c r="AQ130" s="18" t="s">
        <v>131</v>
      </c>
      <c r="AR130" s="18">
        <f>SQRT(AQ130+AQ131)*(AT130-AS130)*0.5/TINV(1-0.95,AQ130+AQ131-1)</f>
        <v>4.3315624529449908</v>
      </c>
      <c r="AS130" s="17" t="s">
        <v>171</v>
      </c>
      <c r="AT130" s="17" t="s">
        <v>172</v>
      </c>
      <c r="AU130" s="17" t="s">
        <v>690</v>
      </c>
      <c r="AV130" s="17">
        <v>180</v>
      </c>
      <c r="AW130" s="17">
        <v>35</v>
      </c>
    </row>
    <row r="131" spans="1:49" x14ac:dyDescent="0.2">
      <c r="A131" s="17" t="s">
        <v>117</v>
      </c>
      <c r="B131" s="17">
        <v>2011</v>
      </c>
      <c r="C131" s="17" t="s">
        <v>134</v>
      </c>
      <c r="D131" s="17" t="s">
        <v>88</v>
      </c>
      <c r="E131" s="17" t="s">
        <v>88</v>
      </c>
      <c r="F131" s="17" t="s">
        <v>119</v>
      </c>
      <c r="G131" s="17" t="s">
        <v>120</v>
      </c>
      <c r="H131" s="17" t="s">
        <v>91</v>
      </c>
      <c r="I131" s="17" t="s">
        <v>54</v>
      </c>
      <c r="J131" s="17" t="s">
        <v>121</v>
      </c>
      <c r="K131" s="17" t="s">
        <v>56</v>
      </c>
      <c r="L131" s="17" t="s">
        <v>93</v>
      </c>
      <c r="M131" s="17" t="s">
        <v>58</v>
      </c>
      <c r="N131" s="17" t="s">
        <v>93</v>
      </c>
      <c r="O131" s="17" t="s">
        <v>57</v>
      </c>
      <c r="P131" s="17" t="s">
        <v>58</v>
      </c>
      <c r="Q131" s="17" t="s">
        <v>57</v>
      </c>
      <c r="R131" s="17" t="s">
        <v>135</v>
      </c>
      <c r="S131" s="17" t="s">
        <v>136</v>
      </c>
      <c r="T131" s="17" t="s">
        <v>137</v>
      </c>
      <c r="U131" s="17" t="s">
        <v>138</v>
      </c>
      <c r="V131" s="17"/>
      <c r="W131" s="17"/>
      <c r="X131" s="17" t="s">
        <v>139</v>
      </c>
      <c r="Y131" s="17"/>
      <c r="Z131" s="17"/>
      <c r="AA131" s="17"/>
      <c r="AB131" s="17" t="s">
        <v>140</v>
      </c>
      <c r="AC131" s="17"/>
      <c r="AD131" s="17"/>
      <c r="AE131" s="17"/>
      <c r="AF131" s="17"/>
      <c r="AG131" s="17"/>
      <c r="AH131" s="17" t="s">
        <v>100</v>
      </c>
      <c r="AI131" s="17"/>
      <c r="AJ131" s="17" t="s">
        <v>168</v>
      </c>
      <c r="AK131" s="17" t="s">
        <v>169</v>
      </c>
      <c r="AL131" s="17" t="s">
        <v>101</v>
      </c>
      <c r="AM131" s="18"/>
      <c r="AN131" s="18"/>
      <c r="AO131" s="18"/>
      <c r="AP131" s="18"/>
      <c r="AQ131" s="18" t="s">
        <v>141</v>
      </c>
      <c r="AR131" s="18"/>
      <c r="AS131" s="17"/>
      <c r="AT131" s="17"/>
      <c r="AU131" s="17" t="s">
        <v>690</v>
      </c>
      <c r="AV131" s="17">
        <v>180</v>
      </c>
      <c r="AW131" s="17">
        <v>35</v>
      </c>
    </row>
    <row r="132" spans="1:49" x14ac:dyDescent="0.2">
      <c r="A132" s="17" t="s">
        <v>505</v>
      </c>
      <c r="B132" s="17">
        <v>2010</v>
      </c>
      <c r="C132" s="17" t="s">
        <v>506</v>
      </c>
      <c r="D132" s="17" t="s">
        <v>88</v>
      </c>
      <c r="E132" s="17" t="s">
        <v>88</v>
      </c>
      <c r="F132" s="17" t="s">
        <v>175</v>
      </c>
      <c r="G132" s="17" t="s">
        <v>507</v>
      </c>
      <c r="H132" s="17" t="s">
        <v>53</v>
      </c>
      <c r="I132" s="17" t="s">
        <v>54</v>
      </c>
      <c r="J132" s="17" t="s">
        <v>92</v>
      </c>
      <c r="K132" s="17" t="s">
        <v>177</v>
      </c>
      <c r="L132" s="17" t="s">
        <v>58</v>
      </c>
      <c r="M132" s="17" t="s">
        <v>58</v>
      </c>
      <c r="N132" s="17" t="s">
        <v>93</v>
      </c>
      <c r="O132" s="17" t="s">
        <v>58</v>
      </c>
      <c r="P132" s="17" t="s">
        <v>58</v>
      </c>
      <c r="Q132" s="17" t="s">
        <v>58</v>
      </c>
      <c r="R132" s="17" t="s">
        <v>508</v>
      </c>
      <c r="S132" s="17" t="s">
        <v>509</v>
      </c>
      <c r="T132" s="17"/>
      <c r="U132" s="17"/>
      <c r="V132" s="17"/>
      <c r="W132" s="17"/>
      <c r="X132" s="17" t="s">
        <v>510</v>
      </c>
      <c r="Y132" s="17"/>
      <c r="Z132" s="17"/>
      <c r="AA132" s="17"/>
      <c r="AB132" s="17" t="s">
        <v>511</v>
      </c>
      <c r="AC132" s="17"/>
      <c r="AD132" s="17"/>
      <c r="AE132" s="17"/>
      <c r="AF132" s="17"/>
      <c r="AG132" s="17"/>
      <c r="AH132" s="17" t="s">
        <v>512</v>
      </c>
      <c r="AI132" s="17"/>
      <c r="AJ132" s="17" t="s">
        <v>168</v>
      </c>
      <c r="AK132" s="17" t="s">
        <v>513</v>
      </c>
      <c r="AL132" s="17" t="s">
        <v>67</v>
      </c>
      <c r="AM132" s="18" t="s">
        <v>514</v>
      </c>
      <c r="AN132" s="18" t="s">
        <v>515</v>
      </c>
      <c r="AO132" s="18" t="s">
        <v>516</v>
      </c>
      <c r="AP132" s="18" t="s">
        <v>517</v>
      </c>
      <c r="AQ132" s="18" t="s">
        <v>515</v>
      </c>
      <c r="AR132" s="18" t="s">
        <v>518</v>
      </c>
      <c r="AS132" s="17"/>
      <c r="AT132" s="17"/>
      <c r="AU132" s="17" t="s">
        <v>519</v>
      </c>
      <c r="AV132" s="17">
        <v>365</v>
      </c>
      <c r="AW132" s="17">
        <v>365</v>
      </c>
    </row>
    <row r="133" spans="1:49" x14ac:dyDescent="0.2">
      <c r="A133" s="17" t="s">
        <v>505</v>
      </c>
      <c r="B133" s="17">
        <v>2010</v>
      </c>
      <c r="C133" s="17" t="s">
        <v>520</v>
      </c>
      <c r="D133" s="17" t="s">
        <v>191</v>
      </c>
      <c r="E133" s="17" t="s">
        <v>192</v>
      </c>
      <c r="F133" s="17" t="s">
        <v>175</v>
      </c>
      <c r="G133" s="17" t="s">
        <v>507</v>
      </c>
      <c r="H133" s="17" t="s">
        <v>53</v>
      </c>
      <c r="I133" s="17" t="s">
        <v>54</v>
      </c>
      <c r="J133" s="17" t="s">
        <v>92</v>
      </c>
      <c r="K133" s="17" t="s">
        <v>177</v>
      </c>
      <c r="L133" s="17" t="s">
        <v>58</v>
      </c>
      <c r="M133" s="17" t="s">
        <v>58</v>
      </c>
      <c r="N133" s="17" t="s">
        <v>93</v>
      </c>
      <c r="O133" s="17" t="s">
        <v>58</v>
      </c>
      <c r="P133" s="17" t="s">
        <v>58</v>
      </c>
      <c r="Q133" s="17" t="s">
        <v>58</v>
      </c>
      <c r="R133" s="17" t="s">
        <v>521</v>
      </c>
      <c r="S133" s="17" t="s">
        <v>522</v>
      </c>
      <c r="T133" s="17"/>
      <c r="U133" s="17"/>
      <c r="V133" s="17"/>
      <c r="W133" s="17"/>
      <c r="X133" s="17" t="s">
        <v>523</v>
      </c>
      <c r="Y133" s="17"/>
      <c r="Z133" s="17"/>
      <c r="AA133" s="17"/>
      <c r="AB133" s="17" t="s">
        <v>524</v>
      </c>
      <c r="AC133" s="17"/>
      <c r="AD133" s="17"/>
      <c r="AE133" s="17"/>
      <c r="AF133" s="17"/>
      <c r="AG133" s="17"/>
      <c r="AH133" s="17" t="s">
        <v>525</v>
      </c>
      <c r="AI133" s="17"/>
      <c r="AJ133" s="17" t="s">
        <v>168</v>
      </c>
      <c r="AK133" s="17" t="s">
        <v>513</v>
      </c>
      <c r="AL133" s="17" t="s">
        <v>67</v>
      </c>
      <c r="AM133" s="18" t="s">
        <v>526</v>
      </c>
      <c r="AN133" s="18" t="s">
        <v>515</v>
      </c>
      <c r="AO133" s="18" t="s">
        <v>527</v>
      </c>
      <c r="AP133" s="18" t="s">
        <v>528</v>
      </c>
      <c r="AQ133" s="18" t="s">
        <v>515</v>
      </c>
      <c r="AR133" s="18" t="s">
        <v>529</v>
      </c>
      <c r="AS133" s="17"/>
      <c r="AT133" s="17"/>
      <c r="AU133" s="17" t="s">
        <v>519</v>
      </c>
      <c r="AV133" s="17">
        <v>365</v>
      </c>
      <c r="AW133" s="17">
        <v>365</v>
      </c>
    </row>
    <row r="134" spans="1:49" x14ac:dyDescent="0.2">
      <c r="A134" s="8" t="s">
        <v>704</v>
      </c>
      <c r="B134" s="8">
        <v>2019</v>
      </c>
      <c r="C134" s="8" t="s">
        <v>118</v>
      </c>
      <c r="D134" s="8" t="s">
        <v>191</v>
      </c>
      <c r="E134" s="8" t="s">
        <v>192</v>
      </c>
      <c r="F134" s="8" t="s">
        <v>258</v>
      </c>
      <c r="G134" s="8" t="s">
        <v>705</v>
      </c>
      <c r="H134" s="8" t="s">
        <v>706</v>
      </c>
      <c r="I134" s="8" t="s">
        <v>706</v>
      </c>
      <c r="J134" s="8" t="s">
        <v>707</v>
      </c>
      <c r="K134" s="8" t="s">
        <v>56</v>
      </c>
      <c r="L134" s="8" t="s">
        <v>93</v>
      </c>
      <c r="M134" s="8" t="s">
        <v>57</v>
      </c>
      <c r="N134" s="8" t="s">
        <v>93</v>
      </c>
      <c r="O134" s="8" t="s">
        <v>58</v>
      </c>
      <c r="P134" s="8" t="s">
        <v>58</v>
      </c>
      <c r="Q134" s="8" t="s">
        <v>57</v>
      </c>
      <c r="R134" s="8" t="s">
        <v>722</v>
      </c>
      <c r="S134" s="10">
        <v>0.76700000000000002</v>
      </c>
      <c r="T134" s="8" t="s">
        <v>728</v>
      </c>
      <c r="U134" s="10">
        <v>0.83330000000000004</v>
      </c>
      <c r="V134" s="8"/>
      <c r="W134" s="8"/>
      <c r="X134" s="8" t="s">
        <v>737</v>
      </c>
      <c r="Y134" s="8"/>
      <c r="Z134" s="8"/>
      <c r="AA134" s="8" t="s">
        <v>395</v>
      </c>
      <c r="AB134" s="8"/>
      <c r="AC134" s="8"/>
      <c r="AD134" s="8"/>
      <c r="AE134" s="8"/>
      <c r="AF134" s="8"/>
      <c r="AG134" s="8"/>
      <c r="AH134" s="8"/>
      <c r="AI134" s="8"/>
      <c r="AJ134" s="17" t="s">
        <v>168</v>
      </c>
      <c r="AK134" s="17" t="s">
        <v>767</v>
      </c>
      <c r="AL134" s="17" t="s">
        <v>67</v>
      </c>
      <c r="AM134" s="17">
        <v>31.18</v>
      </c>
      <c r="AN134" s="17">
        <v>22</v>
      </c>
      <c r="AO134" s="17">
        <v>6.14</v>
      </c>
      <c r="AP134" s="17">
        <v>31.79</v>
      </c>
      <c r="AQ134" s="17">
        <v>17</v>
      </c>
      <c r="AR134" s="17">
        <v>5.41</v>
      </c>
      <c r="AS134" s="17"/>
      <c r="AT134" s="8"/>
      <c r="AU134" s="8" t="s">
        <v>748</v>
      </c>
      <c r="AV134" s="8">
        <v>112</v>
      </c>
      <c r="AW134" s="8">
        <v>112</v>
      </c>
    </row>
    <row r="135" spans="1:49" x14ac:dyDescent="0.2">
      <c r="A135" s="8" t="s">
        <v>704</v>
      </c>
      <c r="B135" s="8">
        <v>2019</v>
      </c>
      <c r="C135" s="8" t="s">
        <v>87</v>
      </c>
      <c r="D135" s="8" t="s">
        <v>88</v>
      </c>
      <c r="E135" s="8" t="s">
        <v>88</v>
      </c>
      <c r="F135" s="8" t="s">
        <v>258</v>
      </c>
      <c r="G135" s="8" t="s">
        <v>705</v>
      </c>
      <c r="H135" s="8" t="s">
        <v>706</v>
      </c>
      <c r="I135" s="8" t="s">
        <v>706</v>
      </c>
      <c r="J135" s="8" t="s">
        <v>707</v>
      </c>
      <c r="K135" s="8" t="s">
        <v>56</v>
      </c>
      <c r="L135" s="8" t="s">
        <v>93</v>
      </c>
      <c r="M135" s="8" t="s">
        <v>57</v>
      </c>
      <c r="N135" s="8" t="s">
        <v>93</v>
      </c>
      <c r="O135" s="8" t="s">
        <v>58</v>
      </c>
      <c r="P135" s="8" t="s">
        <v>58</v>
      </c>
      <c r="Q135" s="8" t="s">
        <v>57</v>
      </c>
      <c r="R135" s="8" t="s">
        <v>723</v>
      </c>
      <c r="S135" s="10">
        <v>0.67700000000000005</v>
      </c>
      <c r="T135" s="8" t="s">
        <v>729</v>
      </c>
      <c r="U135" s="10">
        <v>0.74229999999999996</v>
      </c>
      <c r="V135" s="8"/>
      <c r="W135" s="8"/>
      <c r="X135" s="8" t="s">
        <v>738</v>
      </c>
      <c r="Y135" s="8"/>
      <c r="Z135" s="8"/>
      <c r="AA135" s="8" t="s">
        <v>395</v>
      </c>
      <c r="AB135" s="8"/>
      <c r="AC135" s="8"/>
      <c r="AD135" s="8"/>
      <c r="AE135" s="8"/>
      <c r="AF135" s="8"/>
      <c r="AG135" s="8"/>
      <c r="AH135" s="8"/>
      <c r="AI135" s="8"/>
      <c r="AJ135" s="17" t="s">
        <v>168</v>
      </c>
      <c r="AK135" s="17" t="s">
        <v>767</v>
      </c>
      <c r="AL135" s="17" t="s">
        <v>67</v>
      </c>
      <c r="AM135" s="17">
        <v>33.29</v>
      </c>
      <c r="AN135" s="17">
        <v>20</v>
      </c>
      <c r="AO135" s="17">
        <v>4.96</v>
      </c>
      <c r="AP135" s="17">
        <v>32.39</v>
      </c>
      <c r="AQ135" s="17">
        <v>17</v>
      </c>
      <c r="AR135" s="17">
        <v>4.33</v>
      </c>
      <c r="AS135" s="17"/>
      <c r="AT135" s="8"/>
      <c r="AU135" s="8" t="s">
        <v>748</v>
      </c>
      <c r="AV135" s="8">
        <v>112</v>
      </c>
      <c r="AW135" s="8">
        <v>112</v>
      </c>
    </row>
    <row r="136" spans="1:49" x14ac:dyDescent="0.2">
      <c r="A136" s="17" t="s">
        <v>647</v>
      </c>
      <c r="B136" s="17">
        <v>2010</v>
      </c>
      <c r="C136" s="17" t="s">
        <v>648</v>
      </c>
      <c r="D136" s="17" t="s">
        <v>191</v>
      </c>
      <c r="E136" s="17" t="s">
        <v>192</v>
      </c>
      <c r="F136" s="17" t="s">
        <v>175</v>
      </c>
      <c r="G136" s="17" t="s">
        <v>176</v>
      </c>
      <c r="H136" s="17" t="s">
        <v>53</v>
      </c>
      <c r="I136" s="17" t="s">
        <v>54</v>
      </c>
      <c r="J136" s="17" t="s">
        <v>260</v>
      </c>
      <c r="K136" s="17" t="s">
        <v>488</v>
      </c>
      <c r="L136" s="17" t="s">
        <v>58</v>
      </c>
      <c r="M136" s="17" t="s">
        <v>58</v>
      </c>
      <c r="N136" s="17" t="s">
        <v>93</v>
      </c>
      <c r="O136" s="17" t="s">
        <v>58</v>
      </c>
      <c r="P136" s="17" t="s">
        <v>58</v>
      </c>
      <c r="Q136" s="17" t="s">
        <v>58</v>
      </c>
      <c r="R136" s="17"/>
      <c r="S136" s="17"/>
      <c r="T136" s="17"/>
      <c r="U136" s="17"/>
      <c r="V136" s="17"/>
      <c r="W136" s="17"/>
      <c r="X136" s="17" t="s">
        <v>649</v>
      </c>
      <c r="Y136" s="17"/>
      <c r="Z136" s="17"/>
      <c r="AA136" s="17"/>
      <c r="AB136" s="17" t="s">
        <v>650</v>
      </c>
      <c r="AC136" s="17"/>
      <c r="AD136" s="17"/>
      <c r="AE136" s="17"/>
      <c r="AF136" s="17"/>
      <c r="AG136" s="17"/>
      <c r="AH136" s="17" t="s">
        <v>651</v>
      </c>
      <c r="AI136" s="17"/>
      <c r="AJ136" s="17" t="s">
        <v>168</v>
      </c>
      <c r="AK136" s="17" t="s">
        <v>513</v>
      </c>
      <c r="AL136" s="17" t="s">
        <v>67</v>
      </c>
      <c r="AM136" s="18">
        <v>431.4</v>
      </c>
      <c r="AN136" s="18">
        <v>25</v>
      </c>
      <c r="AO136" s="18">
        <v>126.5</v>
      </c>
      <c r="AP136" s="18">
        <v>524.70000000000005</v>
      </c>
      <c r="AQ136" s="18">
        <v>25</v>
      </c>
      <c r="AR136" s="18">
        <v>128.4</v>
      </c>
      <c r="AS136" s="17"/>
      <c r="AT136" s="17"/>
      <c r="AU136" s="17" t="s">
        <v>189</v>
      </c>
      <c r="AV136" s="17">
        <v>365</v>
      </c>
      <c r="AW136" s="17">
        <v>365</v>
      </c>
    </row>
    <row r="137" spans="1:49" x14ac:dyDescent="0.2">
      <c r="A137" s="17" t="s">
        <v>647</v>
      </c>
      <c r="B137" s="17">
        <v>2010</v>
      </c>
      <c r="C137" s="17" t="s">
        <v>652</v>
      </c>
      <c r="D137" s="17" t="s">
        <v>88</v>
      </c>
      <c r="E137" s="17" t="s">
        <v>88</v>
      </c>
      <c r="F137" s="17" t="s">
        <v>175</v>
      </c>
      <c r="G137" s="17" t="s">
        <v>176</v>
      </c>
      <c r="H137" s="17" t="s">
        <v>53</v>
      </c>
      <c r="I137" s="17" t="s">
        <v>54</v>
      </c>
      <c r="J137" s="17" t="s">
        <v>260</v>
      </c>
      <c r="K137" s="17" t="s">
        <v>488</v>
      </c>
      <c r="L137" s="17" t="s">
        <v>58</v>
      </c>
      <c r="M137" s="17" t="s">
        <v>58</v>
      </c>
      <c r="N137" s="17" t="s">
        <v>93</v>
      </c>
      <c r="O137" s="17" t="s">
        <v>58</v>
      </c>
      <c r="P137" s="17" t="s">
        <v>58</v>
      </c>
      <c r="Q137" s="17" t="s">
        <v>58</v>
      </c>
      <c r="R137" s="17"/>
      <c r="S137" s="17"/>
      <c r="T137" s="17"/>
      <c r="U137" s="17"/>
      <c r="V137" s="17"/>
      <c r="W137" s="17"/>
      <c r="X137" s="17" t="s">
        <v>653</v>
      </c>
      <c r="Y137" s="17"/>
      <c r="Z137" s="17"/>
      <c r="AA137" s="17"/>
      <c r="AB137" s="17" t="s">
        <v>654</v>
      </c>
      <c r="AC137" s="17"/>
      <c r="AD137" s="17"/>
      <c r="AE137" s="17"/>
      <c r="AF137" s="17"/>
      <c r="AG137" s="17"/>
      <c r="AH137" s="17" t="s">
        <v>655</v>
      </c>
      <c r="AI137" s="17"/>
      <c r="AJ137" s="17" t="s">
        <v>168</v>
      </c>
      <c r="AK137" s="17" t="s">
        <v>513</v>
      </c>
      <c r="AL137" s="17" t="s">
        <v>67</v>
      </c>
      <c r="AM137" s="18">
        <v>415.3</v>
      </c>
      <c r="AN137" s="18">
        <v>25</v>
      </c>
      <c r="AO137" s="18">
        <v>140.80000000000001</v>
      </c>
      <c r="AP137" s="18">
        <v>370.8</v>
      </c>
      <c r="AQ137" s="18">
        <v>25</v>
      </c>
      <c r="AR137" s="18">
        <v>132.6</v>
      </c>
      <c r="AS137" s="17"/>
      <c r="AT137" s="17"/>
      <c r="AU137" s="17" t="s">
        <v>189</v>
      </c>
      <c r="AV137" s="17">
        <v>365</v>
      </c>
      <c r="AW137" s="17">
        <v>365</v>
      </c>
    </row>
  </sheetData>
  <autoFilter ref="A1:AW137" xr:uid="{00000000-0001-0000-0000-000000000000}">
    <sortState xmlns:xlrd2="http://schemas.microsoft.com/office/spreadsheetml/2017/richdata2" ref="A2:AW137">
      <sortCondition ref="AJ1:AJ137"/>
    </sortState>
  </autoFilter>
  <pageMargins left="0.7" right="0.7" top="0.75" bottom="0.75" header="0.3" footer="0.3"/>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A557A2-F13C-7244-AFA4-E6ECE06F852E}">
  <dimension ref="A1:F10"/>
  <sheetViews>
    <sheetView tabSelected="1" zoomScale="181" workbookViewId="0">
      <selection activeCell="E1" sqref="E1:F9"/>
    </sheetView>
  </sheetViews>
  <sheetFormatPr baseColWidth="10" defaultRowHeight="15" x14ac:dyDescent="0.2"/>
  <cols>
    <col min="1" max="1" width="12.1640625" bestFit="1" customWidth="1"/>
    <col min="2" max="2" width="20.33203125" bestFit="1" customWidth="1"/>
  </cols>
  <sheetData>
    <row r="1" spans="1:6" x14ac:dyDescent="0.2">
      <c r="A1" s="19" t="s">
        <v>780</v>
      </c>
      <c r="B1" t="s">
        <v>779</v>
      </c>
      <c r="E1" t="s">
        <v>780</v>
      </c>
      <c r="F1" t="s">
        <v>779</v>
      </c>
    </row>
    <row r="2" spans="1:6" x14ac:dyDescent="0.2">
      <c r="A2" s="20" t="s">
        <v>175</v>
      </c>
      <c r="B2" s="25">
        <v>12</v>
      </c>
      <c r="E2" t="s">
        <v>175</v>
      </c>
      <c r="F2">
        <v>12</v>
      </c>
    </row>
    <row r="3" spans="1:6" x14ac:dyDescent="0.2">
      <c r="A3" s="20" t="s">
        <v>429</v>
      </c>
      <c r="B3" s="25">
        <v>1</v>
      </c>
      <c r="E3" t="s">
        <v>429</v>
      </c>
      <c r="F3">
        <v>1</v>
      </c>
    </row>
    <row r="4" spans="1:6" x14ac:dyDescent="0.2">
      <c r="A4" s="20" t="s">
        <v>89</v>
      </c>
      <c r="B4" s="25">
        <v>2</v>
      </c>
      <c r="E4" t="s">
        <v>89</v>
      </c>
      <c r="F4">
        <v>2</v>
      </c>
    </row>
    <row r="5" spans="1:6" x14ac:dyDescent="0.2">
      <c r="A5" s="20" t="s">
        <v>279</v>
      </c>
      <c r="B5" s="25">
        <v>6</v>
      </c>
      <c r="E5" t="s">
        <v>279</v>
      </c>
      <c r="F5">
        <v>6</v>
      </c>
    </row>
    <row r="6" spans="1:6" x14ac:dyDescent="0.2">
      <c r="A6" s="20" t="s">
        <v>119</v>
      </c>
      <c r="B6" s="25">
        <v>1</v>
      </c>
      <c r="E6" t="s">
        <v>119</v>
      </c>
      <c r="F6">
        <v>1</v>
      </c>
    </row>
    <row r="7" spans="1:6" x14ac:dyDescent="0.2">
      <c r="A7" s="20" t="s">
        <v>334</v>
      </c>
      <c r="B7" s="25">
        <v>1</v>
      </c>
      <c r="E7" t="s">
        <v>334</v>
      </c>
      <c r="F7">
        <v>1</v>
      </c>
    </row>
    <row r="8" spans="1:6" x14ac:dyDescent="0.2">
      <c r="A8" s="20" t="s">
        <v>258</v>
      </c>
      <c r="B8" s="25">
        <v>3</v>
      </c>
      <c r="E8" t="s">
        <v>258</v>
      </c>
      <c r="F8">
        <v>3</v>
      </c>
    </row>
    <row r="9" spans="1:6" x14ac:dyDescent="0.2">
      <c r="A9" s="20" t="s">
        <v>747</v>
      </c>
      <c r="B9" s="25">
        <v>1</v>
      </c>
      <c r="E9" t="s">
        <v>747</v>
      </c>
      <c r="F9">
        <v>1</v>
      </c>
    </row>
    <row r="10" spans="1:6" x14ac:dyDescent="0.2">
      <c r="A10" s="20" t="s">
        <v>781</v>
      </c>
      <c r="B10" s="25">
        <v>27</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74DCD6-A32F-3D48-9AF7-242325D753C8}">
  <dimension ref="A1:G42"/>
  <sheetViews>
    <sheetView workbookViewId="0">
      <selection activeCell="O27" sqref="O27"/>
    </sheetView>
  </sheetViews>
  <sheetFormatPr baseColWidth="10" defaultRowHeight="15" x14ac:dyDescent="0.2"/>
  <cols>
    <col min="1" max="1" width="12.1640625" bestFit="1" customWidth="1"/>
    <col min="2" max="2" width="20.33203125" bestFit="1" customWidth="1"/>
  </cols>
  <sheetData>
    <row r="1" spans="1:2" x14ac:dyDescent="0.2">
      <c r="A1" s="19" t="s">
        <v>780</v>
      </c>
      <c r="B1" t="s">
        <v>779</v>
      </c>
    </row>
    <row r="2" spans="1:2" x14ac:dyDescent="0.2">
      <c r="A2" s="20">
        <v>2008</v>
      </c>
      <c r="B2" s="25">
        <v>1</v>
      </c>
    </row>
    <row r="3" spans="1:2" x14ac:dyDescent="0.2">
      <c r="A3" s="20">
        <v>2010</v>
      </c>
      <c r="B3" s="25">
        <v>5</v>
      </c>
    </row>
    <row r="4" spans="1:2" x14ac:dyDescent="0.2">
      <c r="A4" s="20">
        <v>2011</v>
      </c>
      <c r="B4" s="25">
        <v>1</v>
      </c>
    </row>
    <row r="5" spans="1:2" x14ac:dyDescent="0.2">
      <c r="A5" s="20">
        <v>2012</v>
      </c>
      <c r="B5" s="25">
        <v>3</v>
      </c>
    </row>
    <row r="6" spans="1:2" x14ac:dyDescent="0.2">
      <c r="A6" s="20">
        <v>2014</v>
      </c>
      <c r="B6" s="25">
        <v>2</v>
      </c>
    </row>
    <row r="7" spans="1:2" x14ac:dyDescent="0.2">
      <c r="A7" s="20">
        <v>2016</v>
      </c>
      <c r="B7" s="25">
        <v>1</v>
      </c>
    </row>
    <row r="8" spans="1:2" x14ac:dyDescent="0.2">
      <c r="A8" s="20">
        <v>2017</v>
      </c>
      <c r="B8" s="25">
        <v>6</v>
      </c>
    </row>
    <row r="9" spans="1:2" x14ac:dyDescent="0.2">
      <c r="A9" s="20">
        <v>2018</v>
      </c>
      <c r="B9" s="25">
        <v>1</v>
      </c>
    </row>
    <row r="10" spans="1:2" x14ac:dyDescent="0.2">
      <c r="A10" s="20">
        <v>2019</v>
      </c>
      <c r="B10" s="25">
        <v>3</v>
      </c>
    </row>
    <row r="11" spans="1:2" x14ac:dyDescent="0.2">
      <c r="A11" s="20">
        <v>2020</v>
      </c>
      <c r="B11" s="25">
        <v>4</v>
      </c>
    </row>
    <row r="12" spans="1:2" x14ac:dyDescent="0.2">
      <c r="A12" s="20" t="s">
        <v>781</v>
      </c>
      <c r="B12" s="25">
        <v>27</v>
      </c>
    </row>
    <row r="27" spans="6:7" x14ac:dyDescent="0.2">
      <c r="F27" s="21" t="s">
        <v>782</v>
      </c>
      <c r="G27" s="21" t="s">
        <v>783</v>
      </c>
    </row>
    <row r="28" spans="6:7" x14ac:dyDescent="0.2">
      <c r="F28" s="20">
        <v>2008</v>
      </c>
      <c r="G28" s="25">
        <v>1</v>
      </c>
    </row>
    <row r="29" spans="6:7" x14ac:dyDescent="0.2">
      <c r="F29">
        <v>2009</v>
      </c>
      <c r="G29">
        <v>0</v>
      </c>
    </row>
    <row r="30" spans="6:7" x14ac:dyDescent="0.2">
      <c r="F30" s="20">
        <v>2010</v>
      </c>
      <c r="G30" s="25">
        <v>5</v>
      </c>
    </row>
    <row r="31" spans="6:7" x14ac:dyDescent="0.2">
      <c r="F31" s="20">
        <v>2011</v>
      </c>
      <c r="G31" s="25">
        <v>1</v>
      </c>
    </row>
    <row r="32" spans="6:7" x14ac:dyDescent="0.2">
      <c r="F32" s="20">
        <v>2012</v>
      </c>
      <c r="G32" s="25">
        <v>3</v>
      </c>
    </row>
    <row r="33" spans="6:7" x14ac:dyDescent="0.2">
      <c r="F33" s="20">
        <v>2013</v>
      </c>
      <c r="G33" s="25">
        <v>0</v>
      </c>
    </row>
    <row r="34" spans="6:7" x14ac:dyDescent="0.2">
      <c r="F34" s="20">
        <v>2014</v>
      </c>
      <c r="G34" s="25">
        <v>2</v>
      </c>
    </row>
    <row r="35" spans="6:7" x14ac:dyDescent="0.2">
      <c r="F35" s="20">
        <v>2015</v>
      </c>
      <c r="G35" s="25">
        <v>0</v>
      </c>
    </row>
    <row r="36" spans="6:7" x14ac:dyDescent="0.2">
      <c r="F36" s="20">
        <v>2016</v>
      </c>
      <c r="G36" s="25">
        <v>1</v>
      </c>
    </row>
    <row r="37" spans="6:7" x14ac:dyDescent="0.2">
      <c r="F37" s="20">
        <v>2017</v>
      </c>
      <c r="G37" s="25">
        <v>6</v>
      </c>
    </row>
    <row r="38" spans="6:7" x14ac:dyDescent="0.2">
      <c r="F38" s="20">
        <v>2018</v>
      </c>
      <c r="G38" s="25">
        <v>1</v>
      </c>
    </row>
    <row r="39" spans="6:7" x14ac:dyDescent="0.2">
      <c r="F39" s="20">
        <v>2019</v>
      </c>
      <c r="G39" s="25">
        <v>3</v>
      </c>
    </row>
    <row r="40" spans="6:7" x14ac:dyDescent="0.2">
      <c r="F40" s="20">
        <v>2020</v>
      </c>
      <c r="G40" s="25">
        <v>4</v>
      </c>
    </row>
    <row r="41" spans="6:7" x14ac:dyDescent="0.2">
      <c r="F41" s="20">
        <v>2021</v>
      </c>
      <c r="G41" s="25">
        <v>0</v>
      </c>
    </row>
    <row r="42" spans="6:7" x14ac:dyDescent="0.2">
      <c r="F42" s="20">
        <v>2022</v>
      </c>
      <c r="G42" s="25">
        <v>0</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55B887-0FAF-1048-A68A-0D8CABECA339}">
  <dimension ref="A1:AC137"/>
  <sheetViews>
    <sheetView workbookViewId="0">
      <selection activeCell="D18" sqref="D18"/>
    </sheetView>
  </sheetViews>
  <sheetFormatPr baseColWidth="10" defaultRowHeight="15" x14ac:dyDescent="0.2"/>
  <cols>
    <col min="1" max="1" width="20.1640625" customWidth="1"/>
    <col min="9" max="14" width="10.83203125" style="27"/>
  </cols>
  <sheetData>
    <row r="1" spans="1:29" x14ac:dyDescent="0.2">
      <c r="A1" s="17" t="s">
        <v>0</v>
      </c>
      <c r="B1" s="17" t="s">
        <v>1</v>
      </c>
      <c r="C1" s="17" t="s">
        <v>5</v>
      </c>
      <c r="D1" s="17" t="s">
        <v>6</v>
      </c>
      <c r="E1" s="17" t="s">
        <v>7</v>
      </c>
      <c r="F1" s="17" t="s">
        <v>8</v>
      </c>
      <c r="G1" s="17" t="s">
        <v>9</v>
      </c>
      <c r="H1" s="17" t="s">
        <v>10</v>
      </c>
      <c r="I1" s="23" t="s">
        <v>11</v>
      </c>
      <c r="J1" s="23" t="s">
        <v>12</v>
      </c>
      <c r="K1" s="23" t="s">
        <v>13</v>
      </c>
      <c r="L1" s="23" t="s">
        <v>14</v>
      </c>
      <c r="M1" s="23" t="s">
        <v>15</v>
      </c>
      <c r="N1" s="23" t="s">
        <v>16</v>
      </c>
      <c r="O1" s="22"/>
      <c r="P1" s="22"/>
      <c r="Q1" s="22"/>
      <c r="R1" s="17"/>
      <c r="S1" s="17"/>
      <c r="T1" s="17"/>
      <c r="U1" s="17"/>
      <c r="V1" s="17"/>
      <c r="W1" s="17"/>
      <c r="X1" s="17"/>
      <c r="Y1" s="17"/>
      <c r="Z1" s="17"/>
      <c r="AA1" s="17"/>
      <c r="AB1" s="17"/>
      <c r="AC1" s="17"/>
    </row>
    <row r="2" spans="1:29" x14ac:dyDescent="0.2">
      <c r="A2" s="17" t="s">
        <v>86</v>
      </c>
      <c r="B2" s="17">
        <v>2008</v>
      </c>
      <c r="C2" s="17" t="s">
        <v>89</v>
      </c>
      <c r="D2" s="17" t="s">
        <v>90</v>
      </c>
      <c r="E2" s="17" t="s">
        <v>91</v>
      </c>
      <c r="F2" s="17" t="s">
        <v>54</v>
      </c>
      <c r="G2" s="17" t="s">
        <v>92</v>
      </c>
      <c r="H2" s="17" t="s">
        <v>56</v>
      </c>
      <c r="I2" s="23" t="s">
        <v>93</v>
      </c>
      <c r="J2" s="23" t="s">
        <v>58</v>
      </c>
      <c r="K2" s="23" t="s">
        <v>93</v>
      </c>
      <c r="L2" s="23" t="s">
        <v>57</v>
      </c>
      <c r="M2" s="23" t="s">
        <v>58</v>
      </c>
      <c r="N2" s="23" t="s">
        <v>57</v>
      </c>
      <c r="O2" s="22"/>
      <c r="P2" s="22"/>
      <c r="Q2" s="22"/>
      <c r="R2" s="17"/>
      <c r="S2" s="17"/>
      <c r="T2" s="17"/>
      <c r="U2" s="17"/>
      <c r="V2" s="17"/>
      <c r="W2" s="17"/>
      <c r="X2" s="17"/>
      <c r="Y2" s="17"/>
      <c r="Z2" s="17"/>
      <c r="AA2" s="17"/>
      <c r="AB2" s="17"/>
      <c r="AC2" s="17"/>
    </row>
    <row r="3" spans="1:29" x14ac:dyDescent="0.2">
      <c r="A3" s="17" t="s">
        <v>376</v>
      </c>
      <c r="B3" s="17">
        <v>2010</v>
      </c>
      <c r="C3" s="17" t="s">
        <v>279</v>
      </c>
      <c r="D3" s="17" t="s">
        <v>377</v>
      </c>
      <c r="E3" s="17" t="s">
        <v>91</v>
      </c>
      <c r="F3" s="17" t="s">
        <v>54</v>
      </c>
      <c r="G3" s="17" t="s">
        <v>260</v>
      </c>
      <c r="H3" s="17" t="s">
        <v>56</v>
      </c>
      <c r="I3" s="23" t="s">
        <v>58</v>
      </c>
      <c r="J3" s="23" t="s">
        <v>57</v>
      </c>
      <c r="K3" s="23" t="s">
        <v>57</v>
      </c>
      <c r="L3" s="23" t="s">
        <v>57</v>
      </c>
      <c r="M3" s="23" t="s">
        <v>58</v>
      </c>
      <c r="N3" s="23" t="s">
        <v>57</v>
      </c>
      <c r="O3" s="22"/>
      <c r="P3" s="22"/>
      <c r="Q3" s="22"/>
      <c r="R3" s="17"/>
      <c r="S3" s="17"/>
      <c r="T3" s="17"/>
      <c r="U3" s="17"/>
      <c r="V3" s="17"/>
      <c r="W3" s="17"/>
      <c r="X3" s="17"/>
      <c r="Y3" s="17"/>
      <c r="Z3" s="17"/>
      <c r="AA3" s="17"/>
      <c r="AB3" s="17"/>
      <c r="AC3" s="17"/>
    </row>
    <row r="4" spans="1:29" x14ac:dyDescent="0.2">
      <c r="A4" s="17" t="s">
        <v>505</v>
      </c>
      <c r="B4" s="17">
        <v>2010</v>
      </c>
      <c r="C4" s="17" t="s">
        <v>175</v>
      </c>
      <c r="D4" s="17" t="s">
        <v>507</v>
      </c>
      <c r="E4" s="17" t="s">
        <v>53</v>
      </c>
      <c r="F4" s="17" t="s">
        <v>54</v>
      </c>
      <c r="G4" s="17" t="s">
        <v>92</v>
      </c>
      <c r="H4" s="17" t="s">
        <v>177</v>
      </c>
      <c r="I4" s="23" t="s">
        <v>58</v>
      </c>
      <c r="J4" s="23" t="s">
        <v>58</v>
      </c>
      <c r="K4" s="23" t="s">
        <v>93</v>
      </c>
      <c r="L4" s="23" t="s">
        <v>58</v>
      </c>
      <c r="M4" s="23" t="s">
        <v>58</v>
      </c>
      <c r="N4" s="23" t="s">
        <v>58</v>
      </c>
      <c r="O4" s="22"/>
      <c r="P4" s="22"/>
      <c r="Q4" s="22"/>
      <c r="R4" s="17"/>
      <c r="S4" s="17"/>
      <c r="T4" s="17"/>
      <c r="U4" s="17"/>
      <c r="V4" s="17"/>
      <c r="W4" s="17"/>
      <c r="X4" s="17"/>
      <c r="Y4" s="17"/>
      <c r="Z4" s="17"/>
      <c r="AA4" s="17"/>
      <c r="AB4" s="17"/>
      <c r="AC4" s="17"/>
    </row>
    <row r="5" spans="1:29" x14ac:dyDescent="0.2">
      <c r="A5" s="17" t="s">
        <v>530</v>
      </c>
      <c r="B5" s="17">
        <v>2010</v>
      </c>
      <c r="C5" s="17" t="s">
        <v>175</v>
      </c>
      <c r="D5" s="17" t="s">
        <v>531</v>
      </c>
      <c r="E5" s="17" t="s">
        <v>53</v>
      </c>
      <c r="F5" s="17" t="s">
        <v>54</v>
      </c>
      <c r="G5" s="17" t="s">
        <v>92</v>
      </c>
      <c r="H5" s="17" t="s">
        <v>532</v>
      </c>
      <c r="I5" s="23" t="s">
        <v>58</v>
      </c>
      <c r="J5" s="23" t="s">
        <v>58</v>
      </c>
      <c r="K5" s="23" t="s">
        <v>93</v>
      </c>
      <c r="L5" s="23" t="s">
        <v>58</v>
      </c>
      <c r="M5" s="23" t="s">
        <v>58</v>
      </c>
      <c r="N5" s="23" t="s">
        <v>58</v>
      </c>
      <c r="O5" s="22"/>
      <c r="P5" s="22"/>
      <c r="Q5" s="22"/>
      <c r="R5" s="17"/>
      <c r="S5" s="17"/>
      <c r="T5" s="17"/>
      <c r="U5" s="17"/>
      <c r="V5" s="17"/>
      <c r="W5" s="17"/>
      <c r="X5" s="17"/>
      <c r="Y5" s="17"/>
      <c r="Z5" s="17"/>
      <c r="AA5" s="17"/>
      <c r="AB5" s="17"/>
      <c r="AC5" s="17"/>
    </row>
    <row r="6" spans="1:29" x14ac:dyDescent="0.2">
      <c r="A6" s="17" t="s">
        <v>547</v>
      </c>
      <c r="B6" s="17">
        <v>2010</v>
      </c>
      <c r="C6" s="17" t="s">
        <v>175</v>
      </c>
      <c r="D6" s="17" t="s">
        <v>549</v>
      </c>
      <c r="E6" s="17" t="s">
        <v>53</v>
      </c>
      <c r="F6" s="17" t="s">
        <v>54</v>
      </c>
      <c r="G6" s="17" t="s">
        <v>92</v>
      </c>
      <c r="H6" s="17" t="s">
        <v>177</v>
      </c>
      <c r="I6" s="23" t="s">
        <v>58</v>
      </c>
      <c r="J6" s="23" t="s">
        <v>57</v>
      </c>
      <c r="K6" s="23" t="s">
        <v>93</v>
      </c>
      <c r="L6" s="23" t="s">
        <v>57</v>
      </c>
      <c r="M6" s="23" t="s">
        <v>58</v>
      </c>
      <c r="N6" s="23" t="s">
        <v>57</v>
      </c>
      <c r="O6" s="22"/>
      <c r="P6" s="22"/>
      <c r="Q6" s="22"/>
      <c r="R6" s="17"/>
      <c r="S6" s="17"/>
      <c r="T6" s="17"/>
      <c r="U6" s="17"/>
      <c r="V6" s="17"/>
      <c r="W6" s="17"/>
      <c r="X6" s="17"/>
      <c r="Y6" s="17"/>
      <c r="Z6" s="17"/>
      <c r="AA6" s="17"/>
      <c r="AB6" s="17"/>
      <c r="AC6" s="17"/>
    </row>
    <row r="7" spans="1:29" x14ac:dyDescent="0.2">
      <c r="A7" t="s">
        <v>647</v>
      </c>
      <c r="B7" s="17">
        <v>2010</v>
      </c>
      <c r="C7" s="17" t="s">
        <v>175</v>
      </c>
      <c r="D7" s="17" t="s">
        <v>176</v>
      </c>
      <c r="E7" s="17" t="s">
        <v>53</v>
      </c>
      <c r="F7" s="17" t="s">
        <v>54</v>
      </c>
      <c r="G7" s="17" t="s">
        <v>260</v>
      </c>
      <c r="H7" s="17" t="s">
        <v>488</v>
      </c>
      <c r="I7" s="23" t="s">
        <v>58</v>
      </c>
      <c r="J7" s="23" t="s">
        <v>58</v>
      </c>
      <c r="K7" s="23" t="s">
        <v>93</v>
      </c>
      <c r="L7" s="23" t="s">
        <v>58</v>
      </c>
      <c r="M7" s="23" t="s">
        <v>58</v>
      </c>
      <c r="N7" s="23" t="s">
        <v>58</v>
      </c>
      <c r="O7" s="22"/>
      <c r="P7" s="22"/>
      <c r="Q7" s="22"/>
      <c r="R7" s="17"/>
      <c r="S7" s="17"/>
      <c r="T7" s="17"/>
      <c r="U7" s="17"/>
      <c r="V7" s="17"/>
      <c r="W7" s="17"/>
      <c r="X7" s="17"/>
      <c r="Y7" s="17"/>
      <c r="Z7" s="17"/>
      <c r="AA7" s="17"/>
      <c r="AB7" s="17"/>
      <c r="AC7" s="17"/>
    </row>
    <row r="8" spans="1:29" x14ac:dyDescent="0.2">
      <c r="A8" s="17" t="s">
        <v>117</v>
      </c>
      <c r="B8" s="17">
        <v>2011</v>
      </c>
      <c r="C8" s="17" t="s">
        <v>119</v>
      </c>
      <c r="D8" s="17" t="s">
        <v>120</v>
      </c>
      <c r="E8" s="17" t="s">
        <v>91</v>
      </c>
      <c r="F8" s="17" t="s">
        <v>54</v>
      </c>
      <c r="G8" s="17" t="s">
        <v>121</v>
      </c>
      <c r="H8" s="17" t="s">
        <v>56</v>
      </c>
      <c r="I8" s="23" t="s">
        <v>93</v>
      </c>
      <c r="J8" s="23" t="s">
        <v>58</v>
      </c>
      <c r="K8" s="23" t="s">
        <v>93</v>
      </c>
      <c r="L8" s="23" t="s">
        <v>57</v>
      </c>
      <c r="M8" s="23" t="s">
        <v>58</v>
      </c>
      <c r="N8" s="23" t="s">
        <v>57</v>
      </c>
      <c r="O8" s="22"/>
      <c r="P8" s="22"/>
      <c r="Q8" s="22"/>
      <c r="R8" s="17"/>
      <c r="S8" s="17"/>
      <c r="T8" s="17"/>
      <c r="U8" s="17"/>
      <c r="V8" s="17"/>
      <c r="W8" s="17"/>
      <c r="X8" s="17"/>
      <c r="Y8" s="17"/>
      <c r="Z8" s="17"/>
      <c r="AA8" s="17"/>
      <c r="AB8" s="17"/>
      <c r="AC8" s="17"/>
    </row>
    <row r="9" spans="1:29" x14ac:dyDescent="0.2">
      <c r="A9" s="17" t="s">
        <v>173</v>
      </c>
      <c r="B9" s="17">
        <v>2012</v>
      </c>
      <c r="C9" s="17" t="s">
        <v>175</v>
      </c>
      <c r="D9" s="17" t="s">
        <v>176</v>
      </c>
      <c r="E9" s="17" t="s">
        <v>53</v>
      </c>
      <c r="F9" s="17" t="s">
        <v>54</v>
      </c>
      <c r="G9" s="17" t="s">
        <v>92</v>
      </c>
      <c r="H9" s="17" t="s">
        <v>177</v>
      </c>
      <c r="I9" s="23" t="s">
        <v>58</v>
      </c>
      <c r="J9" s="23" t="s">
        <v>58</v>
      </c>
      <c r="K9" s="23" t="s">
        <v>93</v>
      </c>
      <c r="L9" s="23" t="s">
        <v>58</v>
      </c>
      <c r="M9" s="23" t="s">
        <v>58</v>
      </c>
      <c r="N9" s="23" t="s">
        <v>58</v>
      </c>
      <c r="O9" s="22"/>
      <c r="P9" s="22"/>
      <c r="Q9" s="22"/>
      <c r="R9" s="17"/>
      <c r="S9" s="17"/>
      <c r="T9" s="17"/>
      <c r="U9" s="17"/>
      <c r="V9" s="17"/>
      <c r="W9" s="17"/>
      <c r="X9" s="17"/>
      <c r="Y9" s="17"/>
      <c r="Z9" s="17"/>
      <c r="AA9" s="17"/>
      <c r="AB9" s="17"/>
      <c r="AC9" s="17"/>
    </row>
    <row r="10" spans="1:29" x14ac:dyDescent="0.2">
      <c r="A10" s="17" t="s">
        <v>486</v>
      </c>
      <c r="B10" s="17">
        <v>2012</v>
      </c>
      <c r="C10" s="17" t="s">
        <v>175</v>
      </c>
      <c r="D10" s="17" t="s">
        <v>176</v>
      </c>
      <c r="E10" s="17" t="s">
        <v>53</v>
      </c>
      <c r="F10" s="17" t="s">
        <v>54</v>
      </c>
      <c r="G10" s="17" t="s">
        <v>260</v>
      </c>
      <c r="H10" s="17" t="s">
        <v>488</v>
      </c>
      <c r="I10" s="23" t="s">
        <v>58</v>
      </c>
      <c r="J10" s="23" t="s">
        <v>58</v>
      </c>
      <c r="K10" s="23" t="s">
        <v>93</v>
      </c>
      <c r="L10" s="23" t="s">
        <v>57</v>
      </c>
      <c r="M10" s="23" t="s">
        <v>58</v>
      </c>
      <c r="N10" s="23" t="s">
        <v>57</v>
      </c>
      <c r="O10" s="22"/>
      <c r="P10" s="22"/>
      <c r="Q10" s="22"/>
      <c r="R10" s="17"/>
      <c r="S10" s="17"/>
      <c r="T10" s="17"/>
      <c r="U10" s="17"/>
      <c r="V10" s="17"/>
      <c r="W10" s="17"/>
      <c r="X10" s="17"/>
      <c r="Y10" s="17"/>
      <c r="Z10" s="17"/>
      <c r="AA10" s="17"/>
      <c r="AB10" s="17"/>
      <c r="AC10" s="17"/>
    </row>
    <row r="11" spans="1:29" x14ac:dyDescent="0.2">
      <c r="A11" s="17" t="s">
        <v>563</v>
      </c>
      <c r="B11" s="17">
        <v>2012</v>
      </c>
      <c r="C11" s="17" t="s">
        <v>175</v>
      </c>
      <c r="D11" s="17" t="s">
        <v>565</v>
      </c>
      <c r="E11" s="17" t="s">
        <v>91</v>
      </c>
      <c r="F11" s="17" t="s">
        <v>54</v>
      </c>
      <c r="G11" s="17" t="s">
        <v>121</v>
      </c>
      <c r="H11" s="17" t="s">
        <v>56</v>
      </c>
      <c r="I11" s="23" t="s">
        <v>58</v>
      </c>
      <c r="J11" s="23" t="s">
        <v>57</v>
      </c>
      <c r="K11" s="23" t="s">
        <v>57</v>
      </c>
      <c r="L11" s="23" t="s">
        <v>57</v>
      </c>
      <c r="M11" s="23" t="s">
        <v>58</v>
      </c>
      <c r="N11" s="23" t="s">
        <v>57</v>
      </c>
      <c r="O11" s="22"/>
      <c r="P11" s="22"/>
      <c r="Q11" s="22"/>
      <c r="R11" s="17"/>
      <c r="S11" s="17"/>
      <c r="T11" s="17"/>
      <c r="U11" s="17"/>
      <c r="V11" s="17"/>
      <c r="W11" s="17"/>
      <c r="X11" s="17"/>
      <c r="Y11" s="17"/>
      <c r="Z11" s="17"/>
      <c r="AA11" s="17"/>
      <c r="AB11" s="17"/>
      <c r="AC11" s="17"/>
    </row>
    <row r="12" spans="1:29" x14ac:dyDescent="0.2">
      <c r="A12" s="17" t="s">
        <v>303</v>
      </c>
      <c r="B12" s="17">
        <v>2014</v>
      </c>
      <c r="C12" s="17" t="s">
        <v>279</v>
      </c>
      <c r="D12" s="17" t="s">
        <v>305</v>
      </c>
      <c r="E12" s="17" t="s">
        <v>53</v>
      </c>
      <c r="F12" s="17" t="s">
        <v>54</v>
      </c>
      <c r="G12" s="17" t="s">
        <v>260</v>
      </c>
      <c r="H12" s="17"/>
      <c r="I12" s="23" t="s">
        <v>57</v>
      </c>
      <c r="J12" s="23" t="s">
        <v>57</v>
      </c>
      <c r="K12" s="23" t="s">
        <v>57</v>
      </c>
      <c r="L12" s="23" t="s">
        <v>57</v>
      </c>
      <c r="M12" s="23" t="s">
        <v>58</v>
      </c>
      <c r="N12" s="23" t="s">
        <v>57</v>
      </c>
      <c r="O12" s="22"/>
      <c r="P12" s="22"/>
      <c r="Q12" s="22"/>
      <c r="R12" s="24"/>
      <c r="S12" s="24"/>
      <c r="T12" s="24"/>
      <c r="U12" s="24"/>
      <c r="V12" s="24"/>
      <c r="W12" s="24"/>
      <c r="X12" s="24"/>
      <c r="Y12" s="24"/>
      <c r="Z12" s="24"/>
      <c r="AA12" s="24"/>
      <c r="AB12" s="24"/>
      <c r="AC12" s="24"/>
    </row>
    <row r="13" spans="1:29" x14ac:dyDescent="0.2">
      <c r="A13" s="17" t="s">
        <v>589</v>
      </c>
      <c r="B13" s="17">
        <v>2014</v>
      </c>
      <c r="C13" s="17" t="s">
        <v>175</v>
      </c>
      <c r="D13" s="17" t="s">
        <v>590</v>
      </c>
      <c r="E13" s="17" t="s">
        <v>53</v>
      </c>
      <c r="F13" s="17" t="s">
        <v>54</v>
      </c>
      <c r="G13" s="17" t="s">
        <v>260</v>
      </c>
      <c r="H13" s="17" t="s">
        <v>56</v>
      </c>
      <c r="I13" s="23" t="s">
        <v>58</v>
      </c>
      <c r="J13" s="23" t="s">
        <v>57</v>
      </c>
      <c r="K13" s="23" t="s">
        <v>93</v>
      </c>
      <c r="L13" s="23" t="s">
        <v>57</v>
      </c>
      <c r="M13" s="23" t="s">
        <v>58</v>
      </c>
      <c r="N13" s="23" t="s">
        <v>57</v>
      </c>
      <c r="O13" s="22"/>
      <c r="P13" s="22"/>
      <c r="Q13" s="22"/>
      <c r="R13" s="17"/>
      <c r="S13" s="17"/>
      <c r="T13" s="17"/>
      <c r="U13" s="17"/>
      <c r="V13" s="17"/>
      <c r="W13" s="17"/>
      <c r="X13" s="17"/>
      <c r="Y13" s="17"/>
      <c r="Z13" s="17"/>
      <c r="AA13" s="17"/>
      <c r="AB13" s="17"/>
      <c r="AC13" s="17"/>
    </row>
    <row r="14" spans="1:29" x14ac:dyDescent="0.2">
      <c r="A14" s="17" t="s">
        <v>449</v>
      </c>
      <c r="B14" s="17">
        <v>2016</v>
      </c>
      <c r="C14" s="17" t="s">
        <v>258</v>
      </c>
      <c r="D14" s="17" t="s">
        <v>451</v>
      </c>
      <c r="E14" s="17" t="s">
        <v>53</v>
      </c>
      <c r="F14" s="17" t="s">
        <v>54</v>
      </c>
      <c r="G14" s="17" t="s">
        <v>452</v>
      </c>
      <c r="H14" s="17" t="s">
        <v>56</v>
      </c>
      <c r="I14" s="23" t="s">
        <v>58</v>
      </c>
      <c r="J14" s="23" t="s">
        <v>58</v>
      </c>
      <c r="K14" s="23" t="s">
        <v>58</v>
      </c>
      <c r="L14" s="23" t="s">
        <v>57</v>
      </c>
      <c r="M14" s="23" t="s">
        <v>58</v>
      </c>
      <c r="N14" s="23" t="s">
        <v>57</v>
      </c>
      <c r="O14" s="22"/>
      <c r="P14" s="22"/>
      <c r="Q14" s="22"/>
      <c r="R14" s="17"/>
      <c r="S14" s="17"/>
      <c r="T14" s="17"/>
      <c r="U14" s="17"/>
      <c r="V14" s="17"/>
      <c r="W14" s="17"/>
      <c r="X14" s="17"/>
      <c r="Y14" s="17"/>
      <c r="Z14" s="17"/>
      <c r="AA14" s="17"/>
      <c r="AB14" s="17"/>
      <c r="AC14" s="17"/>
    </row>
    <row r="15" spans="1:29" x14ac:dyDescent="0.2">
      <c r="A15" s="17" t="s">
        <v>226</v>
      </c>
      <c r="B15" s="17">
        <v>2017</v>
      </c>
      <c r="C15" s="17" t="s">
        <v>175</v>
      </c>
      <c r="D15" s="17" t="s">
        <v>228</v>
      </c>
      <c r="E15" s="17" t="s">
        <v>91</v>
      </c>
      <c r="F15" s="17" t="s">
        <v>54</v>
      </c>
      <c r="G15" s="17" t="s">
        <v>121</v>
      </c>
      <c r="H15" s="17" t="s">
        <v>56</v>
      </c>
      <c r="I15" s="23" t="s">
        <v>58</v>
      </c>
      <c r="J15" s="23" t="s">
        <v>58</v>
      </c>
      <c r="K15" s="23" t="s">
        <v>93</v>
      </c>
      <c r="L15" s="23" t="s">
        <v>58</v>
      </c>
      <c r="M15" s="23" t="s">
        <v>58</v>
      </c>
      <c r="N15" s="23" t="s">
        <v>58</v>
      </c>
      <c r="O15" s="22"/>
      <c r="P15" s="22"/>
      <c r="Q15" s="22"/>
      <c r="R15" s="17"/>
      <c r="S15" s="17"/>
      <c r="T15" s="17"/>
      <c r="U15" s="17"/>
      <c r="V15" s="17"/>
      <c r="W15" s="17"/>
      <c r="X15" s="17"/>
      <c r="Y15" s="17"/>
      <c r="Z15" s="17"/>
      <c r="AA15" s="17"/>
      <c r="AB15" s="17"/>
      <c r="AC15" s="17"/>
    </row>
    <row r="16" spans="1:29" x14ac:dyDescent="0.2">
      <c r="A16" s="17" t="s">
        <v>256</v>
      </c>
      <c r="B16" s="17">
        <v>2017</v>
      </c>
      <c r="C16" s="17" t="s">
        <v>258</v>
      </c>
      <c r="D16" s="17" t="s">
        <v>259</v>
      </c>
      <c r="E16" s="17" t="s">
        <v>91</v>
      </c>
      <c r="F16" s="17" t="s">
        <v>54</v>
      </c>
      <c r="G16" s="17" t="s">
        <v>260</v>
      </c>
      <c r="H16" s="17" t="s">
        <v>56</v>
      </c>
      <c r="I16" s="23" t="s">
        <v>58</v>
      </c>
      <c r="J16" s="23" t="s">
        <v>57</v>
      </c>
      <c r="K16" s="23" t="s">
        <v>57</v>
      </c>
      <c r="L16" s="23" t="s">
        <v>57</v>
      </c>
      <c r="M16" s="23" t="s">
        <v>58</v>
      </c>
      <c r="N16" s="23" t="s">
        <v>57</v>
      </c>
      <c r="O16" s="22"/>
      <c r="P16" s="22"/>
      <c r="Q16" s="22"/>
      <c r="R16" s="17"/>
      <c r="S16" s="17"/>
      <c r="T16" s="17"/>
      <c r="U16" s="17"/>
      <c r="V16" s="17"/>
      <c r="W16" s="17"/>
      <c r="X16" s="17"/>
      <c r="Y16" s="17"/>
      <c r="Z16" s="17"/>
      <c r="AA16" s="17"/>
      <c r="AB16" s="17"/>
      <c r="AC16" s="17"/>
    </row>
    <row r="17" spans="1:29" x14ac:dyDescent="0.2">
      <c r="A17" s="24" t="s">
        <v>277</v>
      </c>
      <c r="B17" s="24">
        <v>2017</v>
      </c>
      <c r="C17" s="24" t="s">
        <v>279</v>
      </c>
      <c r="D17" s="24" t="s">
        <v>280</v>
      </c>
      <c r="E17" s="24" t="s">
        <v>53</v>
      </c>
      <c r="F17" s="24" t="s">
        <v>54</v>
      </c>
      <c r="G17" s="24" t="s">
        <v>260</v>
      </c>
      <c r="H17" s="24" t="s">
        <v>56</v>
      </c>
      <c r="I17" s="23" t="s">
        <v>58</v>
      </c>
      <c r="J17" s="23" t="s">
        <v>57</v>
      </c>
      <c r="K17" s="23" t="s">
        <v>57</v>
      </c>
      <c r="L17" s="23" t="s">
        <v>57</v>
      </c>
      <c r="M17" s="23" t="s">
        <v>57</v>
      </c>
      <c r="N17" s="23" t="s">
        <v>57</v>
      </c>
      <c r="O17" s="22"/>
      <c r="P17" s="22"/>
      <c r="Q17" s="22"/>
      <c r="R17" s="17"/>
      <c r="S17" s="17"/>
      <c r="T17" s="17"/>
      <c r="U17" s="17"/>
      <c r="V17" s="17"/>
      <c r="W17" s="17"/>
      <c r="X17" s="17"/>
      <c r="Y17" s="17"/>
      <c r="Z17" s="17"/>
      <c r="AA17" s="17"/>
      <c r="AB17" s="17"/>
      <c r="AC17" s="17"/>
    </row>
    <row r="18" spans="1:29" x14ac:dyDescent="0.2">
      <c r="A18" s="17" t="s">
        <v>405</v>
      </c>
      <c r="B18" s="17">
        <v>2017</v>
      </c>
      <c r="C18" s="17" t="s">
        <v>279</v>
      </c>
      <c r="D18" s="17" t="s">
        <v>406</v>
      </c>
      <c r="E18" s="17" t="s">
        <v>53</v>
      </c>
      <c r="F18" s="17" t="s">
        <v>54</v>
      </c>
      <c r="G18" s="17" t="s">
        <v>260</v>
      </c>
      <c r="H18" s="17" t="s">
        <v>56</v>
      </c>
      <c r="I18" s="23" t="s">
        <v>58</v>
      </c>
      <c r="J18" s="23" t="s">
        <v>57</v>
      </c>
      <c r="K18" s="23" t="s">
        <v>57</v>
      </c>
      <c r="L18" s="23" t="s">
        <v>57</v>
      </c>
      <c r="M18" s="23" t="s">
        <v>58</v>
      </c>
      <c r="N18" s="23" t="s">
        <v>57</v>
      </c>
      <c r="O18" s="22"/>
      <c r="P18" s="22"/>
      <c r="Q18" s="22"/>
      <c r="R18" s="17"/>
      <c r="S18" s="17"/>
      <c r="T18" s="17"/>
      <c r="U18" s="17"/>
      <c r="V18" s="17"/>
      <c r="W18" s="17"/>
      <c r="X18" s="17"/>
      <c r="Y18" s="17"/>
      <c r="Z18" s="17"/>
      <c r="AA18" s="17"/>
      <c r="AB18" s="17"/>
      <c r="AC18" s="17"/>
    </row>
    <row r="19" spans="1:29" x14ac:dyDescent="0.2">
      <c r="A19" s="17" t="s">
        <v>427</v>
      </c>
      <c r="B19" s="17">
        <v>2017</v>
      </c>
      <c r="C19" s="17" t="s">
        <v>429</v>
      </c>
      <c r="D19" s="17" t="s">
        <v>430</v>
      </c>
      <c r="E19" s="17" t="s">
        <v>91</v>
      </c>
      <c r="F19" s="17" t="s">
        <v>54</v>
      </c>
      <c r="G19" s="17" t="s">
        <v>260</v>
      </c>
      <c r="H19" s="17" t="s">
        <v>56</v>
      </c>
      <c r="I19" s="23" t="s">
        <v>93</v>
      </c>
      <c r="J19" s="23" t="s">
        <v>57</v>
      </c>
      <c r="K19" s="23" t="s">
        <v>57</v>
      </c>
      <c r="L19" s="23" t="s">
        <v>57</v>
      </c>
      <c r="M19" s="23" t="s">
        <v>58</v>
      </c>
      <c r="N19" s="23" t="s">
        <v>57</v>
      </c>
      <c r="O19" s="22"/>
      <c r="P19" s="22"/>
      <c r="Q19" s="22"/>
      <c r="R19" s="17"/>
      <c r="S19" s="17"/>
      <c r="T19" s="17"/>
      <c r="U19" s="17"/>
      <c r="V19" s="17"/>
      <c r="W19" s="17"/>
      <c r="X19" s="17"/>
      <c r="Y19" s="17"/>
      <c r="Z19" s="17"/>
      <c r="AA19" s="17"/>
      <c r="AB19" s="17"/>
      <c r="AC19" s="17"/>
    </row>
    <row r="20" spans="1:29" x14ac:dyDescent="0.2">
      <c r="A20" s="17" t="s">
        <v>632</v>
      </c>
      <c r="B20" s="17">
        <v>2017</v>
      </c>
      <c r="C20" s="17" t="s">
        <v>175</v>
      </c>
      <c r="D20" s="17" t="s">
        <v>633</v>
      </c>
      <c r="E20" s="17" t="s">
        <v>91</v>
      </c>
      <c r="F20" s="17" t="s">
        <v>54</v>
      </c>
      <c r="G20" s="17" t="s">
        <v>55</v>
      </c>
      <c r="H20" s="17" t="s">
        <v>634</v>
      </c>
      <c r="I20" s="23" t="s">
        <v>58</v>
      </c>
      <c r="J20" s="23" t="s">
        <v>57</v>
      </c>
      <c r="K20" s="23" t="s">
        <v>57</v>
      </c>
      <c r="L20" s="23" t="s">
        <v>57</v>
      </c>
      <c r="M20" s="23" t="s">
        <v>58</v>
      </c>
      <c r="N20" s="23" t="s">
        <v>57</v>
      </c>
      <c r="O20" s="22"/>
      <c r="P20" s="22"/>
      <c r="Q20" s="22"/>
      <c r="R20" s="17"/>
      <c r="S20" s="17"/>
      <c r="T20" s="17"/>
      <c r="U20" s="17"/>
      <c r="V20" s="17"/>
      <c r="W20" s="17"/>
      <c r="X20" s="17"/>
      <c r="Y20" s="17"/>
      <c r="Z20" s="17"/>
      <c r="AA20" s="17"/>
      <c r="AB20" s="17"/>
      <c r="AC20" s="17"/>
    </row>
    <row r="21" spans="1:29" x14ac:dyDescent="0.2">
      <c r="A21" s="17" t="s">
        <v>332</v>
      </c>
      <c r="B21" s="17">
        <v>2018</v>
      </c>
      <c r="C21" s="17" t="s">
        <v>334</v>
      </c>
      <c r="D21" s="17" t="s">
        <v>335</v>
      </c>
      <c r="E21" s="17" t="s">
        <v>91</v>
      </c>
      <c r="F21" s="17" t="s">
        <v>54</v>
      </c>
      <c r="G21" s="17" t="s">
        <v>92</v>
      </c>
      <c r="H21" s="17" t="s">
        <v>56</v>
      </c>
      <c r="I21" s="23" t="s">
        <v>58</v>
      </c>
      <c r="J21" s="23" t="s">
        <v>58</v>
      </c>
      <c r="K21" s="23" t="s">
        <v>93</v>
      </c>
      <c r="L21" s="23" t="s">
        <v>57</v>
      </c>
      <c r="M21" s="23" t="s">
        <v>58</v>
      </c>
      <c r="N21" s="23" t="s">
        <v>57</v>
      </c>
      <c r="O21" s="22"/>
      <c r="P21" s="22"/>
      <c r="Q21" s="22"/>
      <c r="R21" s="17"/>
      <c r="S21" s="17"/>
      <c r="T21" s="17"/>
      <c r="U21" s="17"/>
      <c r="V21" s="17"/>
      <c r="W21" s="17"/>
      <c r="X21" s="17"/>
      <c r="Y21" s="17"/>
      <c r="Z21" s="17"/>
      <c r="AA21" s="17"/>
      <c r="AB21" s="17"/>
      <c r="AC21" s="17"/>
    </row>
    <row r="22" spans="1:29" x14ac:dyDescent="0.2">
      <c r="A22" s="8" t="s">
        <v>713</v>
      </c>
      <c r="B22" s="8">
        <v>2019</v>
      </c>
      <c r="C22" s="8" t="s">
        <v>279</v>
      </c>
      <c r="D22" s="8" t="s">
        <v>714</v>
      </c>
      <c r="E22" s="8" t="s">
        <v>715</v>
      </c>
      <c r="F22" s="8" t="s">
        <v>716</v>
      </c>
      <c r="G22" s="8" t="s">
        <v>452</v>
      </c>
      <c r="H22" s="8" t="s">
        <v>56</v>
      </c>
      <c r="I22" s="26" t="s">
        <v>712</v>
      </c>
      <c r="J22" s="26" t="s">
        <v>57</v>
      </c>
      <c r="K22" s="26" t="s">
        <v>93</v>
      </c>
      <c r="L22" s="26" t="s">
        <v>58</v>
      </c>
      <c r="M22" s="26" t="s">
        <v>58</v>
      </c>
      <c r="N22" s="26" t="s">
        <v>57</v>
      </c>
      <c r="O22" s="22"/>
      <c r="P22" s="22"/>
      <c r="Q22" s="22"/>
      <c r="R22" s="17"/>
      <c r="S22" s="17"/>
      <c r="T22" s="17"/>
      <c r="U22" s="17"/>
      <c r="V22" s="17"/>
      <c r="W22" s="17"/>
      <c r="X22" s="17"/>
      <c r="Y22" s="17"/>
      <c r="Z22" s="17"/>
      <c r="AA22" s="17"/>
      <c r="AB22" s="17"/>
      <c r="AC22" s="17"/>
    </row>
    <row r="23" spans="1:29" x14ac:dyDescent="0.2">
      <c r="A23" s="8" t="s">
        <v>717</v>
      </c>
      <c r="B23" s="8">
        <v>2019</v>
      </c>
      <c r="C23" s="8" t="s">
        <v>175</v>
      </c>
      <c r="D23" s="8" t="s">
        <v>718</v>
      </c>
      <c r="E23" s="8" t="s">
        <v>719</v>
      </c>
      <c r="F23" s="8" t="s">
        <v>54</v>
      </c>
      <c r="G23" s="8" t="s">
        <v>121</v>
      </c>
      <c r="H23" s="8" t="s">
        <v>56</v>
      </c>
      <c r="I23" s="26" t="s">
        <v>93</v>
      </c>
      <c r="J23" s="26" t="s">
        <v>712</v>
      </c>
      <c r="K23" s="26" t="s">
        <v>58</v>
      </c>
      <c r="L23" s="26" t="s">
        <v>58</v>
      </c>
      <c r="M23" s="26" t="s">
        <v>58</v>
      </c>
      <c r="N23" s="26" t="s">
        <v>58</v>
      </c>
      <c r="O23" s="22"/>
      <c r="P23" s="22"/>
      <c r="Q23" s="22"/>
      <c r="R23" s="17"/>
      <c r="S23" s="17"/>
      <c r="T23" s="17"/>
      <c r="U23" s="17"/>
      <c r="V23" s="17"/>
      <c r="W23" s="17"/>
      <c r="X23" s="17"/>
      <c r="Y23" s="17"/>
      <c r="Z23" s="17"/>
      <c r="AA23" s="17"/>
      <c r="AB23" s="17"/>
      <c r="AC23" s="17"/>
    </row>
    <row r="24" spans="1:29" x14ac:dyDescent="0.2">
      <c r="A24" s="8" t="s">
        <v>704</v>
      </c>
      <c r="B24" s="8">
        <v>2019</v>
      </c>
      <c r="C24" s="8" t="s">
        <v>258</v>
      </c>
      <c r="D24" s="8" t="s">
        <v>705</v>
      </c>
      <c r="E24" s="8" t="s">
        <v>706</v>
      </c>
      <c r="F24" s="8" t="s">
        <v>706</v>
      </c>
      <c r="G24" s="8" t="s">
        <v>707</v>
      </c>
      <c r="H24" s="8" t="s">
        <v>56</v>
      </c>
      <c r="I24" s="26" t="s">
        <v>93</v>
      </c>
      <c r="J24" s="26" t="s">
        <v>57</v>
      </c>
      <c r="K24" s="26" t="s">
        <v>93</v>
      </c>
      <c r="L24" s="26" t="s">
        <v>58</v>
      </c>
      <c r="M24" s="26" t="s">
        <v>58</v>
      </c>
      <c r="N24" s="26" t="s">
        <v>57</v>
      </c>
      <c r="O24" s="22"/>
      <c r="P24" s="22"/>
      <c r="Q24" s="22"/>
      <c r="R24" s="17"/>
      <c r="S24" s="17"/>
      <c r="T24" s="17"/>
      <c r="U24" s="17"/>
      <c r="V24" s="17"/>
      <c r="W24" s="17"/>
      <c r="X24" s="17"/>
      <c r="Y24" s="17"/>
      <c r="Z24" s="17"/>
      <c r="AA24" s="17"/>
      <c r="AB24" s="17"/>
      <c r="AC24" s="17"/>
    </row>
    <row r="25" spans="1:29" x14ac:dyDescent="0.2">
      <c r="A25" s="8" t="s">
        <v>698</v>
      </c>
      <c r="B25" s="8">
        <v>2020</v>
      </c>
      <c r="C25" s="8" t="s">
        <v>175</v>
      </c>
      <c r="D25" s="8" t="s">
        <v>700</v>
      </c>
      <c r="E25" s="8" t="s">
        <v>701</v>
      </c>
      <c r="F25" s="8" t="s">
        <v>695</v>
      </c>
      <c r="G25" s="8" t="s">
        <v>702</v>
      </c>
      <c r="H25" s="8" t="s">
        <v>703</v>
      </c>
      <c r="I25" s="26" t="s">
        <v>93</v>
      </c>
      <c r="J25" s="26" t="s">
        <v>57</v>
      </c>
      <c r="K25" s="26" t="s">
        <v>93</v>
      </c>
      <c r="L25" s="26" t="s">
        <v>93</v>
      </c>
      <c r="M25" s="26" t="s">
        <v>93</v>
      </c>
      <c r="N25" s="26" t="s">
        <v>58</v>
      </c>
      <c r="O25" s="22"/>
      <c r="P25" s="22"/>
      <c r="Q25" s="22"/>
      <c r="R25" s="17"/>
      <c r="S25" s="17"/>
      <c r="T25" s="17"/>
      <c r="U25" s="17"/>
      <c r="V25" s="17"/>
      <c r="W25" s="17"/>
      <c r="X25" s="17"/>
      <c r="Y25" s="17"/>
      <c r="Z25" s="17"/>
      <c r="AA25" s="17"/>
      <c r="AB25" s="17"/>
      <c r="AC25" s="17"/>
    </row>
    <row r="26" spans="1:29" x14ac:dyDescent="0.2">
      <c r="A26" s="8" t="s">
        <v>708</v>
      </c>
      <c r="B26" s="8">
        <v>2020</v>
      </c>
      <c r="C26" s="8" t="s">
        <v>89</v>
      </c>
      <c r="D26" s="8" t="s">
        <v>709</v>
      </c>
      <c r="E26" s="8" t="s">
        <v>710</v>
      </c>
      <c r="F26" s="8" t="s">
        <v>711</v>
      </c>
      <c r="G26" s="8" t="s">
        <v>452</v>
      </c>
      <c r="H26" s="8" t="s">
        <v>56</v>
      </c>
      <c r="I26" s="26" t="s">
        <v>712</v>
      </c>
      <c r="J26" s="26" t="s">
        <v>712</v>
      </c>
      <c r="K26" s="26" t="s">
        <v>57</v>
      </c>
      <c r="L26" s="26" t="s">
        <v>57</v>
      </c>
      <c r="M26" s="26" t="s">
        <v>57</v>
      </c>
      <c r="N26" s="26" t="s">
        <v>57</v>
      </c>
      <c r="O26" s="22"/>
      <c r="P26" s="22"/>
      <c r="Q26" s="22"/>
      <c r="R26" s="17"/>
      <c r="S26" s="17"/>
      <c r="T26" s="17"/>
      <c r="U26" s="17"/>
      <c r="V26" s="17"/>
      <c r="W26" s="17"/>
      <c r="X26" s="17"/>
      <c r="Y26" s="17"/>
      <c r="Z26" s="17"/>
      <c r="AA26" s="17"/>
      <c r="AB26" s="17"/>
      <c r="AC26" s="17"/>
    </row>
    <row r="27" spans="1:29" x14ac:dyDescent="0.2">
      <c r="A27" s="8" t="s">
        <v>691</v>
      </c>
      <c r="B27" s="8">
        <v>2020</v>
      </c>
      <c r="C27" s="8" t="s">
        <v>747</v>
      </c>
      <c r="D27" s="8" t="s">
        <v>693</v>
      </c>
      <c r="E27" s="8" t="s">
        <v>694</v>
      </c>
      <c r="F27" s="8" t="s">
        <v>695</v>
      </c>
      <c r="G27" s="8" t="s">
        <v>696</v>
      </c>
      <c r="H27" s="8" t="s">
        <v>56</v>
      </c>
      <c r="I27" s="26" t="s">
        <v>93</v>
      </c>
      <c r="J27" s="26" t="s">
        <v>58</v>
      </c>
      <c r="K27" s="26" t="s">
        <v>93</v>
      </c>
      <c r="L27" s="26" t="s">
        <v>58</v>
      </c>
      <c r="M27" s="26" t="s">
        <v>93</v>
      </c>
      <c r="N27" s="26" t="s">
        <v>93</v>
      </c>
      <c r="O27" s="22"/>
      <c r="P27" s="22"/>
      <c r="Q27" s="22"/>
      <c r="R27" s="17"/>
      <c r="S27" s="17"/>
      <c r="T27" s="17"/>
      <c r="U27" s="17"/>
      <c r="V27" s="17"/>
      <c r="W27" s="17"/>
      <c r="X27" s="17"/>
      <c r="Y27" s="17"/>
      <c r="Z27" s="17"/>
      <c r="AA27" s="17"/>
      <c r="AB27" s="17"/>
      <c r="AC27" s="17"/>
    </row>
    <row r="28" spans="1:29" x14ac:dyDescent="0.2">
      <c r="A28" s="8" t="s">
        <v>720</v>
      </c>
      <c r="B28" s="8">
        <v>2020</v>
      </c>
      <c r="C28" s="8" t="s">
        <v>279</v>
      </c>
      <c r="D28" s="8" t="s">
        <v>721</v>
      </c>
      <c r="E28" s="8"/>
      <c r="F28" s="8"/>
      <c r="G28" s="8"/>
      <c r="H28" s="8" t="s">
        <v>56</v>
      </c>
      <c r="I28" s="26" t="s">
        <v>93</v>
      </c>
      <c r="J28" s="26" t="s">
        <v>712</v>
      </c>
      <c r="K28" s="26" t="s">
        <v>93</v>
      </c>
      <c r="L28" s="26" t="s">
        <v>93</v>
      </c>
      <c r="M28" s="26" t="s">
        <v>93</v>
      </c>
      <c r="N28" s="26" t="s">
        <v>93</v>
      </c>
      <c r="O28" s="22"/>
      <c r="P28" s="22"/>
      <c r="Q28" s="22"/>
      <c r="R28" s="17"/>
      <c r="S28" s="17"/>
      <c r="T28" s="17"/>
      <c r="U28" s="17"/>
      <c r="V28" s="17"/>
      <c r="W28" s="17"/>
      <c r="X28" s="17"/>
      <c r="Y28" s="17"/>
      <c r="Z28" s="17"/>
      <c r="AA28" s="17"/>
      <c r="AB28" s="17"/>
      <c r="AC28" s="17"/>
    </row>
    <row r="29" spans="1:29" x14ac:dyDescent="0.2">
      <c r="I29"/>
      <c r="J29"/>
      <c r="K29"/>
      <c r="L29"/>
      <c r="M29"/>
      <c r="N29"/>
      <c r="O29" s="22"/>
      <c r="P29" s="22"/>
      <c r="Q29" s="22"/>
      <c r="R29" s="17"/>
      <c r="S29" s="17"/>
      <c r="T29" s="17"/>
      <c r="U29" s="17"/>
      <c r="V29" s="17"/>
      <c r="W29" s="17"/>
      <c r="X29" s="17"/>
      <c r="Y29" s="17"/>
      <c r="Z29" s="17"/>
      <c r="AA29" s="17"/>
      <c r="AB29" s="17"/>
      <c r="AC29" s="17"/>
    </row>
    <row r="30" spans="1:29" x14ac:dyDescent="0.2">
      <c r="I30"/>
      <c r="J30"/>
      <c r="K30"/>
      <c r="L30"/>
      <c r="M30"/>
      <c r="N30"/>
      <c r="O30" s="22"/>
      <c r="P30" s="22"/>
      <c r="Q30" s="22"/>
      <c r="R30" s="17"/>
      <c r="S30" s="17"/>
      <c r="T30" s="17"/>
      <c r="U30" s="17"/>
      <c r="V30" s="17"/>
      <c r="W30" s="17"/>
      <c r="X30" s="17"/>
      <c r="Y30" s="17"/>
      <c r="Z30" s="17"/>
      <c r="AA30" s="17"/>
      <c r="AB30" s="17"/>
      <c r="AC30" s="17"/>
    </row>
    <row r="31" spans="1:29" x14ac:dyDescent="0.2">
      <c r="I31"/>
      <c r="J31"/>
      <c r="K31"/>
      <c r="L31"/>
      <c r="M31"/>
      <c r="N31"/>
      <c r="O31" s="22"/>
      <c r="P31" s="22"/>
      <c r="Q31" s="22"/>
      <c r="R31" s="17"/>
      <c r="S31" s="17"/>
      <c r="T31" s="17"/>
      <c r="U31" s="17"/>
      <c r="V31" s="17"/>
      <c r="W31" s="17"/>
      <c r="X31" s="17"/>
      <c r="Y31" s="17"/>
      <c r="Z31" s="17"/>
      <c r="AA31" s="17"/>
      <c r="AB31" s="17"/>
      <c r="AC31" s="17"/>
    </row>
    <row r="32" spans="1:29" x14ac:dyDescent="0.2">
      <c r="I32"/>
      <c r="J32"/>
      <c r="K32"/>
      <c r="L32"/>
      <c r="M32"/>
      <c r="N32"/>
      <c r="O32" s="22"/>
      <c r="P32" s="22"/>
      <c r="Q32" s="22"/>
      <c r="R32" s="17"/>
      <c r="S32" s="17"/>
      <c r="T32" s="17"/>
      <c r="U32" s="17"/>
      <c r="V32" s="17"/>
      <c r="W32" s="17"/>
      <c r="X32" s="17"/>
      <c r="Y32" s="17"/>
      <c r="Z32" s="17"/>
      <c r="AA32" s="17"/>
      <c r="AB32" s="17"/>
      <c r="AC32" s="17"/>
    </row>
    <row r="33" spans="9:29" x14ac:dyDescent="0.2">
      <c r="I33"/>
      <c r="J33"/>
      <c r="K33"/>
      <c r="L33"/>
      <c r="M33"/>
      <c r="N33"/>
      <c r="O33" s="22"/>
      <c r="P33" s="22"/>
      <c r="Q33" s="22"/>
      <c r="R33" s="17"/>
      <c r="S33" s="17"/>
      <c r="T33" s="17"/>
      <c r="U33" s="17"/>
      <c r="V33" s="17"/>
      <c r="W33" s="17"/>
      <c r="X33" s="17"/>
      <c r="Y33" s="17"/>
      <c r="Z33" s="17"/>
      <c r="AA33" s="17"/>
      <c r="AB33" s="17"/>
      <c r="AC33" s="17"/>
    </row>
    <row r="34" spans="9:29" x14ac:dyDescent="0.2">
      <c r="I34"/>
      <c r="J34"/>
      <c r="K34"/>
      <c r="L34"/>
      <c r="M34"/>
      <c r="N34"/>
      <c r="O34" s="22"/>
      <c r="P34" s="22"/>
      <c r="Q34" s="22"/>
      <c r="R34" s="17"/>
      <c r="S34" s="17"/>
      <c r="T34" s="17"/>
      <c r="U34" s="17"/>
      <c r="V34" s="17"/>
      <c r="W34" s="17"/>
      <c r="X34" s="17"/>
      <c r="Y34" s="17"/>
      <c r="Z34" s="17"/>
      <c r="AA34" s="17"/>
      <c r="AB34" s="17"/>
      <c r="AC34" s="17"/>
    </row>
    <row r="35" spans="9:29" x14ac:dyDescent="0.2">
      <c r="I35"/>
      <c r="J35"/>
      <c r="K35"/>
      <c r="L35"/>
      <c r="M35"/>
      <c r="N35"/>
      <c r="O35" s="22"/>
      <c r="P35" s="22"/>
      <c r="Q35" s="22"/>
      <c r="R35" s="17"/>
      <c r="S35" s="17"/>
      <c r="T35" s="17"/>
      <c r="U35" s="17"/>
      <c r="V35" s="17"/>
      <c r="W35" s="17"/>
      <c r="X35" s="17"/>
      <c r="Y35" s="17"/>
      <c r="Z35" s="17"/>
      <c r="AA35" s="17"/>
      <c r="AB35" s="17"/>
      <c r="AC35" s="17"/>
    </row>
    <row r="36" spans="9:29" x14ac:dyDescent="0.2">
      <c r="I36"/>
      <c r="J36"/>
      <c r="K36"/>
      <c r="L36"/>
      <c r="M36"/>
      <c r="N36"/>
      <c r="O36" s="22"/>
      <c r="P36" s="22"/>
      <c r="Q36" s="22"/>
      <c r="R36" s="17"/>
      <c r="S36" s="17"/>
      <c r="T36" s="17"/>
      <c r="U36" s="17"/>
      <c r="V36" s="17"/>
      <c r="W36" s="17"/>
      <c r="X36" s="17"/>
      <c r="Y36" s="17"/>
      <c r="Z36" s="17"/>
      <c r="AA36" s="17"/>
      <c r="AB36" s="17"/>
      <c r="AC36" s="17"/>
    </row>
    <row r="37" spans="9:29" x14ac:dyDescent="0.2">
      <c r="I37"/>
      <c r="J37"/>
      <c r="K37"/>
      <c r="L37"/>
      <c r="M37"/>
      <c r="N37"/>
    </row>
    <row r="38" spans="9:29" x14ac:dyDescent="0.2">
      <c r="I38"/>
      <c r="J38"/>
      <c r="K38"/>
      <c r="L38"/>
      <c r="M38"/>
      <c r="N38"/>
    </row>
    <row r="39" spans="9:29" x14ac:dyDescent="0.2">
      <c r="I39"/>
      <c r="J39"/>
      <c r="K39"/>
      <c r="L39"/>
      <c r="M39"/>
      <c r="N39"/>
    </row>
    <row r="40" spans="9:29" x14ac:dyDescent="0.2">
      <c r="I40"/>
      <c r="J40"/>
      <c r="K40"/>
      <c r="L40"/>
      <c r="M40"/>
      <c r="N40"/>
    </row>
    <row r="41" spans="9:29" x14ac:dyDescent="0.2">
      <c r="I41"/>
      <c r="J41"/>
      <c r="K41"/>
      <c r="L41"/>
      <c r="M41"/>
      <c r="N41"/>
    </row>
    <row r="42" spans="9:29" x14ac:dyDescent="0.2">
      <c r="I42"/>
      <c r="J42"/>
      <c r="K42"/>
      <c r="L42"/>
      <c r="M42"/>
      <c r="N42"/>
    </row>
    <row r="43" spans="9:29" x14ac:dyDescent="0.2">
      <c r="I43"/>
      <c r="J43"/>
      <c r="K43"/>
      <c r="L43"/>
      <c r="M43"/>
      <c r="N43"/>
    </row>
    <row r="44" spans="9:29" x14ac:dyDescent="0.2">
      <c r="I44"/>
      <c r="J44"/>
      <c r="K44"/>
      <c r="L44"/>
      <c r="M44"/>
      <c r="N44"/>
    </row>
    <row r="45" spans="9:29" x14ac:dyDescent="0.2">
      <c r="I45"/>
      <c r="J45"/>
      <c r="K45"/>
      <c r="L45"/>
      <c r="M45"/>
      <c r="N45"/>
    </row>
    <row r="46" spans="9:29" x14ac:dyDescent="0.2">
      <c r="I46"/>
      <c r="J46"/>
      <c r="K46"/>
      <c r="L46"/>
      <c r="M46"/>
      <c r="N46"/>
    </row>
    <row r="47" spans="9:29" x14ac:dyDescent="0.2">
      <c r="I47"/>
      <c r="J47"/>
      <c r="K47"/>
      <c r="L47"/>
      <c r="M47"/>
      <c r="N47"/>
    </row>
    <row r="48" spans="9:29" x14ac:dyDescent="0.2">
      <c r="I48"/>
      <c r="J48"/>
      <c r="K48"/>
      <c r="L48"/>
      <c r="M48"/>
      <c r="N48"/>
    </row>
    <row r="49" spans="9:14" x14ac:dyDescent="0.2">
      <c r="I49"/>
      <c r="J49"/>
      <c r="K49"/>
      <c r="L49"/>
      <c r="M49"/>
      <c r="N49"/>
    </row>
    <row r="50" spans="9:14" x14ac:dyDescent="0.2">
      <c r="I50"/>
      <c r="J50"/>
      <c r="K50"/>
      <c r="L50"/>
      <c r="M50"/>
      <c r="N50"/>
    </row>
    <row r="51" spans="9:14" x14ac:dyDescent="0.2">
      <c r="I51"/>
      <c r="J51"/>
      <c r="K51"/>
      <c r="L51"/>
      <c r="M51"/>
      <c r="N51"/>
    </row>
    <row r="52" spans="9:14" x14ac:dyDescent="0.2">
      <c r="I52"/>
      <c r="J52"/>
      <c r="K52"/>
      <c r="L52"/>
      <c r="M52"/>
      <c r="N52"/>
    </row>
    <row r="53" spans="9:14" x14ac:dyDescent="0.2">
      <c r="I53"/>
      <c r="J53"/>
      <c r="K53"/>
      <c r="L53"/>
      <c r="M53"/>
      <c r="N53"/>
    </row>
    <row r="54" spans="9:14" x14ac:dyDescent="0.2">
      <c r="I54"/>
      <c r="J54"/>
      <c r="K54"/>
      <c r="L54"/>
      <c r="M54"/>
      <c r="N54"/>
    </row>
    <row r="55" spans="9:14" x14ac:dyDescent="0.2">
      <c r="I55"/>
      <c r="J55"/>
      <c r="K55"/>
      <c r="L55"/>
      <c r="M55"/>
      <c r="N55"/>
    </row>
    <row r="56" spans="9:14" x14ac:dyDescent="0.2">
      <c r="I56"/>
      <c r="J56"/>
      <c r="K56"/>
      <c r="L56"/>
      <c r="M56"/>
      <c r="N56"/>
    </row>
    <row r="57" spans="9:14" x14ac:dyDescent="0.2">
      <c r="I57"/>
      <c r="J57"/>
      <c r="K57"/>
      <c r="L57"/>
      <c r="M57"/>
      <c r="N57"/>
    </row>
    <row r="58" spans="9:14" x14ac:dyDescent="0.2">
      <c r="I58"/>
      <c r="J58"/>
      <c r="K58"/>
      <c r="L58"/>
      <c r="M58"/>
      <c r="N58"/>
    </row>
    <row r="59" spans="9:14" x14ac:dyDescent="0.2">
      <c r="I59"/>
      <c r="J59"/>
      <c r="K59"/>
      <c r="L59"/>
      <c r="M59"/>
      <c r="N59"/>
    </row>
    <row r="60" spans="9:14" x14ac:dyDescent="0.2">
      <c r="I60"/>
      <c r="J60"/>
      <c r="K60"/>
      <c r="L60"/>
      <c r="M60"/>
      <c r="N60"/>
    </row>
    <row r="61" spans="9:14" x14ac:dyDescent="0.2">
      <c r="I61"/>
      <c r="J61"/>
      <c r="K61"/>
      <c r="L61"/>
      <c r="M61"/>
      <c r="N61"/>
    </row>
    <row r="62" spans="9:14" x14ac:dyDescent="0.2">
      <c r="I62"/>
      <c r="J62"/>
      <c r="K62"/>
      <c r="L62"/>
      <c r="M62"/>
      <c r="N62"/>
    </row>
    <row r="63" spans="9:14" x14ac:dyDescent="0.2">
      <c r="I63"/>
      <c r="J63"/>
      <c r="K63"/>
      <c r="L63"/>
      <c r="M63"/>
      <c r="N63"/>
    </row>
    <row r="64" spans="9:14" x14ac:dyDescent="0.2">
      <c r="I64"/>
      <c r="J64"/>
      <c r="K64"/>
      <c r="L64"/>
      <c r="M64"/>
      <c r="N64"/>
    </row>
    <row r="65" spans="9:14" x14ac:dyDescent="0.2">
      <c r="I65"/>
      <c r="J65"/>
      <c r="K65"/>
      <c r="L65"/>
      <c r="M65"/>
      <c r="N65"/>
    </row>
    <row r="66" spans="9:14" x14ac:dyDescent="0.2">
      <c r="I66"/>
      <c r="J66"/>
      <c r="K66"/>
      <c r="L66"/>
      <c r="M66"/>
      <c r="N66"/>
    </row>
    <row r="67" spans="9:14" x14ac:dyDescent="0.2">
      <c r="I67"/>
      <c r="J67"/>
      <c r="K67"/>
      <c r="L67"/>
      <c r="M67"/>
      <c r="N67"/>
    </row>
    <row r="68" spans="9:14" x14ac:dyDescent="0.2">
      <c r="I68"/>
      <c r="J68"/>
      <c r="K68"/>
      <c r="L68"/>
      <c r="M68"/>
      <c r="N68"/>
    </row>
    <row r="69" spans="9:14" x14ac:dyDescent="0.2">
      <c r="I69"/>
      <c r="J69"/>
      <c r="K69"/>
      <c r="L69"/>
      <c r="M69"/>
      <c r="N69"/>
    </row>
    <row r="70" spans="9:14" x14ac:dyDescent="0.2">
      <c r="I70"/>
      <c r="J70"/>
      <c r="K70"/>
      <c r="L70"/>
      <c r="M70"/>
      <c r="N70"/>
    </row>
    <row r="71" spans="9:14" x14ac:dyDescent="0.2">
      <c r="I71"/>
      <c r="J71"/>
      <c r="K71"/>
      <c r="L71"/>
      <c r="M71"/>
      <c r="N71"/>
    </row>
    <row r="72" spans="9:14" x14ac:dyDescent="0.2">
      <c r="I72"/>
      <c r="J72"/>
      <c r="K72"/>
      <c r="L72"/>
      <c r="M72"/>
      <c r="N72"/>
    </row>
    <row r="73" spans="9:14" x14ac:dyDescent="0.2">
      <c r="I73"/>
      <c r="J73"/>
      <c r="K73"/>
      <c r="L73"/>
      <c r="M73"/>
      <c r="N73"/>
    </row>
    <row r="74" spans="9:14" x14ac:dyDescent="0.2">
      <c r="I74"/>
      <c r="J74"/>
      <c r="K74"/>
      <c r="L74"/>
      <c r="M74"/>
      <c r="N74"/>
    </row>
    <row r="75" spans="9:14" x14ac:dyDescent="0.2">
      <c r="I75"/>
      <c r="J75"/>
      <c r="K75"/>
      <c r="L75"/>
      <c r="M75"/>
      <c r="N75"/>
    </row>
    <row r="76" spans="9:14" x14ac:dyDescent="0.2">
      <c r="I76"/>
      <c r="J76"/>
      <c r="K76"/>
      <c r="L76"/>
      <c r="M76"/>
      <c r="N76"/>
    </row>
    <row r="77" spans="9:14" x14ac:dyDescent="0.2">
      <c r="I77"/>
      <c r="J77"/>
      <c r="K77"/>
      <c r="L77"/>
      <c r="M77"/>
      <c r="N77"/>
    </row>
    <row r="78" spans="9:14" x14ac:dyDescent="0.2">
      <c r="I78"/>
      <c r="J78"/>
      <c r="K78"/>
      <c r="L78"/>
      <c r="M78"/>
      <c r="N78"/>
    </row>
    <row r="79" spans="9:14" x14ac:dyDescent="0.2">
      <c r="I79"/>
      <c r="J79"/>
      <c r="K79"/>
      <c r="L79"/>
      <c r="M79"/>
      <c r="N79"/>
    </row>
    <row r="80" spans="9:14" x14ac:dyDescent="0.2">
      <c r="I80"/>
      <c r="J80"/>
      <c r="K80"/>
      <c r="L80"/>
      <c r="M80"/>
      <c r="N80"/>
    </row>
    <row r="81" spans="9:14" x14ac:dyDescent="0.2">
      <c r="I81"/>
      <c r="J81"/>
      <c r="K81"/>
      <c r="L81"/>
      <c r="M81"/>
      <c r="N81"/>
    </row>
    <row r="82" spans="9:14" x14ac:dyDescent="0.2">
      <c r="I82"/>
      <c r="J82"/>
      <c r="K82"/>
      <c r="L82"/>
      <c r="M82"/>
      <c r="N82"/>
    </row>
    <row r="83" spans="9:14" x14ac:dyDescent="0.2">
      <c r="I83"/>
      <c r="J83"/>
      <c r="K83"/>
      <c r="L83"/>
      <c r="M83"/>
      <c r="N83"/>
    </row>
    <row r="84" spans="9:14" x14ac:dyDescent="0.2">
      <c r="I84"/>
      <c r="J84"/>
      <c r="K84"/>
      <c r="L84"/>
      <c r="M84"/>
      <c r="N84"/>
    </row>
    <row r="85" spans="9:14" x14ac:dyDescent="0.2">
      <c r="I85"/>
      <c r="J85"/>
      <c r="K85"/>
      <c r="L85"/>
      <c r="M85"/>
      <c r="N85"/>
    </row>
    <row r="86" spans="9:14" x14ac:dyDescent="0.2">
      <c r="I86"/>
      <c r="J86"/>
      <c r="K86"/>
      <c r="L86"/>
      <c r="M86"/>
      <c r="N86"/>
    </row>
    <row r="87" spans="9:14" x14ac:dyDescent="0.2">
      <c r="I87"/>
      <c r="J87"/>
      <c r="K87"/>
      <c r="L87"/>
      <c r="M87"/>
      <c r="N87"/>
    </row>
    <row r="88" spans="9:14" x14ac:dyDescent="0.2">
      <c r="I88"/>
      <c r="J88"/>
      <c r="K88"/>
      <c r="L88"/>
      <c r="M88"/>
      <c r="N88"/>
    </row>
    <row r="89" spans="9:14" x14ac:dyDescent="0.2">
      <c r="I89"/>
      <c r="J89"/>
      <c r="K89"/>
      <c r="L89"/>
      <c r="M89"/>
      <c r="N89"/>
    </row>
    <row r="90" spans="9:14" x14ac:dyDescent="0.2">
      <c r="I90"/>
      <c r="J90"/>
      <c r="K90"/>
      <c r="L90"/>
      <c r="M90"/>
      <c r="N90"/>
    </row>
    <row r="91" spans="9:14" x14ac:dyDescent="0.2">
      <c r="I91"/>
      <c r="J91"/>
      <c r="K91"/>
      <c r="L91"/>
      <c r="M91"/>
      <c r="N91"/>
    </row>
    <row r="92" spans="9:14" x14ac:dyDescent="0.2">
      <c r="I92"/>
      <c r="J92"/>
      <c r="K92"/>
      <c r="L92"/>
      <c r="M92"/>
      <c r="N92"/>
    </row>
    <row r="93" spans="9:14" x14ac:dyDescent="0.2">
      <c r="I93"/>
      <c r="J93"/>
      <c r="K93"/>
      <c r="L93"/>
      <c r="M93"/>
      <c r="N93"/>
    </row>
    <row r="94" spans="9:14" x14ac:dyDescent="0.2">
      <c r="I94"/>
      <c r="J94"/>
      <c r="K94"/>
      <c r="L94"/>
      <c r="M94"/>
      <c r="N94"/>
    </row>
    <row r="95" spans="9:14" x14ac:dyDescent="0.2">
      <c r="I95"/>
      <c r="J95"/>
      <c r="K95"/>
      <c r="L95"/>
      <c r="M95"/>
      <c r="N95"/>
    </row>
    <row r="96" spans="9:14" x14ac:dyDescent="0.2">
      <c r="I96"/>
      <c r="J96"/>
      <c r="K96"/>
      <c r="L96"/>
      <c r="M96"/>
      <c r="N96"/>
    </row>
    <row r="97" spans="9:14" x14ac:dyDescent="0.2">
      <c r="I97"/>
      <c r="J97"/>
      <c r="K97"/>
      <c r="L97"/>
      <c r="M97"/>
      <c r="N97"/>
    </row>
    <row r="98" spans="9:14" x14ac:dyDescent="0.2">
      <c r="I98"/>
      <c r="J98"/>
      <c r="K98"/>
      <c r="L98"/>
      <c r="M98"/>
      <c r="N98"/>
    </row>
    <row r="99" spans="9:14" x14ac:dyDescent="0.2">
      <c r="I99"/>
      <c r="J99"/>
      <c r="K99"/>
      <c r="L99"/>
      <c r="M99"/>
      <c r="N99"/>
    </row>
    <row r="100" spans="9:14" x14ac:dyDescent="0.2">
      <c r="I100"/>
      <c r="J100"/>
      <c r="K100"/>
      <c r="L100"/>
      <c r="M100"/>
      <c r="N100"/>
    </row>
    <row r="101" spans="9:14" x14ac:dyDescent="0.2">
      <c r="I101"/>
      <c r="J101"/>
      <c r="K101"/>
      <c r="L101"/>
      <c r="M101"/>
      <c r="N101"/>
    </row>
    <row r="102" spans="9:14" x14ac:dyDescent="0.2">
      <c r="I102"/>
      <c r="J102"/>
      <c r="K102"/>
      <c r="L102"/>
      <c r="M102"/>
      <c r="N102"/>
    </row>
    <row r="103" spans="9:14" x14ac:dyDescent="0.2">
      <c r="I103"/>
      <c r="J103"/>
      <c r="K103"/>
      <c r="L103"/>
      <c r="M103"/>
      <c r="N103"/>
    </row>
    <row r="104" spans="9:14" x14ac:dyDescent="0.2">
      <c r="I104"/>
      <c r="J104"/>
      <c r="K104"/>
      <c r="L104"/>
      <c r="M104"/>
      <c r="N104"/>
    </row>
    <row r="105" spans="9:14" x14ac:dyDescent="0.2">
      <c r="I105"/>
      <c r="J105"/>
      <c r="K105"/>
      <c r="L105"/>
      <c r="M105"/>
      <c r="N105"/>
    </row>
    <row r="106" spans="9:14" x14ac:dyDescent="0.2">
      <c r="I106"/>
      <c r="J106"/>
      <c r="K106"/>
      <c r="L106"/>
      <c r="M106"/>
      <c r="N106"/>
    </row>
    <row r="107" spans="9:14" x14ac:dyDescent="0.2">
      <c r="I107"/>
      <c r="J107"/>
      <c r="K107"/>
      <c r="L107"/>
      <c r="M107"/>
      <c r="N107"/>
    </row>
    <row r="108" spans="9:14" x14ac:dyDescent="0.2">
      <c r="I108"/>
      <c r="J108"/>
      <c r="K108"/>
      <c r="L108"/>
      <c r="M108"/>
      <c r="N108"/>
    </row>
    <row r="109" spans="9:14" x14ac:dyDescent="0.2">
      <c r="I109"/>
      <c r="J109"/>
      <c r="K109"/>
      <c r="L109"/>
      <c r="M109"/>
      <c r="N109"/>
    </row>
    <row r="110" spans="9:14" x14ac:dyDescent="0.2">
      <c r="I110"/>
      <c r="J110"/>
      <c r="K110"/>
      <c r="L110"/>
      <c r="M110"/>
      <c r="N110"/>
    </row>
    <row r="111" spans="9:14" x14ac:dyDescent="0.2">
      <c r="I111"/>
      <c r="J111"/>
      <c r="K111"/>
      <c r="L111"/>
      <c r="M111"/>
      <c r="N111"/>
    </row>
    <row r="112" spans="9:14" x14ac:dyDescent="0.2">
      <c r="I112"/>
      <c r="J112"/>
      <c r="K112"/>
      <c r="L112"/>
      <c r="M112"/>
      <c r="N112"/>
    </row>
    <row r="113" spans="9:14" x14ac:dyDescent="0.2">
      <c r="I113"/>
      <c r="J113"/>
      <c r="K113"/>
      <c r="L113"/>
      <c r="M113"/>
      <c r="N113"/>
    </row>
    <row r="114" spans="9:14" x14ac:dyDescent="0.2">
      <c r="I114"/>
      <c r="J114"/>
      <c r="K114"/>
      <c r="L114"/>
      <c r="M114"/>
      <c r="N114"/>
    </row>
    <row r="115" spans="9:14" x14ac:dyDescent="0.2">
      <c r="I115"/>
      <c r="J115"/>
      <c r="K115"/>
      <c r="L115"/>
      <c r="M115"/>
      <c r="N115"/>
    </row>
    <row r="116" spans="9:14" x14ac:dyDescent="0.2">
      <c r="I116"/>
      <c r="J116"/>
      <c r="K116"/>
      <c r="L116"/>
      <c r="M116"/>
      <c r="N116"/>
    </row>
    <row r="117" spans="9:14" x14ac:dyDescent="0.2">
      <c r="I117"/>
      <c r="J117"/>
      <c r="K117"/>
      <c r="L117"/>
      <c r="M117"/>
      <c r="N117"/>
    </row>
    <row r="118" spans="9:14" x14ac:dyDescent="0.2">
      <c r="I118"/>
      <c r="J118"/>
      <c r="K118"/>
      <c r="L118"/>
      <c r="M118"/>
      <c r="N118"/>
    </row>
    <row r="119" spans="9:14" x14ac:dyDescent="0.2">
      <c r="I119"/>
      <c r="J119"/>
      <c r="K119"/>
      <c r="L119"/>
      <c r="M119"/>
      <c r="N119"/>
    </row>
    <row r="120" spans="9:14" x14ac:dyDescent="0.2">
      <c r="I120"/>
      <c r="J120"/>
      <c r="K120"/>
      <c r="L120"/>
      <c r="M120"/>
      <c r="N120"/>
    </row>
    <row r="121" spans="9:14" x14ac:dyDescent="0.2">
      <c r="I121"/>
      <c r="J121"/>
      <c r="K121"/>
      <c r="L121"/>
      <c r="M121"/>
      <c r="N121"/>
    </row>
    <row r="122" spans="9:14" x14ac:dyDescent="0.2">
      <c r="I122"/>
      <c r="J122"/>
      <c r="K122"/>
      <c r="L122"/>
      <c r="M122"/>
      <c r="N122"/>
    </row>
    <row r="123" spans="9:14" x14ac:dyDescent="0.2">
      <c r="I123"/>
      <c r="J123"/>
      <c r="K123"/>
      <c r="L123"/>
      <c r="M123"/>
      <c r="N123"/>
    </row>
    <row r="124" spans="9:14" x14ac:dyDescent="0.2">
      <c r="I124"/>
      <c r="J124"/>
      <c r="K124"/>
      <c r="L124"/>
      <c r="M124"/>
      <c r="N124"/>
    </row>
    <row r="125" spans="9:14" x14ac:dyDescent="0.2">
      <c r="I125"/>
      <c r="J125"/>
      <c r="K125"/>
      <c r="L125"/>
      <c r="M125"/>
      <c r="N125"/>
    </row>
    <row r="126" spans="9:14" x14ac:dyDescent="0.2">
      <c r="I126"/>
      <c r="J126"/>
      <c r="K126"/>
      <c r="L126"/>
      <c r="M126"/>
      <c r="N126"/>
    </row>
    <row r="127" spans="9:14" x14ac:dyDescent="0.2">
      <c r="I127"/>
      <c r="J127"/>
      <c r="K127"/>
      <c r="L127"/>
      <c r="M127"/>
      <c r="N127"/>
    </row>
    <row r="128" spans="9:14" x14ac:dyDescent="0.2">
      <c r="I128"/>
      <c r="J128"/>
      <c r="K128"/>
      <c r="L128"/>
      <c r="M128"/>
      <c r="N128"/>
    </row>
    <row r="129" spans="1:14" x14ac:dyDescent="0.2">
      <c r="I129"/>
      <c r="J129"/>
      <c r="K129"/>
      <c r="L129"/>
      <c r="M129"/>
      <c r="N129"/>
    </row>
    <row r="130" spans="1:14" x14ac:dyDescent="0.2">
      <c r="I130"/>
      <c r="J130"/>
      <c r="K130"/>
      <c r="L130"/>
      <c r="M130"/>
      <c r="N130"/>
    </row>
    <row r="131" spans="1:14" x14ac:dyDescent="0.2">
      <c r="I131"/>
      <c r="J131"/>
      <c r="K131"/>
      <c r="L131"/>
      <c r="M131"/>
      <c r="N131"/>
    </row>
    <row r="132" spans="1:14" x14ac:dyDescent="0.2">
      <c r="I132"/>
      <c r="J132"/>
      <c r="K132"/>
      <c r="L132"/>
      <c r="M132"/>
      <c r="N132"/>
    </row>
    <row r="133" spans="1:14" x14ac:dyDescent="0.2">
      <c r="I133"/>
      <c r="J133"/>
      <c r="K133"/>
      <c r="L133"/>
      <c r="M133"/>
      <c r="N133"/>
    </row>
    <row r="134" spans="1:14" x14ac:dyDescent="0.2">
      <c r="I134"/>
      <c r="J134"/>
      <c r="K134"/>
      <c r="L134"/>
      <c r="M134"/>
      <c r="N134"/>
    </row>
    <row r="135" spans="1:14" x14ac:dyDescent="0.2">
      <c r="I135"/>
      <c r="J135"/>
      <c r="K135"/>
      <c r="L135"/>
      <c r="M135"/>
      <c r="N135"/>
    </row>
    <row r="136" spans="1:14" x14ac:dyDescent="0.2">
      <c r="A136" s="17"/>
      <c r="B136" s="17"/>
      <c r="C136" s="17"/>
      <c r="D136" s="17"/>
      <c r="E136" s="17"/>
      <c r="F136" s="17"/>
      <c r="G136" s="17"/>
      <c r="H136" s="17"/>
      <c r="I136" s="23"/>
      <c r="J136" s="23"/>
      <c r="K136" s="23"/>
      <c r="L136" s="23"/>
      <c r="M136" s="23"/>
      <c r="N136" s="23"/>
    </row>
    <row r="137" spans="1:14" x14ac:dyDescent="0.2">
      <c r="A137" s="17"/>
      <c r="B137" s="17"/>
      <c r="C137" s="17"/>
      <c r="D137" s="17"/>
      <c r="E137" s="17"/>
      <c r="F137" s="17"/>
      <c r="G137" s="17"/>
      <c r="H137" s="17"/>
      <c r="I137" s="23"/>
      <c r="J137" s="23"/>
      <c r="K137" s="23"/>
      <c r="L137" s="23"/>
      <c r="M137" s="23"/>
      <c r="N137" s="23"/>
    </row>
  </sheetData>
  <autoFilter ref="A1:N28" xr:uid="{6E55B887-0FAF-1048-A68A-0D8CABECA339}">
    <sortState xmlns:xlrd2="http://schemas.microsoft.com/office/spreadsheetml/2017/richdata2" ref="A2:N28">
      <sortCondition ref="B1:B28"/>
    </sortState>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Previous studies</vt:lpstr>
      <vt:lpstr>New studies</vt:lpstr>
      <vt:lpstr>Combined</vt:lpstr>
      <vt:lpstr>studies by country</vt:lpstr>
      <vt:lpstr>Sheet5</vt:lpstr>
      <vt:lpstr>Combined_info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mbp16</dc:creator>
  <cp:lastModifiedBy>Microsoft Office User</cp:lastModifiedBy>
  <dcterms:created xsi:type="dcterms:W3CDTF">2022-12-15T04:11:54Z</dcterms:created>
  <dcterms:modified xsi:type="dcterms:W3CDTF">2022-12-16T13:22:10Z</dcterms:modified>
</cp:coreProperties>
</file>