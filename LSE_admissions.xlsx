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ydchen/Downloads/"/>
    </mc:Choice>
  </mc:AlternateContent>
  <xr:revisionPtr revIDLastSave="0" documentId="8_{497FF156-97E9-AF41-A965-E35E06750295}" xr6:coauthVersionLast="47" xr6:coauthVersionMax="47" xr10:uidLastSave="{00000000-0000-0000-0000-000000000000}"/>
  <bookViews>
    <workbookView xWindow="460" yWindow="940" windowWidth="34440" windowHeight="21580" xr2:uid="{B8332AD9-1D7B-480C-8B0B-D91E0D7C576B}"/>
  </bookViews>
  <sheets>
    <sheet name="Sheet1" sheetId="1" r:id="rId1"/>
  </sheets>
  <definedNames>
    <definedName name="_xlnm._FilterDatabase" localSheetId="0" hidden="1">Sheet1!$A$8:$Z$223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Z73" i="1" l="1"/>
  <c r="Z139" i="1"/>
  <c r="Z67" i="1"/>
  <c r="Z155" i="1"/>
  <c r="Z80" i="1"/>
  <c r="Z19" i="1"/>
  <c r="Z79" i="1"/>
  <c r="Z82" i="1"/>
  <c r="Z53" i="1"/>
  <c r="Z22" i="1"/>
  <c r="Z81" i="1"/>
  <c r="Z57" i="1"/>
  <c r="Z64" i="1"/>
  <c r="Z123" i="1"/>
  <c r="Z38" i="1"/>
  <c r="Z127" i="1"/>
  <c r="Z134" i="1"/>
  <c r="Z113" i="1"/>
  <c r="Z27" i="1"/>
  <c r="Z54" i="1"/>
  <c r="Z60" i="1"/>
  <c r="Z52" i="1"/>
  <c r="Z148" i="1"/>
  <c r="Z72" i="1"/>
  <c r="Z78" i="1"/>
  <c r="Z89" i="1"/>
  <c r="Z141" i="1"/>
  <c r="Z124" i="1"/>
  <c r="Z85" i="1"/>
  <c r="Z43" i="1"/>
  <c r="Z25" i="1"/>
  <c r="Z115" i="1"/>
  <c r="Z56" i="1"/>
  <c r="Z46" i="1"/>
  <c r="Z91" i="1"/>
  <c r="Z70" i="1"/>
  <c r="Z103" i="1"/>
  <c r="Z132" i="1"/>
  <c r="Z90" i="1"/>
  <c r="Z137" i="1"/>
  <c r="Z26" i="1"/>
  <c r="Z95" i="1"/>
  <c r="Z110" i="1"/>
  <c r="Z138" i="1"/>
  <c r="Z36" i="1"/>
  <c r="Z96" i="1"/>
  <c r="Z47" i="1"/>
  <c r="Z98" i="1"/>
  <c r="Z44" i="1"/>
  <c r="Z13" i="1"/>
  <c r="Z49" i="1"/>
  <c r="Z58" i="1"/>
  <c r="Z153" i="1"/>
  <c r="Z17" i="1"/>
  <c r="Z66" i="1"/>
  <c r="Z107" i="1"/>
  <c r="Z59" i="1"/>
  <c r="Z104" i="1"/>
  <c r="Z76" i="1"/>
  <c r="Z28" i="1"/>
  <c r="Z106" i="1"/>
  <c r="Z102" i="1"/>
  <c r="Z84" i="1"/>
  <c r="Z131" i="1"/>
  <c r="Z45" i="1"/>
  <c r="Z133" i="1"/>
  <c r="Z143" i="1"/>
  <c r="Z150" i="1"/>
  <c r="Z15" i="1"/>
  <c r="Z135" i="1"/>
  <c r="Z16" i="1"/>
  <c r="Z65" i="1"/>
  <c r="Z136" i="1"/>
  <c r="Z86" i="1"/>
  <c r="Z119" i="1"/>
  <c r="Z31" i="1"/>
  <c r="Z156" i="1"/>
  <c r="Z129" i="1"/>
  <c r="Z20" i="1"/>
  <c r="Z118" i="1"/>
  <c r="Z101" i="1"/>
  <c r="Z68" i="1"/>
  <c r="Z120" i="1"/>
  <c r="Z111" i="1"/>
  <c r="Z87" i="1"/>
  <c r="Z122" i="1"/>
  <c r="Z92" i="1"/>
  <c r="Z63" i="1"/>
  <c r="Z164" i="1"/>
  <c r="Z125" i="1"/>
  <c r="Z145" i="1"/>
  <c r="Z117" i="1"/>
  <c r="Z24" i="1"/>
  <c r="Z71" i="1"/>
  <c r="Z114" i="1"/>
  <c r="Z169" i="1"/>
  <c r="Z161" i="1"/>
  <c r="Z69" i="1"/>
  <c r="Z77" i="1"/>
  <c r="Z30" i="1"/>
  <c r="Z75" i="1"/>
  <c r="Z154" i="1"/>
  <c r="Z152" i="1"/>
  <c r="Z100" i="1"/>
  <c r="Z163" i="1"/>
  <c r="Z165" i="1"/>
  <c r="Z51" i="1"/>
  <c r="Z173" i="1"/>
  <c r="Z93" i="1"/>
  <c r="Z50" i="1"/>
  <c r="Z99" i="1"/>
  <c r="Z149" i="1"/>
  <c r="Z32" i="1"/>
  <c r="Z166" i="1"/>
  <c r="Z74" i="1"/>
  <c r="Z157" i="1"/>
  <c r="Z176" i="1"/>
  <c r="Z130" i="1"/>
  <c r="Z170" i="1"/>
  <c r="Z159" i="1"/>
  <c r="Z158" i="1"/>
  <c r="Z175" i="1"/>
  <c r="Z35" i="1"/>
  <c r="Z171" i="1"/>
  <c r="Z151" i="1"/>
  <c r="Z109" i="1"/>
  <c r="Z97" i="1"/>
  <c r="Z23" i="1"/>
  <c r="Z162" i="1"/>
  <c r="Z83" i="1"/>
  <c r="Z146" i="1"/>
  <c r="Z172" i="1"/>
  <c r="Z88" i="1"/>
  <c r="Z34" i="1"/>
  <c r="Z121" i="1"/>
  <c r="Z167" i="1"/>
  <c r="Z168" i="1"/>
  <c r="Z160" i="1"/>
  <c r="Z55" i="1"/>
  <c r="Z61" i="1"/>
  <c r="Z62" i="1"/>
  <c r="Z177" i="1"/>
  <c r="Z112" i="1"/>
  <c r="Z178" i="1"/>
  <c r="Z179" i="1"/>
  <c r="Z174" i="1"/>
  <c r="Z41" i="1"/>
  <c r="Z21" i="1"/>
  <c r="Z128" i="1"/>
  <c r="Z140" i="1"/>
  <c r="Z116" i="1"/>
  <c r="Z144" i="1"/>
  <c r="Z147" i="1"/>
  <c r="Z126" i="1"/>
  <c r="Z94" i="1"/>
  <c r="Z105" i="1"/>
  <c r="Z39" i="1"/>
  <c r="Z14" i="1"/>
  <c r="Z142" i="1"/>
  <c r="Z33" i="1"/>
  <c r="Z48" i="1"/>
  <c r="Z40" i="1"/>
  <c r="Z11" i="1"/>
  <c r="Z9" i="1"/>
  <c r="Z12" i="1"/>
  <c r="Z10" i="1"/>
  <c r="Z42" i="1"/>
  <c r="Z18" i="1"/>
  <c r="Z37" i="1"/>
  <c r="Z29" i="1"/>
  <c r="Z182" i="1"/>
  <c r="Z213" i="1"/>
  <c r="Z214" i="1"/>
  <c r="Z215" i="1"/>
  <c r="Z216" i="1"/>
  <c r="Z217" i="1"/>
  <c r="Z218" i="1"/>
  <c r="Z219" i="1"/>
  <c r="Z220" i="1"/>
  <c r="Z221" i="1"/>
  <c r="Z222" i="1"/>
  <c r="Z223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Z206" i="1"/>
  <c r="Z207" i="1"/>
  <c r="Z208" i="1"/>
  <c r="Z209" i="1"/>
  <c r="Z210" i="1"/>
  <c r="Z211" i="1"/>
  <c r="Z212" i="1"/>
  <c r="Z108" i="1"/>
  <c r="W215" i="1"/>
  <c r="W50" i="1"/>
  <c r="W158" i="1"/>
  <c r="W146" i="1"/>
  <c r="W216" i="1"/>
  <c r="W221" i="1"/>
  <c r="W126" i="1"/>
  <c r="W142" i="1"/>
  <c r="W220" i="1"/>
  <c r="W218" i="1"/>
  <c r="W219" i="1"/>
  <c r="W151" i="1"/>
  <c r="W183" i="1"/>
  <c r="W105" i="1"/>
  <c r="W52" i="1"/>
  <c r="W157" i="1"/>
  <c r="W144" i="1"/>
  <c r="W108" i="1"/>
  <c r="W140" i="1"/>
  <c r="W213" i="1"/>
  <c r="W113" i="1"/>
  <c r="W141" i="1"/>
  <c r="W214" i="1"/>
  <c r="W222" i="1"/>
  <c r="W180" i="1"/>
  <c r="W184" i="1"/>
  <c r="W185" i="1"/>
  <c r="W170" i="1"/>
  <c r="W88" i="1"/>
  <c r="W61" i="1"/>
  <c r="W48" i="1"/>
  <c r="W177" i="1"/>
  <c r="W174" i="1"/>
  <c r="W178" i="1"/>
  <c r="W186" i="1"/>
  <c r="W172" i="1"/>
  <c r="W161" i="1"/>
  <c r="W160" i="1"/>
  <c r="W94" i="1"/>
  <c r="W176" i="1"/>
  <c r="W187" i="1"/>
  <c r="W188" i="1"/>
  <c r="W189" i="1"/>
  <c r="W190" i="1"/>
  <c r="W191" i="1"/>
  <c r="W125" i="1"/>
  <c r="W77" i="1"/>
  <c r="W165" i="1"/>
  <c r="W192" i="1"/>
  <c r="W159" i="1"/>
  <c r="W167" i="1"/>
  <c r="W121" i="1"/>
  <c r="W55" i="1"/>
  <c r="W169" i="1"/>
  <c r="W32" i="1"/>
  <c r="W168" i="1"/>
  <c r="W175" i="1"/>
  <c r="W42" i="1"/>
  <c r="W179" i="1"/>
  <c r="W41" i="1"/>
  <c r="W93" i="1"/>
  <c r="W35" i="1"/>
  <c r="W163" i="1"/>
  <c r="W162" i="1"/>
  <c r="W182" i="1"/>
  <c r="W171" i="1"/>
  <c r="W166" i="1"/>
  <c r="W173" i="1"/>
  <c r="W193" i="1"/>
  <c r="W181" i="1"/>
  <c r="W13" i="1"/>
  <c r="W19" i="1"/>
  <c r="W22" i="1"/>
  <c r="W194" i="1"/>
  <c r="W51" i="1"/>
  <c r="W62" i="1"/>
  <c r="W12" i="1"/>
  <c r="W123" i="1"/>
  <c r="W138" i="1"/>
  <c r="W90" i="1"/>
  <c r="W95" i="1"/>
  <c r="W145" i="1"/>
  <c r="W119" i="1"/>
  <c r="W114" i="1"/>
  <c r="W64" i="1"/>
  <c r="W18" i="1"/>
  <c r="W139" i="1"/>
  <c r="W124" i="1"/>
  <c r="W45" i="1"/>
  <c r="W195" i="1"/>
  <c r="W25" i="1"/>
  <c r="W71" i="1"/>
  <c r="W37" i="1"/>
  <c r="W29" i="1"/>
  <c r="W44" i="1"/>
  <c r="W112" i="1"/>
  <c r="W85" i="1"/>
  <c r="W97" i="1"/>
  <c r="W143" i="1"/>
  <c r="W132" i="1"/>
  <c r="W133" i="1"/>
  <c r="W196" i="1"/>
  <c r="W135" i="1"/>
  <c r="W117" i="1"/>
  <c r="W197" i="1"/>
  <c r="W46" i="1"/>
  <c r="W31" i="1"/>
  <c r="W78" i="1"/>
  <c r="W26" i="1"/>
  <c r="W63" i="1"/>
  <c r="W99" i="1"/>
  <c r="W118" i="1"/>
  <c r="W136" i="1"/>
  <c r="W54" i="1"/>
  <c r="W149" i="1"/>
  <c r="W92" i="1"/>
  <c r="W83" i="1"/>
  <c r="W116" i="1"/>
  <c r="W131" i="1"/>
  <c r="W198" i="1"/>
  <c r="W76" i="1"/>
  <c r="W111" i="1"/>
  <c r="W16" i="1"/>
  <c r="W150" i="1"/>
  <c r="W199" i="1"/>
  <c r="W153" i="1"/>
  <c r="W147" i="1"/>
  <c r="W66" i="1"/>
  <c r="W87" i="1"/>
  <c r="W57" i="1"/>
  <c r="W89" i="1"/>
  <c r="W59" i="1"/>
  <c r="W152" i="1"/>
  <c r="W154" i="1"/>
  <c r="W107" i="1"/>
  <c r="W40" i="1"/>
  <c r="W109" i="1"/>
  <c r="W24" i="1"/>
  <c r="W110" i="1"/>
  <c r="W56" i="1"/>
  <c r="W200" i="1"/>
  <c r="W129" i="1"/>
  <c r="W127" i="1"/>
  <c r="W122" i="1"/>
  <c r="W134" i="1"/>
  <c r="W74" i="1"/>
  <c r="W75" i="1"/>
  <c r="W130" i="1"/>
  <c r="W120" i="1"/>
  <c r="W81" i="1"/>
  <c r="W104" i="1"/>
  <c r="W68" i="1"/>
  <c r="W201" i="1"/>
  <c r="W202" i="1"/>
  <c r="W80" i="1"/>
  <c r="W79" i="1"/>
  <c r="W28" i="1"/>
  <c r="W73" i="1"/>
  <c r="W203" i="1"/>
  <c r="W204" i="1"/>
  <c r="W205" i="1"/>
  <c r="W38" i="1"/>
  <c r="W70" i="1"/>
  <c r="W67" i="1"/>
  <c r="W36" i="1"/>
  <c r="W69" i="1"/>
  <c r="W82" i="1"/>
  <c r="W15" i="1"/>
  <c r="W115" i="1"/>
  <c r="W101" i="1"/>
  <c r="W86" i="1"/>
  <c r="W65" i="1"/>
  <c r="W53" i="1"/>
  <c r="W217" i="1"/>
  <c r="W58" i="1"/>
  <c r="W96" i="1"/>
  <c r="W102" i="1"/>
  <c r="W100" i="1"/>
  <c r="W137" i="1"/>
  <c r="W206" i="1"/>
  <c r="W148" i="1"/>
  <c r="W33" i="1"/>
  <c r="W207" i="1"/>
  <c r="W103" i="1"/>
  <c r="W9" i="1"/>
  <c r="W27" i="1"/>
  <c r="W47" i="1"/>
  <c r="W106" i="1"/>
  <c r="W10" i="1"/>
  <c r="W98" i="1"/>
  <c r="W60" i="1"/>
  <c r="W34" i="1"/>
  <c r="W208" i="1"/>
  <c r="W155" i="1"/>
  <c r="W209" i="1"/>
  <c r="W210" i="1"/>
  <c r="W91" i="1"/>
  <c r="W43" i="1"/>
  <c r="W211" i="1"/>
  <c r="W212" i="1"/>
  <c r="W20" i="1"/>
  <c r="W17" i="1"/>
  <c r="W14" i="1"/>
  <c r="W11" i="1"/>
  <c r="W23" i="1"/>
  <c r="W164" i="1"/>
  <c r="W72" i="1"/>
  <c r="W84" i="1"/>
  <c r="W223" i="1"/>
  <c r="W30" i="1"/>
  <c r="W128" i="1"/>
  <c r="W156" i="1"/>
  <c r="W21" i="1"/>
  <c r="W39" i="1"/>
  <c r="W49" i="1"/>
  <c r="V49" i="1"/>
  <c r="V215" i="1"/>
  <c r="V50" i="1"/>
  <c r="V158" i="1"/>
  <c r="V146" i="1"/>
  <c r="V216" i="1"/>
  <c r="V221" i="1"/>
  <c r="V126" i="1"/>
  <c r="V142" i="1"/>
  <c r="V220" i="1"/>
  <c r="V218" i="1"/>
  <c r="V219" i="1"/>
  <c r="V151" i="1"/>
  <c r="V183" i="1"/>
  <c r="V105" i="1"/>
  <c r="V52" i="1"/>
  <c r="V157" i="1"/>
  <c r="V144" i="1"/>
  <c r="V108" i="1"/>
  <c r="V140" i="1"/>
  <c r="V213" i="1"/>
  <c r="V113" i="1"/>
  <c r="V141" i="1"/>
  <c r="V214" i="1"/>
  <c r="V222" i="1"/>
  <c r="V180" i="1"/>
  <c r="V184" i="1"/>
  <c r="V185" i="1"/>
  <c r="V170" i="1"/>
  <c r="V88" i="1"/>
  <c r="V61" i="1"/>
  <c r="V48" i="1"/>
  <c r="V177" i="1"/>
  <c r="V174" i="1"/>
  <c r="V178" i="1"/>
  <c r="V186" i="1"/>
  <c r="V172" i="1"/>
  <c r="V161" i="1"/>
  <c r="V160" i="1"/>
  <c r="V94" i="1"/>
  <c r="V176" i="1"/>
  <c r="V187" i="1"/>
  <c r="V188" i="1"/>
  <c r="V189" i="1"/>
  <c r="V190" i="1"/>
  <c r="V191" i="1"/>
  <c r="V125" i="1"/>
  <c r="V77" i="1"/>
  <c r="V165" i="1"/>
  <c r="V192" i="1"/>
  <c r="V159" i="1"/>
  <c r="V167" i="1"/>
  <c r="V121" i="1"/>
  <c r="V55" i="1"/>
  <c r="V169" i="1"/>
  <c r="V32" i="1"/>
  <c r="V168" i="1"/>
  <c r="V175" i="1"/>
  <c r="V42" i="1"/>
  <c r="V179" i="1"/>
  <c r="V41" i="1"/>
  <c r="V93" i="1"/>
  <c r="V35" i="1"/>
  <c r="V163" i="1"/>
  <c r="V162" i="1"/>
  <c r="V182" i="1"/>
  <c r="V171" i="1"/>
  <c r="V166" i="1"/>
  <c r="V173" i="1"/>
  <c r="V193" i="1"/>
  <c r="V181" i="1"/>
  <c r="V13" i="1"/>
  <c r="V19" i="1"/>
  <c r="V22" i="1"/>
  <c r="V194" i="1"/>
  <c r="V51" i="1"/>
  <c r="V62" i="1"/>
  <c r="V12" i="1"/>
  <c r="V123" i="1"/>
  <c r="V138" i="1"/>
  <c r="V90" i="1"/>
  <c r="V95" i="1"/>
  <c r="V145" i="1"/>
  <c r="V119" i="1"/>
  <c r="V114" i="1"/>
  <c r="V64" i="1"/>
  <c r="V18" i="1"/>
  <c r="V139" i="1"/>
  <c r="V124" i="1"/>
  <c r="V45" i="1"/>
  <c r="V195" i="1"/>
  <c r="V25" i="1"/>
  <c r="V71" i="1"/>
  <c r="V37" i="1"/>
  <c r="V29" i="1"/>
  <c r="V44" i="1"/>
  <c r="V112" i="1"/>
  <c r="V85" i="1"/>
  <c r="V97" i="1"/>
  <c r="V143" i="1"/>
  <c r="V132" i="1"/>
  <c r="V133" i="1"/>
  <c r="V196" i="1"/>
  <c r="V135" i="1"/>
  <c r="V117" i="1"/>
  <c r="V197" i="1"/>
  <c r="V46" i="1"/>
  <c r="V31" i="1"/>
  <c r="V78" i="1"/>
  <c r="V26" i="1"/>
  <c r="V63" i="1"/>
  <c r="V99" i="1"/>
  <c r="V118" i="1"/>
  <c r="V136" i="1"/>
  <c r="V54" i="1"/>
  <c r="V149" i="1"/>
  <c r="V92" i="1"/>
  <c r="V83" i="1"/>
  <c r="V116" i="1"/>
  <c r="V131" i="1"/>
  <c r="V198" i="1"/>
  <c r="V76" i="1"/>
  <c r="V111" i="1"/>
  <c r="V16" i="1"/>
  <c r="V150" i="1"/>
  <c r="V199" i="1"/>
  <c r="V153" i="1"/>
  <c r="V147" i="1"/>
  <c r="V66" i="1"/>
  <c r="V87" i="1"/>
  <c r="V57" i="1"/>
  <c r="V89" i="1"/>
  <c r="V59" i="1"/>
  <c r="V152" i="1"/>
  <c r="V154" i="1"/>
  <c r="V107" i="1"/>
  <c r="V40" i="1"/>
  <c r="V109" i="1"/>
  <c r="V24" i="1"/>
  <c r="V110" i="1"/>
  <c r="V56" i="1"/>
  <c r="V200" i="1"/>
  <c r="V129" i="1"/>
  <c r="V127" i="1"/>
  <c r="V122" i="1"/>
  <c r="V134" i="1"/>
  <c r="V74" i="1"/>
  <c r="V75" i="1"/>
  <c r="V130" i="1"/>
  <c r="V120" i="1"/>
  <c r="V81" i="1"/>
  <c r="V104" i="1"/>
  <c r="V68" i="1"/>
  <c r="V201" i="1"/>
  <c r="V202" i="1"/>
  <c r="V80" i="1"/>
  <c r="V79" i="1"/>
  <c r="V28" i="1"/>
  <c r="V73" i="1"/>
  <c r="V203" i="1"/>
  <c r="V204" i="1"/>
  <c r="V205" i="1"/>
  <c r="V38" i="1"/>
  <c r="V70" i="1"/>
  <c r="V67" i="1"/>
  <c r="V36" i="1"/>
  <c r="V69" i="1"/>
  <c r="V82" i="1"/>
  <c r="V15" i="1"/>
  <c r="V115" i="1"/>
  <c r="V101" i="1"/>
  <c r="V86" i="1"/>
  <c r="V65" i="1"/>
  <c r="V53" i="1"/>
  <c r="V217" i="1"/>
  <c r="V58" i="1"/>
  <c r="V96" i="1"/>
  <c r="V102" i="1"/>
  <c r="V100" i="1"/>
  <c r="V137" i="1"/>
  <c r="V206" i="1"/>
  <c r="V148" i="1"/>
  <c r="V33" i="1"/>
  <c r="V207" i="1"/>
  <c r="V103" i="1"/>
  <c r="V9" i="1"/>
  <c r="V27" i="1"/>
  <c r="V47" i="1"/>
  <c r="V106" i="1"/>
  <c r="V10" i="1"/>
  <c r="V98" i="1"/>
  <c r="V60" i="1"/>
  <c r="V34" i="1"/>
  <c r="V208" i="1"/>
  <c r="V155" i="1"/>
  <c r="V209" i="1"/>
  <c r="V210" i="1"/>
  <c r="V91" i="1"/>
  <c r="V43" i="1"/>
  <c r="V211" i="1"/>
  <c r="V212" i="1"/>
  <c r="V20" i="1"/>
  <c r="V17" i="1"/>
  <c r="V14" i="1"/>
  <c r="V11" i="1"/>
  <c r="V23" i="1"/>
  <c r="V164" i="1"/>
  <c r="V72" i="1"/>
  <c r="V84" i="1"/>
  <c r="V223" i="1"/>
  <c r="V30" i="1"/>
  <c r="V128" i="1"/>
  <c r="V156" i="1"/>
  <c r="V21" i="1"/>
  <c r="V39" i="1"/>
  <c r="X180" i="1" l="1"/>
  <c r="X223" i="1"/>
  <c r="Y223" i="1" s="1"/>
  <c r="X211" i="1"/>
  <c r="Y211" i="1" s="1"/>
  <c r="X137" i="1"/>
  <c r="Y137" i="1" s="1"/>
  <c r="X115" i="1"/>
  <c r="Y115" i="1" s="1"/>
  <c r="X120" i="1"/>
  <c r="Y120" i="1" s="1"/>
  <c r="X87" i="1"/>
  <c r="Y87" i="1" s="1"/>
  <c r="X26" i="1"/>
  <c r="Y26" i="1" s="1"/>
  <c r="X45" i="1"/>
  <c r="Y45" i="1" s="1"/>
  <c r="X193" i="1"/>
  <c r="Y193" i="1" s="1"/>
  <c r="X192" i="1"/>
  <c r="Y192" i="1" s="1"/>
  <c r="X94" i="1"/>
  <c r="Y94" i="1" s="1"/>
  <c r="X88" i="1"/>
  <c r="Y88" i="1" s="1"/>
  <c r="X220" i="1"/>
  <c r="Y220" i="1" s="1"/>
  <c r="X10" i="1"/>
  <c r="Y10" i="1" s="1"/>
  <c r="X203" i="1"/>
  <c r="Y203" i="1" s="1"/>
  <c r="X110" i="1"/>
  <c r="Y110" i="1" s="1"/>
  <c r="X131" i="1"/>
  <c r="Y131" i="1" s="1"/>
  <c r="X143" i="1"/>
  <c r="Y143" i="1" s="1"/>
  <c r="X138" i="1"/>
  <c r="Y138" i="1" s="1"/>
  <c r="X179" i="1"/>
  <c r="Y179" i="1" s="1"/>
  <c r="X140" i="1"/>
  <c r="Y140" i="1" s="1"/>
  <c r="X152" i="1"/>
  <c r="Y152" i="1" s="1"/>
  <c r="X21" i="1"/>
  <c r="Y21" i="1" s="1"/>
  <c r="X14" i="1"/>
  <c r="Y14" i="1" s="1"/>
  <c r="X208" i="1"/>
  <c r="Y208" i="1" s="1"/>
  <c r="X207" i="1"/>
  <c r="Y207" i="1" s="1"/>
  <c r="X53" i="1"/>
  <c r="Y53" i="1" s="1"/>
  <c r="X70" i="1"/>
  <c r="Y70" i="1" s="1"/>
  <c r="X201" i="1"/>
  <c r="Y201" i="1" s="1"/>
  <c r="X127" i="1"/>
  <c r="Y127" i="1" s="1"/>
  <c r="X16" i="1"/>
  <c r="Y16" i="1" s="1"/>
  <c r="X22" i="1"/>
  <c r="Y22" i="1" s="1"/>
  <c r="X135" i="1"/>
  <c r="Y135" i="1" s="1"/>
  <c r="X119" i="1"/>
  <c r="Y119" i="1" s="1"/>
  <c r="X55" i="1"/>
  <c r="Y55" i="1" s="1"/>
  <c r="X183" i="1"/>
  <c r="Y183" i="1" s="1"/>
  <c r="X17" i="1"/>
  <c r="Y17" i="1" s="1"/>
  <c r="X33" i="1"/>
  <c r="Y33" i="1" s="1"/>
  <c r="X38" i="1"/>
  <c r="Y38" i="1" s="1"/>
  <c r="X129" i="1"/>
  <c r="Y129" i="1" s="1"/>
  <c r="X111" i="1"/>
  <c r="Y111" i="1" s="1"/>
  <c r="X196" i="1"/>
  <c r="Y196" i="1" s="1"/>
  <c r="X145" i="1"/>
  <c r="Y145" i="1" s="1"/>
  <c r="X19" i="1"/>
  <c r="Y19" i="1" s="1"/>
  <c r="X121" i="1"/>
  <c r="Y121" i="1" s="1"/>
  <c r="X177" i="1"/>
  <c r="Y177" i="1" s="1"/>
  <c r="X141" i="1"/>
  <c r="Y141" i="1" s="1"/>
  <c r="X151" i="1"/>
  <c r="Y151" i="1" s="1"/>
  <c r="X128" i="1"/>
  <c r="Y128" i="1" s="1"/>
  <c r="X148" i="1"/>
  <c r="Y148" i="1" s="1"/>
  <c r="X205" i="1"/>
  <c r="Y205" i="1" s="1"/>
  <c r="X104" i="1"/>
  <c r="Y104" i="1" s="1"/>
  <c r="X89" i="1"/>
  <c r="Y89" i="1" s="1"/>
  <c r="X99" i="1"/>
  <c r="Y99" i="1" s="1"/>
  <c r="X25" i="1"/>
  <c r="Y25" i="1" s="1"/>
  <c r="X13" i="1"/>
  <c r="Y13" i="1" s="1"/>
  <c r="X93" i="1"/>
  <c r="Y93" i="1" s="1"/>
  <c r="X187" i="1"/>
  <c r="Y187" i="1" s="1"/>
  <c r="X48" i="1"/>
  <c r="Y48" i="1" s="1"/>
  <c r="X113" i="1"/>
  <c r="Y113" i="1" s="1"/>
  <c r="X219" i="1"/>
  <c r="Y219" i="1" s="1"/>
  <c r="X215" i="1"/>
  <c r="Y215" i="1" s="1"/>
  <c r="X91" i="1"/>
  <c r="Y91" i="1" s="1"/>
  <c r="X47" i="1"/>
  <c r="Y47" i="1" s="1"/>
  <c r="X102" i="1"/>
  <c r="Y102" i="1" s="1"/>
  <c r="X82" i="1"/>
  <c r="Y82" i="1" s="1"/>
  <c r="X28" i="1"/>
  <c r="Y28" i="1" s="1"/>
  <c r="X139" i="1"/>
  <c r="Y139" i="1" s="1"/>
  <c r="X12" i="1"/>
  <c r="Y12" i="1" s="1"/>
  <c r="X166" i="1"/>
  <c r="Y166" i="1" s="1"/>
  <c r="X175" i="1"/>
  <c r="Y175" i="1" s="1"/>
  <c r="X77" i="1"/>
  <c r="Y77" i="1" s="1"/>
  <c r="X136" i="1"/>
  <c r="Y136" i="1" s="1"/>
  <c r="X37" i="1"/>
  <c r="Y37" i="1" s="1"/>
  <c r="X163" i="1"/>
  <c r="Y163" i="1" s="1"/>
  <c r="X189" i="1"/>
  <c r="Y189" i="1" s="1"/>
  <c r="X174" i="1"/>
  <c r="Y174" i="1" s="1"/>
  <c r="X214" i="1"/>
  <c r="Y214" i="1" s="1"/>
  <c r="X158" i="1"/>
  <c r="Y158" i="1" s="1"/>
  <c r="X156" i="1"/>
  <c r="Y156" i="1" s="1"/>
  <c r="X34" i="1"/>
  <c r="Y34" i="1" s="1"/>
  <c r="X65" i="1"/>
  <c r="Y65" i="1" s="1"/>
  <c r="X68" i="1"/>
  <c r="Y68" i="1" s="1"/>
  <c r="X59" i="1"/>
  <c r="Y59" i="1" s="1"/>
  <c r="X118" i="1"/>
  <c r="Y118" i="1" s="1"/>
  <c r="X71" i="1"/>
  <c r="Y71" i="1" s="1"/>
  <c r="X35" i="1"/>
  <c r="Y35" i="1" s="1"/>
  <c r="X188" i="1"/>
  <c r="Y188" i="1" s="1"/>
  <c r="X50" i="1"/>
  <c r="Y50" i="1" s="1"/>
  <c r="X20" i="1"/>
  <c r="Y20" i="1" s="1"/>
  <c r="X60" i="1"/>
  <c r="Y60" i="1" s="1"/>
  <c r="X86" i="1"/>
  <c r="Y86" i="1" s="1"/>
  <c r="X200" i="1"/>
  <c r="Y200" i="1" s="1"/>
  <c r="X76" i="1"/>
  <c r="Y76" i="1" s="1"/>
  <c r="X133" i="1"/>
  <c r="Y133" i="1" s="1"/>
  <c r="X95" i="1"/>
  <c r="Y95" i="1" s="1"/>
  <c r="X167" i="1"/>
  <c r="Y167" i="1" s="1"/>
  <c r="X49" i="1"/>
  <c r="Y49" i="1" s="1"/>
  <c r="X109" i="1"/>
  <c r="Y109" i="1" s="1"/>
  <c r="X147" i="1"/>
  <c r="Y147" i="1" s="1"/>
  <c r="X85" i="1"/>
  <c r="Y85" i="1" s="1"/>
  <c r="X144" i="1"/>
  <c r="Y144" i="1" s="1"/>
  <c r="X218" i="1"/>
  <c r="Y218" i="1" s="1"/>
  <c r="X42" i="1"/>
  <c r="Y42" i="1" s="1"/>
  <c r="X72" i="1"/>
  <c r="Y72" i="1" s="1"/>
  <c r="X75" i="1"/>
  <c r="Y75" i="1" s="1"/>
  <c r="X83" i="1"/>
  <c r="Y83" i="1" s="1"/>
  <c r="X31" i="1"/>
  <c r="Y31" i="1" s="1"/>
  <c r="X161" i="1"/>
  <c r="Y161" i="1" s="1"/>
  <c r="X185" i="1"/>
  <c r="Y185" i="1" s="1"/>
  <c r="X43" i="1"/>
  <c r="Y43" i="1" s="1"/>
  <c r="X100" i="1"/>
  <c r="Y100" i="1" s="1"/>
  <c r="X73" i="1"/>
  <c r="Y73" i="1" s="1"/>
  <c r="X24" i="1"/>
  <c r="Y24" i="1" s="1"/>
  <c r="X78" i="1"/>
  <c r="Y78" i="1" s="1"/>
  <c r="X123" i="1"/>
  <c r="Y123" i="1" s="1"/>
  <c r="X108" i="1"/>
  <c r="Y108" i="1" s="1"/>
  <c r="X106" i="1"/>
  <c r="Y106" i="1" s="1"/>
  <c r="X130" i="1"/>
  <c r="Y130" i="1" s="1"/>
  <c r="X116" i="1"/>
  <c r="Y116" i="1" s="1"/>
  <c r="X173" i="1"/>
  <c r="Y173" i="1" s="1"/>
  <c r="X160" i="1"/>
  <c r="Y160" i="1" s="1"/>
  <c r="X164" i="1"/>
  <c r="Y164" i="1" s="1"/>
  <c r="X27" i="1"/>
  <c r="Y27" i="1" s="1"/>
  <c r="X69" i="1"/>
  <c r="Y69" i="1" s="1"/>
  <c r="X74" i="1"/>
  <c r="Y74" i="1" s="1"/>
  <c r="X40" i="1"/>
  <c r="Y40" i="1" s="1"/>
  <c r="X92" i="1"/>
  <c r="Y92" i="1" s="1"/>
  <c r="X112" i="1"/>
  <c r="Y112" i="1" s="1"/>
  <c r="X62" i="1"/>
  <c r="Y62" i="1" s="1"/>
  <c r="X171" i="1"/>
  <c r="Y171" i="1" s="1"/>
  <c r="X168" i="1"/>
  <c r="Y168" i="1" s="1"/>
  <c r="X172" i="1"/>
  <c r="Y172" i="1" s="1"/>
  <c r="X184" i="1"/>
  <c r="Y184" i="1" s="1"/>
  <c r="X221" i="1"/>
  <c r="Y221" i="1" s="1"/>
  <c r="X23" i="1"/>
  <c r="Y23" i="1" s="1"/>
  <c r="X209" i="1"/>
  <c r="Y209" i="1" s="1"/>
  <c r="X58" i="1"/>
  <c r="Y58" i="1" s="1"/>
  <c r="X80" i="1"/>
  <c r="Y80" i="1" s="1"/>
  <c r="X134" i="1"/>
  <c r="Y134" i="1" s="1"/>
  <c r="X199" i="1"/>
  <c r="Y199" i="1" s="1"/>
  <c r="X197" i="1"/>
  <c r="Y197" i="1" s="1"/>
  <c r="X64" i="1"/>
  <c r="Y64" i="1" s="1"/>
  <c r="X182" i="1"/>
  <c r="Y182" i="1" s="1"/>
  <c r="X32" i="1"/>
  <c r="Y32" i="1" s="1"/>
  <c r="X186" i="1"/>
  <c r="Y186" i="1" s="1"/>
  <c r="Y180" i="1"/>
  <c r="X52" i="1"/>
  <c r="Y52" i="1" s="1"/>
  <c r="X216" i="1"/>
  <c r="Y216" i="1" s="1"/>
  <c r="X84" i="1"/>
  <c r="Y84" i="1" s="1"/>
  <c r="X15" i="1"/>
  <c r="Y15" i="1" s="1"/>
  <c r="X66" i="1"/>
  <c r="Y66" i="1" s="1"/>
  <c r="X97" i="1"/>
  <c r="Y97" i="1" s="1"/>
  <c r="X124" i="1"/>
  <c r="Y124" i="1" s="1"/>
  <c r="X165" i="1"/>
  <c r="Y165" i="1" s="1"/>
  <c r="X170" i="1"/>
  <c r="Y170" i="1" s="1"/>
  <c r="X142" i="1"/>
  <c r="Y142" i="1" s="1"/>
  <c r="X126" i="1"/>
  <c r="Y126" i="1" s="1"/>
  <c r="X210" i="1"/>
  <c r="Y210" i="1" s="1"/>
  <c r="X96" i="1"/>
  <c r="Y96" i="1" s="1"/>
  <c r="X79" i="1"/>
  <c r="Y79" i="1" s="1"/>
  <c r="X153" i="1"/>
  <c r="Y153" i="1" s="1"/>
  <c r="X46" i="1"/>
  <c r="Y46" i="1" s="1"/>
  <c r="X18" i="1"/>
  <c r="Y18" i="1" s="1"/>
  <c r="X125" i="1"/>
  <c r="Y125" i="1" s="1"/>
  <c r="X157" i="1"/>
  <c r="Y157" i="1" s="1"/>
  <c r="X9" i="1"/>
  <c r="Y9" i="1" s="1"/>
  <c r="X36" i="1"/>
  <c r="Y36" i="1" s="1"/>
  <c r="X107" i="1"/>
  <c r="Y107" i="1" s="1"/>
  <c r="X149" i="1"/>
  <c r="Y149" i="1" s="1"/>
  <c r="X44" i="1"/>
  <c r="Y44" i="1" s="1"/>
  <c r="X51" i="1"/>
  <c r="Y51" i="1" s="1"/>
  <c r="X191" i="1"/>
  <c r="Y191" i="1" s="1"/>
  <c r="X39" i="1"/>
  <c r="Y39" i="1" s="1"/>
  <c r="X11" i="1"/>
  <c r="Y11" i="1" s="1"/>
  <c r="X155" i="1"/>
  <c r="Y155" i="1" s="1"/>
  <c r="X103" i="1"/>
  <c r="Y103" i="1" s="1"/>
  <c r="X217" i="1"/>
  <c r="Y217" i="1" s="1"/>
  <c r="X67" i="1"/>
  <c r="Y67" i="1" s="1"/>
  <c r="X202" i="1"/>
  <c r="Y202" i="1" s="1"/>
  <c r="X122" i="1"/>
  <c r="Y122" i="1" s="1"/>
  <c r="X154" i="1"/>
  <c r="Y154" i="1" s="1"/>
  <c r="X150" i="1"/>
  <c r="Y150" i="1" s="1"/>
  <c r="X54" i="1"/>
  <c r="Y54" i="1" s="1"/>
  <c r="X117" i="1"/>
  <c r="Y117" i="1" s="1"/>
  <c r="X29" i="1"/>
  <c r="Y29" i="1" s="1"/>
  <c r="X114" i="1"/>
  <c r="Y114" i="1" s="1"/>
  <c r="X194" i="1"/>
  <c r="Y194" i="1" s="1"/>
  <c r="X162" i="1"/>
  <c r="Y162" i="1" s="1"/>
  <c r="X169" i="1"/>
  <c r="Y169" i="1" s="1"/>
  <c r="X190" i="1"/>
  <c r="Y190" i="1" s="1"/>
  <c r="X178" i="1"/>
  <c r="Y178" i="1" s="1"/>
  <c r="X222" i="1"/>
  <c r="Y222" i="1" s="1"/>
  <c r="X105" i="1"/>
  <c r="Y105" i="1" s="1"/>
  <c r="X146" i="1"/>
  <c r="Y146" i="1" s="1"/>
  <c r="X30" i="1"/>
  <c r="Y30" i="1" s="1"/>
  <c r="X212" i="1"/>
  <c r="Y212" i="1" s="1"/>
  <c r="X98" i="1"/>
  <c r="Y98" i="1" s="1"/>
  <c r="X206" i="1"/>
  <c r="Y206" i="1" s="1"/>
  <c r="X101" i="1"/>
  <c r="Y101" i="1" s="1"/>
  <c r="X204" i="1"/>
  <c r="Y204" i="1" s="1"/>
  <c r="X81" i="1"/>
  <c r="Y81" i="1" s="1"/>
  <c r="X56" i="1"/>
  <c r="Y56" i="1" s="1"/>
  <c r="X57" i="1"/>
  <c r="Y57" i="1" s="1"/>
  <c r="X198" i="1"/>
  <c r="Y198" i="1" s="1"/>
  <c r="X63" i="1"/>
  <c r="Y63" i="1" s="1"/>
  <c r="X132" i="1"/>
  <c r="Y132" i="1" s="1"/>
  <c r="X195" i="1"/>
  <c r="Y195" i="1" s="1"/>
  <c r="X90" i="1"/>
  <c r="Y90" i="1" s="1"/>
  <c r="X181" i="1"/>
  <c r="Y181" i="1" s="1"/>
  <c r="X41" i="1"/>
  <c r="Y41" i="1" s="1"/>
  <c r="X159" i="1"/>
  <c r="Y159" i="1" s="1"/>
  <c r="X176" i="1"/>
  <c r="Y176" i="1" s="1"/>
  <c r="X61" i="1"/>
  <c r="Y61" i="1" s="1"/>
  <c r="X213" i="1"/>
  <c r="Y213" i="1" s="1"/>
</calcChain>
</file>

<file path=xl/sharedStrings.xml><?xml version="1.0" encoding="utf-8"?>
<sst xmlns="http://schemas.openxmlformats.org/spreadsheetml/2006/main" count="252" uniqueCount="236">
  <si>
    <t>2016/7</t>
  </si>
  <si>
    <t>2017/8</t>
  </si>
  <si>
    <t>2018/9</t>
  </si>
  <si>
    <t>2019/0</t>
  </si>
  <si>
    <t>2020/1</t>
  </si>
  <si>
    <t>Diploma in Accounting and Finance</t>
  </si>
  <si>
    <t>Double Exec. MSc in Health Policy (Chicago)</t>
  </si>
  <si>
    <t>Double Master's in Financial Statistics &amp; Chi Econ</t>
  </si>
  <si>
    <t>Exec. MSc in Social Business &amp; Entrepreneurship</t>
  </si>
  <si>
    <t>Executive Global MSc Management</t>
  </si>
  <si>
    <t>Executive Master of Public Administration (EMPA)</t>
  </si>
  <si>
    <t>Executive Master of Public Policy (EMPP)</t>
  </si>
  <si>
    <t>Executive MSc Finance (part-time/evenings)</t>
  </si>
  <si>
    <t>Executive MSc in Behavioural Science</t>
  </si>
  <si>
    <t>Executive MSc in Cities</t>
  </si>
  <si>
    <t>Executive MSc in Evaluation of Health Care, (NICE)</t>
  </si>
  <si>
    <t>Executive MSc in Health Economics, Out &amp; Mgt in CS</t>
  </si>
  <si>
    <t>Executive MSc in Health Economics, Policy and Mgmt</t>
  </si>
  <si>
    <t>Executive MSc in Political Economy of Europe</t>
  </si>
  <si>
    <t>Executive MSc International Strategy and Diplomacy</t>
  </si>
  <si>
    <t>Global MSc in Management</t>
  </si>
  <si>
    <t>LSE-Bocconi DD in Euro &amp; Int Pub Policy &amp; Politics</t>
  </si>
  <si>
    <t>LSE-Sciences Po Double Degree Programme</t>
  </si>
  <si>
    <t>Master of Laws</t>
  </si>
  <si>
    <t>Master of Laws (Executive LLM)</t>
  </si>
  <si>
    <t>Master of Laws (extended part-time study)</t>
  </si>
  <si>
    <t>Master of Public Administration</t>
  </si>
  <si>
    <t>Master of Public Policy</t>
  </si>
  <si>
    <t>MBA (Global Executive Programme)</t>
  </si>
  <si>
    <t>MPA Dual Degree</t>
  </si>
  <si>
    <t>MPhil/ PhD Cities Programme</t>
  </si>
  <si>
    <t>MPhil/ PhD in Accounting (Route 2)</t>
  </si>
  <si>
    <t>MPhil/ PhD in Accounting (track 1)</t>
  </si>
  <si>
    <t>MPhil/ PhD in Data, Networks and Society</t>
  </si>
  <si>
    <t>MPhil/ PhD in Economic Geography</t>
  </si>
  <si>
    <t>MPhil/ PhD in Economic History</t>
  </si>
  <si>
    <t>MPhil/ PhD in Environmental Economics</t>
  </si>
  <si>
    <t>MPhil/ PhD in Environmental Policy and Development</t>
  </si>
  <si>
    <t>MPhil/ PhD in European Studies</t>
  </si>
  <si>
    <t>MPhil/ PhD in Gender</t>
  </si>
  <si>
    <t>MPhil/ PhD in Gender (Social Research Methods)</t>
  </si>
  <si>
    <t>MPhil/ PhD in Health Policy and Health Economics</t>
  </si>
  <si>
    <t>MPhil/ PhD in Human Geography and Urban Studies</t>
  </si>
  <si>
    <t>MPhil/ PhD in International History</t>
  </si>
  <si>
    <t>MPhil/ PhD in International Relations</t>
  </si>
  <si>
    <t>MPhil/ PhD in Law</t>
  </si>
  <si>
    <t>MPhil/ PhD in Law (Socio-Legal Theory)</t>
  </si>
  <si>
    <t>MPhil/ PhD in Management: Business Economics</t>
  </si>
  <si>
    <t>MPhil/ PhD in Management: Employment Relations &amp; O</t>
  </si>
  <si>
    <t>MPhil/ PhD in Management: General Management</t>
  </si>
  <si>
    <t>MPhil/ PhD in Management: Management Science</t>
  </si>
  <si>
    <t>MPhil/ PhD in Mathematics</t>
  </si>
  <si>
    <t>MPhil/ PhD in Media and Communications</t>
  </si>
  <si>
    <t>MPhil/ PhD in Philosophy</t>
  </si>
  <si>
    <t>MPhil/ PhD in Philosophy of the Social Sciences</t>
  </si>
  <si>
    <t>MPhil/ PhD in Psychological &amp; Behavioural Science</t>
  </si>
  <si>
    <t>MPhil/ PhD in Regional and Urban Planning</t>
  </si>
  <si>
    <t>MPhil/ PhD in Social Policy</t>
  </si>
  <si>
    <t>MPhil/ PhD in Social Research Methods</t>
  </si>
  <si>
    <t>MPhil/ PhD in Sociology</t>
  </si>
  <si>
    <t>MPhil/ PhD in Statistics</t>
  </si>
  <si>
    <t>MPhil/PhD in Demography (Social/Formal)</t>
  </si>
  <si>
    <t>MPhil/PhD in Management: Information Sys &amp; Innov.</t>
  </si>
  <si>
    <t>MRes/PhD Economics</t>
  </si>
  <si>
    <t>MRes/PhD in Accounting (AOI)</t>
  </si>
  <si>
    <t>MRes/PhD in Accounting (EA)</t>
  </si>
  <si>
    <t>MRes/PhD in Anthropology</t>
  </si>
  <si>
    <t>MRes/PhD in Finance</t>
  </si>
  <si>
    <t>MRes/PhD in International Development</t>
  </si>
  <si>
    <t>MRes/PhD in Management (Employment Rel. &amp; H.R.)</t>
  </si>
  <si>
    <t>MRes/PhD in Management (Information Sys and Inn.)</t>
  </si>
  <si>
    <t>MRes/PhD in Management (Marketing)</t>
  </si>
  <si>
    <t>MRes/PhD in Management (Organisational Behaviour)</t>
  </si>
  <si>
    <t>MRes/PhD Political Science</t>
  </si>
  <si>
    <t>MRes/PhD Political Science -- Justice Project</t>
  </si>
  <si>
    <t>MRes/PhD Quantitative Economic History</t>
  </si>
  <si>
    <t>MSc China in Comparative Perspective</t>
  </si>
  <si>
    <t>MSc in Accounting and Finance</t>
  </si>
  <si>
    <t>MSc in Accounting, Organisations and Institutions</t>
  </si>
  <si>
    <t>MSc in African Development</t>
  </si>
  <si>
    <t>MSc in Anthropology and Development</t>
  </si>
  <si>
    <t>MSc in Anthropology and Development Management</t>
  </si>
  <si>
    <t>MSc in Applicable Mathematics</t>
  </si>
  <si>
    <t>MSc in Applied Social Data Science</t>
  </si>
  <si>
    <t>MSc in Behavioural Science</t>
  </si>
  <si>
    <t>MSc in City Design and Social Science</t>
  </si>
  <si>
    <t>MSc in Comparative Politics</t>
  </si>
  <si>
    <t>MSc in Conflict Studies</t>
  </si>
  <si>
    <t>MSc in Criminal Justice Policy</t>
  </si>
  <si>
    <t>MSc in Culture and Conflict in a Global Europe</t>
  </si>
  <si>
    <t>MSc in Culture and Society</t>
  </si>
  <si>
    <t>MSc in Data Science</t>
  </si>
  <si>
    <t>MSc in Development Management</t>
  </si>
  <si>
    <t>MSc in Development Studies</t>
  </si>
  <si>
    <t>MSc in Econometrics and Mathematical Economics</t>
  </si>
  <si>
    <t>MSc in Economic History</t>
  </si>
  <si>
    <t>MSc in Economic History (Research)</t>
  </si>
  <si>
    <t>MSc in Economics</t>
  </si>
  <si>
    <t>MSc in Economics (2 Year Programme)</t>
  </si>
  <si>
    <t>MSc in Economics and Management</t>
  </si>
  <si>
    <t>MSc in Economics and Philosophy</t>
  </si>
  <si>
    <t>MSc in Economy and Society</t>
  </si>
  <si>
    <t>MSc in Empires, Colonialism and Globalisation</t>
  </si>
  <si>
    <t>MSc in Environment and Development</t>
  </si>
  <si>
    <t>MSc in Environmental Economics and Climate Change</t>
  </si>
  <si>
    <t>MSc in Environmental Policy and Regulation</t>
  </si>
  <si>
    <t>MSc in EU Politics</t>
  </si>
  <si>
    <t>MSc in European &amp; Intl. Public Policy</t>
  </si>
  <si>
    <t>MSc in European Studies (Research)</t>
  </si>
  <si>
    <t>MSc in European Studies: Ideas Ideologies Identiti</t>
  </si>
  <si>
    <t>MSc in Finance (full-time)</t>
  </si>
  <si>
    <t>MSc in Finance and Economics</t>
  </si>
  <si>
    <t>MSc in Finance and Private Equity</t>
  </si>
  <si>
    <t>MSc in Financial Mathematics</t>
  </si>
  <si>
    <t>MSc in Gender</t>
  </si>
  <si>
    <t>MSc in Gender (Research)</t>
  </si>
  <si>
    <t>MSc in Gender (Sexuality)</t>
  </si>
  <si>
    <t>MSc in Gender, Development and Globalisation</t>
  </si>
  <si>
    <t>MSc in Gender, Media and Culture</t>
  </si>
  <si>
    <t>MSc in Gender, Peace and Security</t>
  </si>
  <si>
    <t>MSc in Gender, Policy and Inequalities</t>
  </si>
  <si>
    <t>MSc in Gl. Pol Econ of China &amp; Europe (with Fudan)</t>
  </si>
  <si>
    <t>MSc in Global Economic History (Erasmus Mundus)</t>
  </si>
  <si>
    <t>MSc in Global Health Policy</t>
  </si>
  <si>
    <t>MSc in Global History</t>
  </si>
  <si>
    <t>MSc in Global Media &amp; Communications (LSE &amp; Fudan)</t>
  </si>
  <si>
    <t>MSc in Global Media &amp; Communications (LSE &amp; UCT)</t>
  </si>
  <si>
    <t>MSc in Global Media and Communications (LSE &amp; USC)</t>
  </si>
  <si>
    <t>MSc in Global Politics</t>
  </si>
  <si>
    <t>MSc in Global Population Health</t>
  </si>
  <si>
    <t>MSc in Health and International Development</t>
  </si>
  <si>
    <t>MSc in Health Policy, Planning And Financing</t>
  </si>
  <si>
    <t>MSc in History of International Relations</t>
  </si>
  <si>
    <t>MSc in Human Geography and Urban Studies (Res)</t>
  </si>
  <si>
    <t>MSc in Human Resources &amp; Organisations (HRM/CIPD)</t>
  </si>
  <si>
    <t>MSc in Human Resources &amp; Organisations (Org. Beh.)</t>
  </si>
  <si>
    <t>MSc in Human Resources and Organisations (Intl ER)</t>
  </si>
  <si>
    <t>MSc in Human Rights</t>
  </si>
  <si>
    <t>MSc in Human Rights and Politics</t>
  </si>
  <si>
    <t>MSc in Inequalities and Social Science</t>
  </si>
  <si>
    <t>MSc in Int Social and Public Policy (with Fudan)</t>
  </si>
  <si>
    <t>MSc in International Affairs (LSE and Peking)</t>
  </si>
  <si>
    <t>MSc in International and Asian History</t>
  </si>
  <si>
    <t>MSc in International Health Policy</t>
  </si>
  <si>
    <t>MSc in International Health Policy (Health Econom)</t>
  </si>
  <si>
    <t>MSc in International Management</t>
  </si>
  <si>
    <t>MSc in International Migration and Public Policy</t>
  </si>
  <si>
    <t>MSc in International Political Economy</t>
  </si>
  <si>
    <t>MSc in International Political Economy (Research)</t>
  </si>
  <si>
    <t>MSc in International Relations</t>
  </si>
  <si>
    <t>MSc in International Relations (Research)</t>
  </si>
  <si>
    <t>MSc in International Relations Theory</t>
  </si>
  <si>
    <t>MSc in International Social &amp; Public Policy (Mig)</t>
  </si>
  <si>
    <t>MSc in International Social &amp; Public Policy (Rsh.)</t>
  </si>
  <si>
    <t>MSc in International Social and Public Policy</t>
  </si>
  <si>
    <t>MSc in International Social and Public Policy (Dev</t>
  </si>
  <si>
    <t>MSc in International Social and Public Policy (NGO</t>
  </si>
  <si>
    <t>MSc in Law and Accounting</t>
  </si>
  <si>
    <t>MSc in Law, Anthropology and Society</t>
  </si>
  <si>
    <t>MSc in Local Economic Development</t>
  </si>
  <si>
    <t>MSc in Management</t>
  </si>
  <si>
    <t>MSc in Management and Strategy</t>
  </si>
  <si>
    <t>MSc in Management of Info Sys &amp; Digital Innovation</t>
  </si>
  <si>
    <t>MSc in Management Science (Decision Sciences)</t>
  </si>
  <si>
    <t>MSc in Management Science (Operational Research)</t>
  </si>
  <si>
    <t>MSc in Management, Organisations and Governance</t>
  </si>
  <si>
    <t>MSc in Marketing</t>
  </si>
  <si>
    <t>MSc in Media &amp; Communications (Media and Comm Gov)</t>
  </si>
  <si>
    <t>MSc in Media and Communications</t>
  </si>
  <si>
    <t>MSc in Media and Communications (Data and Society)</t>
  </si>
  <si>
    <t>MSc in Media And Communications (Research)</t>
  </si>
  <si>
    <t>MSc in Media, Communication and Development</t>
  </si>
  <si>
    <t>MSc in Operations Research &amp; Analytics</t>
  </si>
  <si>
    <t>MSc in Organisational and Social Psychology</t>
  </si>
  <si>
    <t>MSc in Philosophy and Public Policy</t>
  </si>
  <si>
    <t>MSc in Philosophy of Science</t>
  </si>
  <si>
    <t>MSc in Philosophy of the Social Sciences</t>
  </si>
  <si>
    <t>MSc in Political Economy of Europe</t>
  </si>
  <si>
    <t>MSc in Political Economy of Europe (LSE &amp; Sci. Po)</t>
  </si>
  <si>
    <t>MSc in Political Economy of Late Development</t>
  </si>
  <si>
    <t>MSc in Political Science and Political Economy</t>
  </si>
  <si>
    <t>MSc in Political Sociology</t>
  </si>
  <si>
    <t>MSc in Political Theory</t>
  </si>
  <si>
    <t>MSc in Politics and Communication</t>
  </si>
  <si>
    <t>MSc in Population and Development</t>
  </si>
  <si>
    <t>MSc in Psychology of Economic Life</t>
  </si>
  <si>
    <t>MSc in Public Admin. and Government (LSE &amp; Peking)</t>
  </si>
  <si>
    <t>MSc in Public Management and Governance</t>
  </si>
  <si>
    <t>MSc in Public Policy and Administration</t>
  </si>
  <si>
    <t>MSc in Quantitative Methods for Risk Management</t>
  </si>
  <si>
    <t>MSc in Real Estate Economics and Finance</t>
  </si>
  <si>
    <t>MSc in Regional And Urban Planning Studies</t>
  </si>
  <si>
    <t>MSc in Regulation</t>
  </si>
  <si>
    <t>MSc in Risk and Finance</t>
  </si>
  <si>
    <t>MSc in Social and Cultural Psychology</t>
  </si>
  <si>
    <t>MSc in Social and Public Communication</t>
  </si>
  <si>
    <t>MSc in Social Anthropology</t>
  </si>
  <si>
    <t>MSc in Social Anthropology (Learning &amp; Cognition)</t>
  </si>
  <si>
    <t>MSc in Social Innovation and Entrepreneurship</t>
  </si>
  <si>
    <t>MSc in Social Policy (EU &amp; Comparative Soc Policy)</t>
  </si>
  <si>
    <t>MSc in Social Policy (Social Policy and Planning)</t>
  </si>
  <si>
    <t>MSc in Social Research Methods</t>
  </si>
  <si>
    <t>MSc in Sociology</t>
  </si>
  <si>
    <t>MSc in Sociology (Contemporary Social Thought)</t>
  </si>
  <si>
    <t>MSc in Sociology (Research)</t>
  </si>
  <si>
    <t>MSc in Statistics</t>
  </si>
  <si>
    <t>MSc in Statistics (Financial Statistics)</t>
  </si>
  <si>
    <t>MSc in Statistics (Financial Statistics)(Research)</t>
  </si>
  <si>
    <t>MSc in Statistics (Research)</t>
  </si>
  <si>
    <t>MSc in Statistics (Social Statistics)</t>
  </si>
  <si>
    <t>MSc in Statistics (Social Statistics) (Research)</t>
  </si>
  <si>
    <t>MSc in Strategic Communications</t>
  </si>
  <si>
    <t>MSc in Theory &amp; History of International Relations</t>
  </si>
  <si>
    <t>MSc in Urban Policy (LSE and Sciences Po)</t>
  </si>
  <si>
    <t>MSc in Urbanisation and Development</t>
  </si>
  <si>
    <t>MSc International &amp; World History (LSE &amp; Columbia)</t>
  </si>
  <si>
    <t>MSc Intl Development and Humanitarian Emergencies</t>
  </si>
  <si>
    <t>MSc Quantitative Economic History</t>
  </si>
  <si>
    <t>MSc Social Anthropology (Religion in the C.W.)</t>
  </si>
  <si>
    <t>Programme</t>
  </si>
  <si>
    <t>Total applications</t>
  </si>
  <si>
    <t>Total offers</t>
  </si>
  <si>
    <t>Chinese applications</t>
  </si>
  <si>
    <t>Chinese offers</t>
  </si>
  <si>
    <t>MSc in Econometrics and Mathematical Economics (2 year programme)</t>
  </si>
  <si>
    <t>含水量</t>
  </si>
  <si>
    <t>中国学生录取率</t>
  </si>
  <si>
    <t>中国学生录取率 = N(Chinese offer)/N(Chinese applicants)；旨在评价在中国申请者内部的竞争程度</t>
  </si>
  <si>
    <t>含水量 =中国offer占整体offer比重；与就读体验相关，可以说明以后的同学有多少中国人</t>
  </si>
  <si>
    <t>整体录取率</t>
  </si>
  <si>
    <t>内卷指数1</t>
  </si>
  <si>
    <t>内卷指数2</t>
  </si>
  <si>
    <t>内卷指数1= (中国学生录取率 - 整体录取率)；旨在评价中国人彼此间的竞争使得项目比国际生录取变难了多少</t>
  </si>
  <si>
    <t>内卷指数2= (中国学生录取率 - 整体录取率)*中国申请者人数；此系数低说明该项目申请多且对中国人很卷</t>
  </si>
  <si>
    <t>整体录取率 = N(offer) / N(applicants)；旨在评价在所有申请者内部的竞争程度，即项目整体的录取难度</t>
  </si>
  <si>
    <t>注释：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</si>
</sst>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theme="1"/>
      <name val="Times Roman"/>
    </font>
    <font>
      <b/>
      <sz val="8"/>
      <color theme="1"/>
      <name val="Times Roman"/>
    </font>
    <font>
      <b/>
      <sz val="8"/>
      <color rgb="FFFF0000"/>
      <name val="Times Roman"/>
    </font>
    <font>
      <b/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5">
    <xf numFmtId="0" fontId="0" fillId="0" borderId="0" xfId="0"/>
    <xf numFmtId="0" fontId="0" fillId="0" borderId="0" xfId="0" applyAlignment="1">
      <alignment wrapText="1"/>
    </xf>
    <xf numFmtId="9" fontId="0" fillId="0" borderId="0" xfId="1" applyFont="1"/>
    <xf numFmtId="9" fontId="0" fillId="0" borderId="0" xfId="0" applyNumberFormat="1"/>
    <xf numFmtId="2" fontId="0" fillId="0" borderId="0" xfId="0" applyNumberFormat="1" applyAlignment="1">
      <alignment wrapText="1"/>
    </xf>
    <xf numFmtId="0" fontId="2" fillId="0" borderId="0" xfId="0" applyFont="1" applyAlignment="1">
      <alignment wrapText="1"/>
    </xf>
    <xf numFmtId="0" fontId="2" fillId="0" borderId="0" xfId="0" applyFont="1"/>
    <xf numFmtId="0" fontId="3" fillId="0" borderId="0" xfId="0" applyFont="1"/>
    <xf numFmtId="2" fontId="3" fillId="0" borderId="0" xfId="0" applyNumberFormat="1" applyFont="1"/>
    <xf numFmtId="0" fontId="3" fillId="0" borderId="0" xfId="0" applyFont="1" applyAlignment="1">
      <alignment wrapText="1"/>
    </xf>
    <xf numFmtId="2" fontId="3" fillId="0" borderId="0" xfId="0" applyNumberFormat="1" applyFont="1" applyAlignment="1">
      <alignment wrapText="1"/>
    </xf>
    <xf numFmtId="0" fontId="4" fillId="0" borderId="0" xfId="0" applyFont="1"/>
    <xf numFmtId="9" fontId="3" fillId="0" borderId="0" xfId="1" applyFont="1"/>
    <xf numFmtId="9" fontId="3" fillId="0" borderId="0" xfId="0" applyNumberFormat="1" applyFont="1"/>
    <xf numFmtId="9" fontId="4" fillId="0" borderId="0" xfId="1" applyFont="1"/>
    <xf numFmtId="9" fontId="4" fillId="0" borderId="0" xfId="0" applyNumberFormat="1" applyFont="1"/>
    <xf numFmtId="2" fontId="4" fillId="0" borderId="0" xfId="0" applyNumberFormat="1" applyFont="1"/>
    <xf numFmtId="0" fontId="5" fillId="2" borderId="0" xfId="0" applyFont="1" applyFill="1"/>
    <xf numFmtId="0" fontId="6" fillId="0" borderId="0" xfId="0" applyFont="1"/>
    <xf numFmtId="0" fontId="6" fillId="2" borderId="0" xfId="0" applyFont="1" applyFill="1"/>
    <xf numFmtId="0" fontId="3" fillId="0" borderId="0" xfId="0" applyFont="1" applyFill="1"/>
    <xf numFmtId="0" fontId="2" fillId="0" borderId="0" xfId="0" applyFont="1" applyFill="1"/>
    <xf numFmtId="9" fontId="3" fillId="0" borderId="0" xfId="1" applyFont="1" applyFill="1"/>
    <xf numFmtId="9" fontId="3" fillId="0" borderId="0" xfId="0" applyNumberFormat="1" applyFont="1" applyFill="1"/>
    <xf numFmtId="2" fontId="3" fillId="0" borderId="0" xfId="0" applyNumberFormat="1" applyFont="1" applyFill="1"/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A685DA-182A-44C2-926E-43EF27AAE033}">
  <sheetPr filterMode="1"/>
  <dimension ref="A1:Z223"/>
  <sheetViews>
    <sheetView tabSelected="1" topLeftCell="A75" workbookViewId="0">
      <pane xSplit="1" topLeftCell="V1" activePane="topRight" state="frozen"/>
      <selection pane="topRight" activeCell="A89" sqref="A89:XFD89"/>
    </sheetView>
  </sheetViews>
  <sheetFormatPr baseColWidth="10" defaultColWidth="10.83203125" defaultRowHeight="15"/>
  <cols>
    <col min="1" max="1" width="36.1640625" style="7" customWidth="1"/>
    <col min="2" max="19" width="0" hidden="1" customWidth="1"/>
    <col min="20" max="21" width="0" style="7" hidden="1" customWidth="1"/>
    <col min="22" max="24" width="15.83203125" style="7" customWidth="1"/>
    <col min="25" max="25" width="15.83203125" style="8" customWidth="1"/>
    <col min="26" max="26" width="15.83203125" style="7" customWidth="1"/>
    <col min="27" max="16384" width="10.83203125" style="7"/>
  </cols>
  <sheetData>
    <row r="1" spans="1:26">
      <c r="A1" s="9"/>
      <c r="B1" s="1"/>
      <c r="C1" s="1"/>
      <c r="D1" s="1"/>
      <c r="G1" s="1"/>
      <c r="H1" s="4"/>
      <c r="I1" s="1"/>
      <c r="V1" s="7" t="s">
        <v>235</v>
      </c>
    </row>
    <row r="2" spans="1:26" ht="11"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V2" s="7" t="s">
        <v>227</v>
      </c>
    </row>
    <row r="3" spans="1:26" ht="11"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V3" s="7" t="s">
        <v>234</v>
      </c>
    </row>
    <row r="4" spans="1:26" ht="11"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V4" s="7" t="s">
        <v>232</v>
      </c>
    </row>
    <row r="5" spans="1:26" ht="11"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V5" s="7" t="s">
        <v>233</v>
      </c>
    </row>
    <row r="6" spans="1:26" ht="11"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V6" s="7" t="s">
        <v>228</v>
      </c>
    </row>
    <row r="7" spans="1:26" ht="11">
      <c r="B7" s="6" t="s">
        <v>0</v>
      </c>
      <c r="C7" s="6"/>
      <c r="D7" s="6"/>
      <c r="E7" s="6"/>
      <c r="F7" s="6" t="s">
        <v>1</v>
      </c>
      <c r="G7" s="6"/>
      <c r="H7" s="6"/>
      <c r="I7" s="6"/>
      <c r="J7" s="6" t="s">
        <v>2</v>
      </c>
      <c r="K7" s="6"/>
      <c r="L7" s="6"/>
      <c r="M7" s="6"/>
      <c r="N7" s="6" t="s">
        <v>3</v>
      </c>
      <c r="O7" s="6"/>
      <c r="P7" s="6"/>
      <c r="Q7" s="6"/>
      <c r="R7" s="6" t="s">
        <v>4</v>
      </c>
      <c r="S7" s="6"/>
    </row>
    <row r="8" spans="1:26" s="9" customFormat="1" ht="38" customHeight="1">
      <c r="A8" s="9" t="s">
        <v>219</v>
      </c>
      <c r="B8" s="5" t="s">
        <v>220</v>
      </c>
      <c r="C8" s="5" t="s">
        <v>221</v>
      </c>
      <c r="D8" s="5" t="s">
        <v>222</v>
      </c>
      <c r="E8" s="5" t="s">
        <v>223</v>
      </c>
      <c r="F8" s="5" t="s">
        <v>220</v>
      </c>
      <c r="G8" s="5" t="s">
        <v>221</v>
      </c>
      <c r="H8" s="5" t="s">
        <v>222</v>
      </c>
      <c r="I8" s="5" t="s">
        <v>223</v>
      </c>
      <c r="J8" s="5" t="s">
        <v>220</v>
      </c>
      <c r="K8" s="5" t="s">
        <v>221</v>
      </c>
      <c r="L8" s="5" t="s">
        <v>222</v>
      </c>
      <c r="M8" s="5" t="s">
        <v>223</v>
      </c>
      <c r="N8" s="5" t="s">
        <v>220</v>
      </c>
      <c r="O8" s="5" t="s">
        <v>221</v>
      </c>
      <c r="P8" s="5" t="s">
        <v>222</v>
      </c>
      <c r="Q8" s="5" t="s">
        <v>223</v>
      </c>
      <c r="R8" s="5" t="s">
        <v>220</v>
      </c>
      <c r="S8" s="5" t="s">
        <v>221</v>
      </c>
      <c r="T8" s="9" t="s">
        <v>222</v>
      </c>
      <c r="U8" s="9" t="s">
        <v>223</v>
      </c>
      <c r="V8" s="7" t="s">
        <v>226</v>
      </c>
      <c r="W8" s="7" t="s">
        <v>229</v>
      </c>
      <c r="X8" s="9" t="s">
        <v>230</v>
      </c>
      <c r="Y8" s="10" t="s">
        <v>231</v>
      </c>
      <c r="Z8" s="9" t="s">
        <v>225</v>
      </c>
    </row>
    <row r="9" spans="1:26" ht="11">
      <c r="A9" s="7" t="s">
        <v>189</v>
      </c>
      <c r="B9" s="6">
        <v>151</v>
      </c>
      <c r="C9" s="6">
        <v>53</v>
      </c>
      <c r="D9" s="6">
        <v>100</v>
      </c>
      <c r="E9" s="6">
        <v>40</v>
      </c>
      <c r="F9" s="6">
        <v>307</v>
      </c>
      <c r="G9" s="6">
        <v>64</v>
      </c>
      <c r="H9" s="6">
        <v>210</v>
      </c>
      <c r="I9" s="6">
        <v>36</v>
      </c>
      <c r="J9" s="6">
        <v>521</v>
      </c>
      <c r="K9" s="6">
        <v>60</v>
      </c>
      <c r="L9" s="6">
        <v>396</v>
      </c>
      <c r="M9" s="6">
        <v>49</v>
      </c>
      <c r="N9" s="6">
        <v>505</v>
      </c>
      <c r="O9" s="6">
        <v>65</v>
      </c>
      <c r="P9" s="6">
        <v>384</v>
      </c>
      <c r="Q9" s="6">
        <v>48</v>
      </c>
      <c r="R9" s="6">
        <v>466</v>
      </c>
      <c r="S9" s="6">
        <v>80</v>
      </c>
      <c r="T9" s="7">
        <v>370</v>
      </c>
      <c r="U9" s="7">
        <v>68</v>
      </c>
      <c r="V9" s="12">
        <f>U9/T9</f>
        <v>0.18378378378378379</v>
      </c>
      <c r="W9" s="12">
        <f>S9/R9</f>
        <v>0.17167381974248927</v>
      </c>
      <c r="X9" s="13">
        <f>V9-W9</f>
        <v>1.2109964041294524E-2</v>
      </c>
      <c r="Y9" s="8">
        <f>T9*X9</f>
        <v>4.4806866952789743</v>
      </c>
      <c r="Z9" s="12">
        <f>U9/S9</f>
        <v>0.85</v>
      </c>
    </row>
    <row r="10" spans="1:26" ht="11">
      <c r="A10" s="7" t="s">
        <v>193</v>
      </c>
      <c r="B10" s="6">
        <v>996</v>
      </c>
      <c r="C10" s="6">
        <v>86</v>
      </c>
      <c r="D10" s="6">
        <v>648</v>
      </c>
      <c r="E10" s="6">
        <v>61</v>
      </c>
      <c r="F10" s="6">
        <v>851</v>
      </c>
      <c r="G10" s="6">
        <v>82</v>
      </c>
      <c r="H10" s="6">
        <v>571</v>
      </c>
      <c r="I10" s="6">
        <v>62</v>
      </c>
      <c r="J10" s="6">
        <v>894</v>
      </c>
      <c r="K10" s="6">
        <v>85</v>
      </c>
      <c r="L10" s="6">
        <v>575</v>
      </c>
      <c r="M10" s="6">
        <v>56</v>
      </c>
      <c r="N10" s="6">
        <v>841</v>
      </c>
      <c r="O10" s="6">
        <v>102</v>
      </c>
      <c r="P10" s="6">
        <v>620</v>
      </c>
      <c r="Q10" s="6">
        <v>77</v>
      </c>
      <c r="R10" s="6">
        <v>817</v>
      </c>
      <c r="S10" s="6">
        <v>136</v>
      </c>
      <c r="T10" s="7">
        <v>620</v>
      </c>
      <c r="U10" s="7">
        <v>110</v>
      </c>
      <c r="V10" s="12">
        <f>U10/T10</f>
        <v>0.17741935483870969</v>
      </c>
      <c r="W10" s="12">
        <f>S10/R10</f>
        <v>0.16646266829865361</v>
      </c>
      <c r="X10" s="13">
        <f>V10-W10</f>
        <v>1.0956686540056076E-2</v>
      </c>
      <c r="Y10" s="8">
        <f>T10*X10</f>
        <v>6.7931456548347677</v>
      </c>
      <c r="Z10" s="12">
        <f>U10/S10</f>
        <v>0.80882352941176472</v>
      </c>
    </row>
    <row r="11" spans="1:26" ht="11">
      <c r="A11" s="7" t="s">
        <v>208</v>
      </c>
      <c r="B11" s="6">
        <v>23</v>
      </c>
      <c r="C11" s="6">
        <v>22</v>
      </c>
      <c r="D11" s="6">
        <v>13</v>
      </c>
      <c r="E11" s="6">
        <v>12</v>
      </c>
      <c r="F11" s="6">
        <v>33</v>
      </c>
      <c r="G11" s="6">
        <v>9</v>
      </c>
      <c r="H11" s="6">
        <v>12</v>
      </c>
      <c r="I11" s="6">
        <v>3</v>
      </c>
      <c r="J11" s="6">
        <v>53</v>
      </c>
      <c r="K11" s="6">
        <v>10</v>
      </c>
      <c r="L11" s="6">
        <v>19</v>
      </c>
      <c r="M11" s="6">
        <v>4</v>
      </c>
      <c r="N11" s="6">
        <v>54</v>
      </c>
      <c r="O11" s="6">
        <v>15</v>
      </c>
      <c r="P11" s="6">
        <v>16</v>
      </c>
      <c r="Q11" s="6">
        <v>3</v>
      </c>
      <c r="R11" s="6">
        <v>72</v>
      </c>
      <c r="S11" s="6">
        <v>12</v>
      </c>
      <c r="T11" s="7">
        <v>36</v>
      </c>
      <c r="U11" s="7">
        <v>9</v>
      </c>
      <c r="V11" s="12">
        <f>U11/T11</f>
        <v>0.25</v>
      </c>
      <c r="W11" s="12">
        <f>S11/R11</f>
        <v>0.16666666666666666</v>
      </c>
      <c r="X11" s="13">
        <f>V11-W11</f>
        <v>8.3333333333333343E-2</v>
      </c>
      <c r="Y11" s="8">
        <f>T11*X11</f>
        <v>3.0000000000000004</v>
      </c>
      <c r="Z11" s="12">
        <f>U11/S11</f>
        <v>0.75</v>
      </c>
    </row>
    <row r="12" spans="1:26" ht="11">
      <c r="A12" s="7" t="s">
        <v>82</v>
      </c>
      <c r="B12" s="6">
        <v>217</v>
      </c>
      <c r="C12" s="6">
        <v>70</v>
      </c>
      <c r="D12" s="6">
        <v>75</v>
      </c>
      <c r="E12" s="6">
        <v>20</v>
      </c>
      <c r="F12" s="6">
        <v>177</v>
      </c>
      <c r="G12" s="6">
        <v>75</v>
      </c>
      <c r="H12" s="6">
        <v>55</v>
      </c>
      <c r="I12" s="6">
        <v>23</v>
      </c>
      <c r="J12" s="6">
        <v>206</v>
      </c>
      <c r="K12" s="6">
        <v>78</v>
      </c>
      <c r="L12" s="6">
        <v>91</v>
      </c>
      <c r="M12" s="6">
        <v>30</v>
      </c>
      <c r="N12" s="6">
        <v>244</v>
      </c>
      <c r="O12" s="6">
        <v>95</v>
      </c>
      <c r="P12" s="6">
        <v>116</v>
      </c>
      <c r="Q12" s="6">
        <v>44</v>
      </c>
      <c r="R12" s="6">
        <v>265</v>
      </c>
      <c r="S12" s="6">
        <v>105</v>
      </c>
      <c r="T12" s="7">
        <v>168</v>
      </c>
      <c r="U12" s="7">
        <v>72</v>
      </c>
      <c r="V12" s="12">
        <f>U12/T12</f>
        <v>0.42857142857142855</v>
      </c>
      <c r="W12" s="12">
        <f>S12/R12</f>
        <v>0.39622641509433965</v>
      </c>
      <c r="X12" s="13">
        <f>V12-W12</f>
        <v>3.2345013477088902E-2</v>
      </c>
      <c r="Y12" s="8">
        <f>T12*X12</f>
        <v>5.4339622641509351</v>
      </c>
      <c r="Z12" s="12">
        <f>U12/S12</f>
        <v>0.68571428571428572</v>
      </c>
    </row>
    <row r="13" spans="1:26" ht="11">
      <c r="A13" s="7" t="s">
        <v>76</v>
      </c>
      <c r="B13" s="6">
        <v>133</v>
      </c>
      <c r="C13" s="6">
        <v>53</v>
      </c>
      <c r="D13" s="6">
        <v>86</v>
      </c>
      <c r="E13" s="6">
        <v>25</v>
      </c>
      <c r="F13" s="6">
        <v>158</v>
      </c>
      <c r="G13" s="6">
        <v>55</v>
      </c>
      <c r="H13" s="6">
        <v>112</v>
      </c>
      <c r="I13" s="6">
        <v>29</v>
      </c>
      <c r="J13" s="6">
        <v>189</v>
      </c>
      <c r="K13" s="6">
        <v>46</v>
      </c>
      <c r="L13" s="6">
        <v>138</v>
      </c>
      <c r="M13" s="6">
        <v>30</v>
      </c>
      <c r="N13" s="6">
        <v>140</v>
      </c>
      <c r="O13" s="6">
        <v>67</v>
      </c>
      <c r="P13" s="6">
        <v>108</v>
      </c>
      <c r="Q13" s="6">
        <v>45</v>
      </c>
      <c r="R13" s="6">
        <v>204</v>
      </c>
      <c r="S13" s="6">
        <v>87</v>
      </c>
      <c r="T13" s="7">
        <v>160</v>
      </c>
      <c r="U13" s="7">
        <v>58</v>
      </c>
      <c r="V13" s="12">
        <f>U13/T13</f>
        <v>0.36249999999999999</v>
      </c>
      <c r="W13" s="12">
        <f>S13/R13</f>
        <v>0.4264705882352941</v>
      </c>
      <c r="X13" s="13">
        <f>V13-W13</f>
        <v>-6.3970588235294112E-2</v>
      </c>
      <c r="Y13" s="8">
        <f>T13*X13</f>
        <v>-10.235294117647058</v>
      </c>
      <c r="Z13" s="12">
        <f>U13/S13</f>
        <v>0.66666666666666663</v>
      </c>
    </row>
    <row r="14" spans="1:26" ht="11">
      <c r="A14" s="7" t="s">
        <v>207</v>
      </c>
      <c r="B14" s="6">
        <v>13</v>
      </c>
      <c r="C14" s="6">
        <v>13</v>
      </c>
      <c r="D14" s="6">
        <v>13</v>
      </c>
      <c r="E14" s="6">
        <v>13</v>
      </c>
      <c r="F14" s="6">
        <v>33</v>
      </c>
      <c r="G14" s="6">
        <v>8</v>
      </c>
      <c r="H14" s="6">
        <v>22</v>
      </c>
      <c r="I14" s="6">
        <v>5</v>
      </c>
      <c r="J14" s="6">
        <v>53</v>
      </c>
      <c r="K14" s="6">
        <v>13</v>
      </c>
      <c r="L14" s="6">
        <v>36</v>
      </c>
      <c r="M14" s="6">
        <v>9</v>
      </c>
      <c r="N14" s="6">
        <v>36</v>
      </c>
      <c r="O14" s="6">
        <v>4</v>
      </c>
      <c r="P14" s="6">
        <v>20</v>
      </c>
      <c r="Q14" s="6">
        <v>3</v>
      </c>
      <c r="R14" s="6">
        <v>38</v>
      </c>
      <c r="S14" s="6">
        <v>9</v>
      </c>
      <c r="T14" s="7">
        <v>22</v>
      </c>
      <c r="U14" s="7">
        <v>6</v>
      </c>
      <c r="V14" s="12">
        <f>U14/T14</f>
        <v>0.27272727272727271</v>
      </c>
      <c r="W14" s="12">
        <f>S14/R14</f>
        <v>0.23684210526315788</v>
      </c>
      <c r="X14" s="13">
        <f>V14-W14</f>
        <v>3.5885167464114825E-2</v>
      </c>
      <c r="Y14" s="8">
        <f>T14*X14</f>
        <v>0.78947368421052611</v>
      </c>
      <c r="Z14" s="12">
        <f>U14/S14</f>
        <v>0.66666666666666663</v>
      </c>
    </row>
    <row r="15" spans="1:26" ht="11">
      <c r="A15" s="7" t="s">
        <v>172</v>
      </c>
      <c r="B15" s="6">
        <v>0</v>
      </c>
      <c r="C15" s="6">
        <v>0</v>
      </c>
      <c r="D15" s="6">
        <v>0</v>
      </c>
      <c r="E15" s="6">
        <v>0</v>
      </c>
      <c r="F15" s="6">
        <v>354</v>
      </c>
      <c r="G15" s="6">
        <v>97</v>
      </c>
      <c r="H15" s="6">
        <v>229</v>
      </c>
      <c r="I15" s="6">
        <v>44</v>
      </c>
      <c r="J15" s="6">
        <v>351</v>
      </c>
      <c r="K15" s="6">
        <v>69</v>
      </c>
      <c r="L15" s="6">
        <v>205</v>
      </c>
      <c r="M15" s="6">
        <v>24</v>
      </c>
      <c r="N15" s="6">
        <v>427</v>
      </c>
      <c r="O15" s="6">
        <v>83</v>
      </c>
      <c r="P15" s="6">
        <v>274</v>
      </c>
      <c r="Q15" s="6">
        <v>36</v>
      </c>
      <c r="R15" s="6">
        <v>452</v>
      </c>
      <c r="S15" s="6">
        <v>101</v>
      </c>
      <c r="T15" s="7">
        <v>318</v>
      </c>
      <c r="U15" s="7">
        <v>65</v>
      </c>
      <c r="V15" s="12">
        <f>U15/T15</f>
        <v>0.20440251572327045</v>
      </c>
      <c r="W15" s="12">
        <f>S15/R15</f>
        <v>0.22345132743362831</v>
      </c>
      <c r="X15" s="13">
        <f>V15-W15</f>
        <v>-1.9048811710357855E-2</v>
      </c>
      <c r="Y15" s="8">
        <f>T15*X15</f>
        <v>-6.057522123893798</v>
      </c>
      <c r="Z15" s="12">
        <f>U15/S15</f>
        <v>0.64356435643564358</v>
      </c>
    </row>
    <row r="16" spans="1:26" ht="11">
      <c r="A16" s="7" t="s">
        <v>127</v>
      </c>
      <c r="B16" s="6">
        <v>224</v>
      </c>
      <c r="C16" s="6">
        <v>112</v>
      </c>
      <c r="D16" s="6">
        <v>107</v>
      </c>
      <c r="E16" s="6">
        <v>37</v>
      </c>
      <c r="F16" s="6">
        <v>269</v>
      </c>
      <c r="G16" s="6">
        <v>107</v>
      </c>
      <c r="H16" s="6">
        <v>132</v>
      </c>
      <c r="I16" s="6">
        <v>41</v>
      </c>
      <c r="J16" s="6">
        <v>270</v>
      </c>
      <c r="K16" s="6">
        <v>91</v>
      </c>
      <c r="L16" s="6">
        <v>155</v>
      </c>
      <c r="M16" s="6">
        <v>30</v>
      </c>
      <c r="N16" s="6">
        <v>312</v>
      </c>
      <c r="O16" s="6">
        <v>118</v>
      </c>
      <c r="P16" s="6">
        <v>187</v>
      </c>
      <c r="Q16" s="6">
        <v>50</v>
      </c>
      <c r="R16" s="6">
        <v>334</v>
      </c>
      <c r="S16" s="6">
        <v>155</v>
      </c>
      <c r="T16" s="7">
        <v>206</v>
      </c>
      <c r="U16" s="7">
        <v>90</v>
      </c>
      <c r="V16" s="12">
        <f>U16/T16</f>
        <v>0.43689320388349512</v>
      </c>
      <c r="W16" s="12">
        <f>S16/R16</f>
        <v>0.46407185628742514</v>
      </c>
      <c r="X16" s="13">
        <f>V16-W16</f>
        <v>-2.7178652403930026E-2</v>
      </c>
      <c r="Y16" s="8">
        <f>T16*X16</f>
        <v>-5.5988023952095851</v>
      </c>
      <c r="Z16" s="12">
        <f>U16/S16</f>
        <v>0.58064516129032262</v>
      </c>
    </row>
    <row r="17" spans="1:26" ht="11">
      <c r="A17" s="7" t="s">
        <v>206</v>
      </c>
      <c r="B17" s="6">
        <v>356</v>
      </c>
      <c r="C17" s="6">
        <v>31</v>
      </c>
      <c r="D17" s="6">
        <v>271</v>
      </c>
      <c r="E17" s="6">
        <v>24</v>
      </c>
      <c r="F17" s="6">
        <v>389</v>
      </c>
      <c r="G17" s="6">
        <v>44</v>
      </c>
      <c r="H17" s="6">
        <v>293</v>
      </c>
      <c r="I17" s="6">
        <v>32</v>
      </c>
      <c r="J17" s="6">
        <v>303</v>
      </c>
      <c r="K17" s="6">
        <v>31</v>
      </c>
      <c r="L17" s="6">
        <v>229</v>
      </c>
      <c r="M17" s="6">
        <v>23</v>
      </c>
      <c r="N17" s="6">
        <v>270</v>
      </c>
      <c r="O17" s="6">
        <v>29</v>
      </c>
      <c r="P17" s="6">
        <v>208</v>
      </c>
      <c r="Q17" s="6">
        <v>26</v>
      </c>
      <c r="R17" s="6">
        <v>266</v>
      </c>
      <c r="S17" s="6">
        <v>46</v>
      </c>
      <c r="T17" s="7">
        <v>197</v>
      </c>
      <c r="U17" s="7">
        <v>26</v>
      </c>
      <c r="V17" s="12">
        <f>U17/T17</f>
        <v>0.13197969543147209</v>
      </c>
      <c r="W17" s="12">
        <f>S17/R17</f>
        <v>0.17293233082706766</v>
      </c>
      <c r="X17" s="13">
        <f>V17-W17</f>
        <v>-4.0952635395595571E-2</v>
      </c>
      <c r="Y17" s="8">
        <f>T17*X17</f>
        <v>-8.0676691729323267</v>
      </c>
      <c r="Z17" s="12">
        <f>U17/S17</f>
        <v>0.56521739130434778</v>
      </c>
    </row>
    <row r="18" spans="1:26" ht="11">
      <c r="A18" s="7" t="s">
        <v>91</v>
      </c>
      <c r="B18" s="6">
        <v>0</v>
      </c>
      <c r="C18" s="6">
        <v>0</v>
      </c>
      <c r="D18" s="6">
        <v>0</v>
      </c>
      <c r="E18" s="6">
        <v>0</v>
      </c>
      <c r="F18" s="6">
        <v>372</v>
      </c>
      <c r="G18" s="6">
        <v>44</v>
      </c>
      <c r="H18" s="6">
        <v>201</v>
      </c>
      <c r="I18" s="6">
        <v>22</v>
      </c>
      <c r="J18" s="6">
        <v>638</v>
      </c>
      <c r="K18" s="6">
        <v>43</v>
      </c>
      <c r="L18" s="6">
        <v>302</v>
      </c>
      <c r="M18" s="6">
        <v>22</v>
      </c>
      <c r="N18" s="6">
        <v>775</v>
      </c>
      <c r="O18" s="6">
        <v>70</v>
      </c>
      <c r="P18" s="6">
        <v>357</v>
      </c>
      <c r="Q18" s="6">
        <v>26</v>
      </c>
      <c r="R18" s="6">
        <v>824</v>
      </c>
      <c r="S18" s="6">
        <v>84</v>
      </c>
      <c r="T18" s="7">
        <v>328</v>
      </c>
      <c r="U18" s="7">
        <v>45</v>
      </c>
      <c r="V18" s="12">
        <f>U18/T18</f>
        <v>0.13719512195121952</v>
      </c>
      <c r="W18" s="12">
        <f>S18/R18</f>
        <v>0.10194174757281553</v>
      </c>
      <c r="X18" s="13">
        <f>V18-W18</f>
        <v>3.5253374378403993E-2</v>
      </c>
      <c r="Y18" s="8">
        <f>T18*X18</f>
        <v>11.563106796116509</v>
      </c>
      <c r="Z18" s="12">
        <f>U18/S18</f>
        <v>0.5357142857142857</v>
      </c>
    </row>
    <row r="19" spans="1:26" ht="11">
      <c r="A19" s="7" t="s">
        <v>77</v>
      </c>
      <c r="B19" s="6">
        <v>1148</v>
      </c>
      <c r="C19" s="6">
        <v>242</v>
      </c>
      <c r="D19" s="6">
        <v>683</v>
      </c>
      <c r="E19" s="6">
        <v>44</v>
      </c>
      <c r="F19" s="6">
        <v>1160</v>
      </c>
      <c r="G19" s="6">
        <v>240</v>
      </c>
      <c r="H19" s="6">
        <v>620</v>
      </c>
      <c r="I19" s="6">
        <v>42</v>
      </c>
      <c r="J19" s="6">
        <v>1056</v>
      </c>
      <c r="K19" s="6">
        <v>237</v>
      </c>
      <c r="L19" s="6">
        <v>638</v>
      </c>
      <c r="M19" s="6">
        <v>69</v>
      </c>
      <c r="N19" s="6">
        <v>1016</v>
      </c>
      <c r="O19" s="6">
        <v>235</v>
      </c>
      <c r="P19" s="6">
        <v>635</v>
      </c>
      <c r="Q19" s="6">
        <v>86</v>
      </c>
      <c r="R19" s="6">
        <v>996</v>
      </c>
      <c r="S19" s="6">
        <v>314</v>
      </c>
      <c r="T19" s="7">
        <v>631</v>
      </c>
      <c r="U19" s="7">
        <v>162</v>
      </c>
      <c r="V19" s="12">
        <f>U19/T19</f>
        <v>0.25673534072900156</v>
      </c>
      <c r="W19" s="12">
        <f>S19/R19</f>
        <v>0.31526104417670681</v>
      </c>
      <c r="X19" s="13">
        <f>V19-W19</f>
        <v>-5.8525703447705246E-2</v>
      </c>
      <c r="Y19" s="8">
        <f>T19*X19</f>
        <v>-36.929718875502012</v>
      </c>
      <c r="Z19" s="12">
        <f>U19/S19</f>
        <v>0.51592356687898089</v>
      </c>
    </row>
    <row r="20" spans="1:26" ht="11">
      <c r="A20" s="7" t="s">
        <v>205</v>
      </c>
      <c r="B20" s="6">
        <v>231</v>
      </c>
      <c r="C20" s="6">
        <v>32</v>
      </c>
      <c r="D20" s="6">
        <v>125</v>
      </c>
      <c r="E20" s="6">
        <v>14</v>
      </c>
      <c r="F20" s="6">
        <v>255</v>
      </c>
      <c r="G20" s="6">
        <v>38</v>
      </c>
      <c r="H20" s="6">
        <v>152</v>
      </c>
      <c r="I20" s="6">
        <v>17</v>
      </c>
      <c r="J20" s="6">
        <v>231</v>
      </c>
      <c r="K20" s="6">
        <v>29</v>
      </c>
      <c r="L20" s="6">
        <v>132</v>
      </c>
      <c r="M20" s="6">
        <v>12</v>
      </c>
      <c r="N20" s="6">
        <v>266</v>
      </c>
      <c r="O20" s="6">
        <v>37</v>
      </c>
      <c r="P20" s="6">
        <v>156</v>
      </c>
      <c r="Q20" s="6">
        <v>18</v>
      </c>
      <c r="R20" s="6">
        <v>325</v>
      </c>
      <c r="S20" s="6">
        <v>47</v>
      </c>
      <c r="T20" s="7">
        <v>192</v>
      </c>
      <c r="U20" s="7">
        <v>24</v>
      </c>
      <c r="V20" s="12">
        <f>U20/T20</f>
        <v>0.125</v>
      </c>
      <c r="W20" s="12">
        <f>S20/R20</f>
        <v>0.14461538461538462</v>
      </c>
      <c r="X20" s="13">
        <f>V20-W20</f>
        <v>-1.9615384615384618E-2</v>
      </c>
      <c r="Y20" s="8">
        <f>T20*X20</f>
        <v>-3.7661538461538466</v>
      </c>
      <c r="Z20" s="12">
        <f>U20/S20</f>
        <v>0.51063829787234039</v>
      </c>
    </row>
    <row r="21" spans="1:26" ht="11">
      <c r="A21" s="7" t="s">
        <v>217</v>
      </c>
      <c r="B21" s="6">
        <v>15</v>
      </c>
      <c r="C21" s="6">
        <v>4</v>
      </c>
      <c r="D21" s="6">
        <v>5</v>
      </c>
      <c r="E21" s="6">
        <v>2</v>
      </c>
      <c r="F21" s="6">
        <v>21</v>
      </c>
      <c r="G21" s="6">
        <v>2</v>
      </c>
      <c r="H21" s="6">
        <v>8</v>
      </c>
      <c r="I21" s="6">
        <v>0</v>
      </c>
      <c r="J21" s="6">
        <v>28</v>
      </c>
      <c r="K21" s="6">
        <v>4</v>
      </c>
      <c r="L21" s="6">
        <v>9</v>
      </c>
      <c r="M21" s="6">
        <v>2</v>
      </c>
      <c r="N21" s="6">
        <v>20</v>
      </c>
      <c r="O21" s="6">
        <v>5</v>
      </c>
      <c r="P21" s="6">
        <v>9</v>
      </c>
      <c r="Q21" s="6">
        <v>0</v>
      </c>
      <c r="R21" s="6">
        <v>12</v>
      </c>
      <c r="S21" s="6">
        <v>4</v>
      </c>
      <c r="T21" s="7">
        <v>6</v>
      </c>
      <c r="U21" s="7">
        <v>2</v>
      </c>
      <c r="V21" s="12">
        <f>U21/T21</f>
        <v>0.33333333333333331</v>
      </c>
      <c r="W21" s="12">
        <f>S21/R21</f>
        <v>0.33333333333333331</v>
      </c>
      <c r="X21" s="13">
        <f>V21-W21</f>
        <v>0</v>
      </c>
      <c r="Y21" s="8">
        <f>T21*X21</f>
        <v>0</v>
      </c>
      <c r="Z21" s="12">
        <f>U21/S21</f>
        <v>0.5</v>
      </c>
    </row>
    <row r="22" spans="1:26" ht="11">
      <c r="A22" s="7" t="s">
        <v>78</v>
      </c>
      <c r="B22" s="6">
        <v>693</v>
      </c>
      <c r="C22" s="6">
        <v>76</v>
      </c>
      <c r="D22" s="6">
        <v>527</v>
      </c>
      <c r="E22" s="6">
        <v>24</v>
      </c>
      <c r="F22" s="6">
        <v>778</v>
      </c>
      <c r="G22" s="6">
        <v>69</v>
      </c>
      <c r="H22" s="6">
        <v>583</v>
      </c>
      <c r="I22" s="6">
        <v>27</v>
      </c>
      <c r="J22" s="6">
        <v>693</v>
      </c>
      <c r="K22" s="6">
        <v>72</v>
      </c>
      <c r="L22" s="6">
        <v>534</v>
      </c>
      <c r="M22" s="6">
        <v>21</v>
      </c>
      <c r="N22" s="6">
        <v>602</v>
      </c>
      <c r="O22" s="6">
        <v>73</v>
      </c>
      <c r="P22" s="6">
        <v>479</v>
      </c>
      <c r="Q22" s="6">
        <v>33</v>
      </c>
      <c r="R22" s="6">
        <v>615</v>
      </c>
      <c r="S22" s="6">
        <v>100</v>
      </c>
      <c r="T22" s="7">
        <v>519</v>
      </c>
      <c r="U22" s="7">
        <v>50</v>
      </c>
      <c r="V22" s="12">
        <f>U22/T22</f>
        <v>9.6339113680154145E-2</v>
      </c>
      <c r="W22" s="12">
        <f>S22/R22</f>
        <v>0.16260162601626016</v>
      </c>
      <c r="X22" s="13">
        <f>V22-W22</f>
        <v>-6.6262512336106014E-2</v>
      </c>
      <c r="Y22" s="8">
        <f>T22*X22</f>
        <v>-34.390243902439018</v>
      </c>
      <c r="Z22" s="12">
        <f>U22/S22</f>
        <v>0.5</v>
      </c>
    </row>
    <row r="23" spans="1:26" ht="11">
      <c r="A23" s="7" t="s">
        <v>209</v>
      </c>
      <c r="B23" s="6">
        <v>0</v>
      </c>
      <c r="C23" s="6">
        <v>0</v>
      </c>
      <c r="D23" s="6">
        <v>0</v>
      </c>
      <c r="E23" s="6">
        <v>0</v>
      </c>
      <c r="F23" s="6">
        <v>66</v>
      </c>
      <c r="G23" s="6">
        <v>6</v>
      </c>
      <c r="H23" s="6">
        <v>30</v>
      </c>
      <c r="I23" s="6">
        <v>2</v>
      </c>
      <c r="J23" s="6">
        <v>57</v>
      </c>
      <c r="K23" s="6">
        <v>5</v>
      </c>
      <c r="L23" s="6">
        <v>26</v>
      </c>
      <c r="M23" s="6">
        <v>2</v>
      </c>
      <c r="N23" s="6">
        <v>45</v>
      </c>
      <c r="O23" s="6">
        <v>5</v>
      </c>
      <c r="P23" s="6">
        <v>31</v>
      </c>
      <c r="Q23" s="6">
        <v>2</v>
      </c>
      <c r="R23" s="6">
        <v>44</v>
      </c>
      <c r="S23" s="6">
        <v>4</v>
      </c>
      <c r="T23" s="7">
        <v>28</v>
      </c>
      <c r="U23" s="7">
        <v>2</v>
      </c>
      <c r="V23" s="12">
        <f>U23/T23</f>
        <v>7.1428571428571425E-2</v>
      </c>
      <c r="W23" s="12">
        <f>S23/R23</f>
        <v>9.0909090909090912E-2</v>
      </c>
      <c r="X23" s="13">
        <f>V23-W23</f>
        <v>-1.9480519480519487E-2</v>
      </c>
      <c r="Y23" s="8">
        <f>T23*X23</f>
        <v>-0.54545454545454564</v>
      </c>
      <c r="Z23" s="12">
        <f>U23/S23</f>
        <v>0.5</v>
      </c>
    </row>
    <row r="24" spans="1:26" ht="11">
      <c r="A24" s="7" t="s">
        <v>142</v>
      </c>
      <c r="B24" s="6">
        <v>0</v>
      </c>
      <c r="C24" s="6">
        <v>0</v>
      </c>
      <c r="D24" s="6">
        <v>0</v>
      </c>
      <c r="E24" s="6">
        <v>0</v>
      </c>
      <c r="F24" s="6">
        <v>0</v>
      </c>
      <c r="G24" s="6">
        <v>0</v>
      </c>
      <c r="H24" s="6">
        <v>0</v>
      </c>
      <c r="I24" s="6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67</v>
      </c>
      <c r="S24" s="6">
        <v>29</v>
      </c>
      <c r="T24" s="7">
        <v>37</v>
      </c>
      <c r="U24" s="7">
        <v>14</v>
      </c>
      <c r="V24" s="12">
        <f>U24/T24</f>
        <v>0.3783783783783784</v>
      </c>
      <c r="W24" s="12">
        <f>S24/R24</f>
        <v>0.43283582089552236</v>
      </c>
      <c r="X24" s="13">
        <f>V24-W24</f>
        <v>-5.4457442517143961E-2</v>
      </c>
      <c r="Y24" s="8">
        <f>T24*X24</f>
        <v>-2.0149253731343264</v>
      </c>
      <c r="Z24" s="12">
        <f>U24/S24</f>
        <v>0.48275862068965519</v>
      </c>
    </row>
    <row r="25" spans="1:26" ht="11">
      <c r="A25" s="7" t="s">
        <v>95</v>
      </c>
      <c r="B25" s="6">
        <v>224</v>
      </c>
      <c r="C25" s="6">
        <v>87</v>
      </c>
      <c r="D25" s="6">
        <v>111</v>
      </c>
      <c r="E25" s="6">
        <v>37</v>
      </c>
      <c r="F25" s="6">
        <v>348</v>
      </c>
      <c r="G25" s="6">
        <v>100</v>
      </c>
      <c r="H25" s="6">
        <v>220</v>
      </c>
      <c r="I25" s="6">
        <v>31</v>
      </c>
      <c r="J25" s="6">
        <v>364</v>
      </c>
      <c r="K25" s="6">
        <v>94</v>
      </c>
      <c r="L25" s="6">
        <v>240</v>
      </c>
      <c r="M25" s="6">
        <v>33</v>
      </c>
      <c r="N25" s="6">
        <v>326</v>
      </c>
      <c r="O25" s="6">
        <v>97</v>
      </c>
      <c r="P25" s="6">
        <v>196</v>
      </c>
      <c r="Q25" s="6">
        <v>35</v>
      </c>
      <c r="R25" s="6">
        <v>330</v>
      </c>
      <c r="S25" s="6">
        <v>129</v>
      </c>
      <c r="T25" s="7">
        <v>200</v>
      </c>
      <c r="U25" s="7">
        <v>62</v>
      </c>
      <c r="V25" s="12">
        <f>U25/T25</f>
        <v>0.31</v>
      </c>
      <c r="W25" s="12">
        <f>S25/R25</f>
        <v>0.39090909090909093</v>
      </c>
      <c r="X25" s="13">
        <f>V25-W25</f>
        <v>-8.090909090909093E-2</v>
      </c>
      <c r="Y25" s="8">
        <f>T25*X25</f>
        <v>-16.181818181818187</v>
      </c>
      <c r="Z25" s="12">
        <f>U25/S25</f>
        <v>0.48062015503875971</v>
      </c>
    </row>
    <row r="26" spans="1:26" ht="11">
      <c r="A26" s="7" t="s">
        <v>113</v>
      </c>
      <c r="B26" s="6">
        <v>622</v>
      </c>
      <c r="C26" s="6">
        <v>77</v>
      </c>
      <c r="D26" s="6">
        <v>373</v>
      </c>
      <c r="E26" s="6">
        <v>44</v>
      </c>
      <c r="F26" s="6">
        <v>652</v>
      </c>
      <c r="G26" s="6">
        <v>78</v>
      </c>
      <c r="H26" s="6">
        <v>402</v>
      </c>
      <c r="I26" s="6">
        <v>42</v>
      </c>
      <c r="J26" s="6">
        <v>563</v>
      </c>
      <c r="K26" s="6">
        <v>76</v>
      </c>
      <c r="L26" s="6">
        <v>370</v>
      </c>
      <c r="M26" s="6">
        <v>33</v>
      </c>
      <c r="N26" s="6">
        <v>544</v>
      </c>
      <c r="O26" s="6">
        <v>69</v>
      </c>
      <c r="P26" s="6">
        <v>343</v>
      </c>
      <c r="Q26" s="6">
        <v>37</v>
      </c>
      <c r="R26" s="6">
        <v>646</v>
      </c>
      <c r="S26" s="6">
        <v>86</v>
      </c>
      <c r="T26" s="7">
        <v>408</v>
      </c>
      <c r="U26" s="7">
        <v>40</v>
      </c>
      <c r="V26" s="12">
        <f>U26/T26</f>
        <v>9.8039215686274508E-2</v>
      </c>
      <c r="W26" s="12">
        <f>S26/R26</f>
        <v>0.13312693498452013</v>
      </c>
      <c r="X26" s="13">
        <f>V26-W26</f>
        <v>-3.5087719298245626E-2</v>
      </c>
      <c r="Y26" s="8">
        <f>T26*X26</f>
        <v>-14.315789473684216</v>
      </c>
      <c r="Z26" s="12">
        <f>U26/S26</f>
        <v>0.46511627906976744</v>
      </c>
    </row>
    <row r="27" spans="1:26" ht="11">
      <c r="A27" s="7" t="s">
        <v>190</v>
      </c>
      <c r="B27" s="6">
        <v>316</v>
      </c>
      <c r="C27" s="6">
        <v>87</v>
      </c>
      <c r="D27" s="6">
        <v>202</v>
      </c>
      <c r="E27" s="6">
        <v>53</v>
      </c>
      <c r="F27" s="6">
        <v>403</v>
      </c>
      <c r="G27" s="6">
        <v>82</v>
      </c>
      <c r="H27" s="6">
        <v>227</v>
      </c>
      <c r="I27" s="6">
        <v>31</v>
      </c>
      <c r="J27" s="6">
        <v>429</v>
      </c>
      <c r="K27" s="6">
        <v>89</v>
      </c>
      <c r="L27" s="6">
        <v>256</v>
      </c>
      <c r="M27" s="6">
        <v>43</v>
      </c>
      <c r="N27" s="6">
        <v>434</v>
      </c>
      <c r="O27" s="6">
        <v>88</v>
      </c>
      <c r="P27" s="6">
        <v>291</v>
      </c>
      <c r="Q27" s="6">
        <v>41</v>
      </c>
      <c r="R27" s="6">
        <v>494</v>
      </c>
      <c r="S27" s="6">
        <v>117</v>
      </c>
      <c r="T27" s="7">
        <v>325</v>
      </c>
      <c r="U27" s="7">
        <v>54</v>
      </c>
      <c r="V27" s="12">
        <f>U27/T27</f>
        <v>0.16615384615384615</v>
      </c>
      <c r="W27" s="12">
        <f>S27/R27</f>
        <v>0.23684210526315788</v>
      </c>
      <c r="X27" s="13">
        <f>V27-W27</f>
        <v>-7.068825910931173E-2</v>
      </c>
      <c r="Y27" s="8">
        <f>T27*X27</f>
        <v>-22.973684210526311</v>
      </c>
      <c r="Z27" s="12">
        <f>U27/S27</f>
        <v>0.46153846153846156</v>
      </c>
    </row>
    <row r="28" spans="1:26" ht="11">
      <c r="A28" s="7" t="s">
        <v>161</v>
      </c>
      <c r="B28" s="6">
        <v>634</v>
      </c>
      <c r="C28" s="6">
        <v>152</v>
      </c>
      <c r="D28" s="6">
        <v>279</v>
      </c>
      <c r="E28" s="6">
        <v>43</v>
      </c>
      <c r="F28" s="6">
        <v>797</v>
      </c>
      <c r="G28" s="6">
        <v>136</v>
      </c>
      <c r="H28" s="6">
        <v>349</v>
      </c>
      <c r="I28" s="6">
        <v>56</v>
      </c>
      <c r="J28" s="6">
        <v>805</v>
      </c>
      <c r="K28" s="6">
        <v>140</v>
      </c>
      <c r="L28" s="6">
        <v>403</v>
      </c>
      <c r="M28" s="6">
        <v>51</v>
      </c>
      <c r="N28" s="6">
        <v>758</v>
      </c>
      <c r="O28" s="6">
        <v>149</v>
      </c>
      <c r="P28" s="6">
        <v>391</v>
      </c>
      <c r="Q28" s="6">
        <v>55</v>
      </c>
      <c r="R28" s="6">
        <v>880</v>
      </c>
      <c r="S28" s="6">
        <v>157</v>
      </c>
      <c r="T28" s="7">
        <v>438</v>
      </c>
      <c r="U28" s="7">
        <v>71</v>
      </c>
      <c r="V28" s="12">
        <f>U28/T28</f>
        <v>0.16210045662100456</v>
      </c>
      <c r="W28" s="12">
        <f>S28/R28</f>
        <v>0.17840909090909091</v>
      </c>
      <c r="X28" s="13">
        <f>V28-W28</f>
        <v>-1.6308634288086349E-2</v>
      </c>
      <c r="Y28" s="8">
        <f>T28*X28</f>
        <v>-7.1431818181818212</v>
      </c>
      <c r="Z28" s="12">
        <f>U28/S28</f>
        <v>0.45222929936305734</v>
      </c>
    </row>
    <row r="29" spans="1:26" ht="11">
      <c r="A29" s="7" t="s">
        <v>98</v>
      </c>
      <c r="B29" s="6">
        <v>298</v>
      </c>
      <c r="C29" s="6">
        <v>66</v>
      </c>
      <c r="D29" s="6">
        <v>45</v>
      </c>
      <c r="E29" s="6">
        <v>12</v>
      </c>
      <c r="F29" s="6">
        <v>308</v>
      </c>
      <c r="G29" s="6">
        <v>87</v>
      </c>
      <c r="H29" s="6">
        <v>55</v>
      </c>
      <c r="I29" s="6">
        <v>28</v>
      </c>
      <c r="J29" s="6">
        <v>316</v>
      </c>
      <c r="K29" s="6">
        <v>108</v>
      </c>
      <c r="L29" s="6">
        <v>49</v>
      </c>
      <c r="M29" s="6">
        <v>27</v>
      </c>
      <c r="N29" s="6">
        <v>348</v>
      </c>
      <c r="O29" s="6">
        <v>113</v>
      </c>
      <c r="P29" s="6">
        <v>76</v>
      </c>
      <c r="Q29" s="6">
        <v>32</v>
      </c>
      <c r="R29" s="6">
        <v>348</v>
      </c>
      <c r="S29" s="6">
        <v>130</v>
      </c>
      <c r="T29" s="7">
        <v>101</v>
      </c>
      <c r="U29" s="7">
        <v>58</v>
      </c>
      <c r="V29" s="12">
        <f>U29/T29</f>
        <v>0.57425742574257421</v>
      </c>
      <c r="W29" s="12">
        <f>S29/R29</f>
        <v>0.37356321839080459</v>
      </c>
      <c r="X29" s="13">
        <f>V29-W29</f>
        <v>0.20069420735176963</v>
      </c>
      <c r="Y29" s="8">
        <f>T29*X29</f>
        <v>20.270114942528732</v>
      </c>
      <c r="Z29" s="12">
        <f>U29/S29</f>
        <v>0.44615384615384618</v>
      </c>
    </row>
    <row r="30" spans="1:26" ht="11">
      <c r="A30" s="7" t="s">
        <v>214</v>
      </c>
      <c r="B30" s="6">
        <v>132</v>
      </c>
      <c r="C30" s="6">
        <v>45</v>
      </c>
      <c r="D30" s="6">
        <v>30</v>
      </c>
      <c r="E30" s="6">
        <v>8</v>
      </c>
      <c r="F30" s="6">
        <v>128</v>
      </c>
      <c r="G30" s="6">
        <v>49</v>
      </c>
      <c r="H30" s="6">
        <v>34</v>
      </c>
      <c r="I30" s="6">
        <v>8</v>
      </c>
      <c r="J30" s="6">
        <v>166</v>
      </c>
      <c r="K30" s="6">
        <v>40</v>
      </c>
      <c r="L30" s="6">
        <v>50</v>
      </c>
      <c r="M30" s="6">
        <v>6</v>
      </c>
      <c r="N30" s="6">
        <v>140</v>
      </c>
      <c r="O30" s="6">
        <v>52</v>
      </c>
      <c r="P30" s="6">
        <v>55</v>
      </c>
      <c r="Q30" s="6">
        <v>16</v>
      </c>
      <c r="R30" s="6">
        <v>106</v>
      </c>
      <c r="S30" s="6">
        <v>50</v>
      </c>
      <c r="T30" s="7">
        <v>50</v>
      </c>
      <c r="U30" s="7">
        <v>22</v>
      </c>
      <c r="V30" s="12">
        <f>U30/T30</f>
        <v>0.44</v>
      </c>
      <c r="W30" s="12">
        <f>S30/R30</f>
        <v>0.47169811320754718</v>
      </c>
      <c r="X30" s="13">
        <f>V30-W30</f>
        <v>-3.1698113207547174E-2</v>
      </c>
      <c r="Y30" s="8">
        <f>T30*X30</f>
        <v>-1.5849056603773586</v>
      </c>
      <c r="Z30" s="12">
        <f>U30/S30</f>
        <v>0.44</v>
      </c>
    </row>
    <row r="31" spans="1:26" ht="11">
      <c r="A31" s="7" t="s">
        <v>111</v>
      </c>
      <c r="B31" s="6">
        <v>841</v>
      </c>
      <c r="C31" s="6">
        <v>133</v>
      </c>
      <c r="D31" s="6">
        <v>355</v>
      </c>
      <c r="E31" s="6">
        <v>46</v>
      </c>
      <c r="F31" s="6">
        <v>1164</v>
      </c>
      <c r="G31" s="6">
        <v>120</v>
      </c>
      <c r="H31" s="6">
        <v>429</v>
      </c>
      <c r="I31" s="6">
        <v>47</v>
      </c>
      <c r="J31" s="6">
        <v>1107</v>
      </c>
      <c r="K31" s="6">
        <v>111</v>
      </c>
      <c r="L31" s="6">
        <v>451</v>
      </c>
      <c r="M31" s="6">
        <v>49</v>
      </c>
      <c r="N31" s="6">
        <v>974</v>
      </c>
      <c r="O31" s="6">
        <v>131</v>
      </c>
      <c r="P31" s="6">
        <v>446</v>
      </c>
      <c r="Q31" s="6">
        <v>61</v>
      </c>
      <c r="R31" s="6">
        <v>766</v>
      </c>
      <c r="S31" s="6">
        <v>137</v>
      </c>
      <c r="T31" s="7">
        <v>362</v>
      </c>
      <c r="U31" s="7">
        <v>60</v>
      </c>
      <c r="V31" s="12">
        <f>U31/T31</f>
        <v>0.16574585635359115</v>
      </c>
      <c r="W31" s="12">
        <f>S31/R31</f>
        <v>0.17885117493472585</v>
      </c>
      <c r="X31" s="13">
        <f>V31-W31</f>
        <v>-1.3105318581134701E-2</v>
      </c>
      <c r="Y31" s="8">
        <f>T31*X31</f>
        <v>-4.7441253263707619</v>
      </c>
      <c r="Z31" s="12">
        <f>U31/S31</f>
        <v>0.43795620437956206</v>
      </c>
    </row>
    <row r="32" spans="1:26" ht="11">
      <c r="A32" s="7" t="s">
        <v>60</v>
      </c>
      <c r="B32" s="6">
        <v>41</v>
      </c>
      <c r="C32" s="6">
        <v>12</v>
      </c>
      <c r="D32" s="6">
        <v>17</v>
      </c>
      <c r="E32" s="6">
        <v>4</v>
      </c>
      <c r="F32" s="6">
        <v>46</v>
      </c>
      <c r="G32" s="6">
        <v>13</v>
      </c>
      <c r="H32" s="6">
        <v>15</v>
      </c>
      <c r="I32" s="6">
        <v>6</v>
      </c>
      <c r="J32" s="6">
        <v>45</v>
      </c>
      <c r="K32" s="6">
        <v>11</v>
      </c>
      <c r="L32" s="6">
        <v>15</v>
      </c>
      <c r="M32" s="6">
        <v>4</v>
      </c>
      <c r="N32" s="6">
        <v>52</v>
      </c>
      <c r="O32" s="6">
        <v>13</v>
      </c>
      <c r="P32" s="6">
        <v>25</v>
      </c>
      <c r="Q32" s="6">
        <v>7</v>
      </c>
      <c r="R32" s="6">
        <v>31</v>
      </c>
      <c r="S32" s="6">
        <v>7</v>
      </c>
      <c r="T32" s="7">
        <v>17</v>
      </c>
      <c r="U32" s="7">
        <v>3</v>
      </c>
      <c r="V32" s="12">
        <f>U32/T32</f>
        <v>0.17647058823529413</v>
      </c>
      <c r="W32" s="12">
        <f>S32/R32</f>
        <v>0.22580645161290322</v>
      </c>
      <c r="X32" s="13">
        <f>V32-W32</f>
        <v>-4.933586337760909E-2</v>
      </c>
      <c r="Y32" s="8">
        <f>T32*X32</f>
        <v>-0.83870967741935454</v>
      </c>
      <c r="Z32" s="12">
        <f>U32/S32</f>
        <v>0.42857142857142855</v>
      </c>
    </row>
    <row r="33" spans="1:26" ht="11">
      <c r="A33" s="7" t="s">
        <v>186</v>
      </c>
      <c r="B33" s="6">
        <v>38</v>
      </c>
      <c r="C33" s="6">
        <v>25</v>
      </c>
      <c r="D33" s="6">
        <v>7</v>
      </c>
      <c r="E33" s="6">
        <v>4</v>
      </c>
      <c r="F33" s="6">
        <v>36</v>
      </c>
      <c r="G33" s="6">
        <v>24</v>
      </c>
      <c r="H33" s="6">
        <v>7</v>
      </c>
      <c r="I33" s="6">
        <v>5</v>
      </c>
      <c r="J33" s="6">
        <v>34</v>
      </c>
      <c r="K33" s="6">
        <v>22</v>
      </c>
      <c r="L33" s="6">
        <v>10</v>
      </c>
      <c r="M33" s="6">
        <v>7</v>
      </c>
      <c r="N33" s="6">
        <v>36</v>
      </c>
      <c r="O33" s="6">
        <v>23</v>
      </c>
      <c r="P33" s="6">
        <v>11</v>
      </c>
      <c r="Q33" s="6">
        <v>5</v>
      </c>
      <c r="R33" s="6">
        <v>24</v>
      </c>
      <c r="S33" s="6">
        <v>12</v>
      </c>
      <c r="T33" s="7">
        <v>7</v>
      </c>
      <c r="U33" s="7">
        <v>5</v>
      </c>
      <c r="V33" s="12">
        <f>U33/T33</f>
        <v>0.7142857142857143</v>
      </c>
      <c r="W33" s="12">
        <f>S33/R33</f>
        <v>0.5</v>
      </c>
      <c r="X33" s="13">
        <f>V33-W33</f>
        <v>0.2142857142857143</v>
      </c>
      <c r="Y33" s="8">
        <f>T33*X33</f>
        <v>1.5</v>
      </c>
      <c r="Z33" s="12">
        <f>U33/S33</f>
        <v>0.41666666666666669</v>
      </c>
    </row>
    <row r="34" spans="1:26" ht="11">
      <c r="A34" s="7" t="s">
        <v>196</v>
      </c>
      <c r="B34" s="6">
        <v>133</v>
      </c>
      <c r="C34" s="6">
        <v>90</v>
      </c>
      <c r="D34" s="6">
        <v>45</v>
      </c>
      <c r="E34" s="6">
        <v>32</v>
      </c>
      <c r="F34" s="6">
        <v>145</v>
      </c>
      <c r="G34" s="6">
        <v>74</v>
      </c>
      <c r="H34" s="6">
        <v>55</v>
      </c>
      <c r="I34" s="6">
        <v>34</v>
      </c>
      <c r="J34" s="6">
        <v>173</v>
      </c>
      <c r="K34" s="6">
        <v>76</v>
      </c>
      <c r="L34" s="6">
        <v>69</v>
      </c>
      <c r="M34" s="6">
        <v>25</v>
      </c>
      <c r="N34" s="6">
        <v>155</v>
      </c>
      <c r="O34" s="6">
        <v>80</v>
      </c>
      <c r="P34" s="6">
        <v>70</v>
      </c>
      <c r="Q34" s="6">
        <v>31</v>
      </c>
      <c r="R34" s="6">
        <v>182</v>
      </c>
      <c r="S34" s="6">
        <v>116</v>
      </c>
      <c r="T34" s="7">
        <v>76</v>
      </c>
      <c r="U34" s="7">
        <v>48</v>
      </c>
      <c r="V34" s="12">
        <f>U34/T34</f>
        <v>0.63157894736842102</v>
      </c>
      <c r="W34" s="12">
        <f>S34/R34</f>
        <v>0.63736263736263732</v>
      </c>
      <c r="X34" s="13">
        <f>V34-W34</f>
        <v>-5.7836899942163011E-3</v>
      </c>
      <c r="Y34" s="8">
        <f>T34*X34</f>
        <v>-0.43956043956043889</v>
      </c>
      <c r="Z34" s="12">
        <f>U34/S34</f>
        <v>0.41379310344827586</v>
      </c>
    </row>
    <row r="35" spans="1:26" ht="11">
      <c r="A35" s="7" t="s">
        <v>67</v>
      </c>
      <c r="B35" s="6">
        <v>160</v>
      </c>
      <c r="C35" s="6">
        <v>7</v>
      </c>
      <c r="D35" s="6">
        <v>44</v>
      </c>
      <c r="E35" s="6">
        <v>4</v>
      </c>
      <c r="F35" s="6">
        <v>128</v>
      </c>
      <c r="G35" s="6">
        <v>8</v>
      </c>
      <c r="H35" s="6">
        <v>43</v>
      </c>
      <c r="I35" s="6">
        <v>5</v>
      </c>
      <c r="J35" s="6">
        <v>102</v>
      </c>
      <c r="K35" s="6">
        <v>8</v>
      </c>
      <c r="L35" s="6">
        <v>35</v>
      </c>
      <c r="M35" s="6">
        <v>4</v>
      </c>
      <c r="N35" s="6">
        <v>98</v>
      </c>
      <c r="O35" s="6">
        <v>13</v>
      </c>
      <c r="P35" s="6">
        <v>33</v>
      </c>
      <c r="Q35" s="6">
        <v>5</v>
      </c>
      <c r="R35" s="6">
        <v>120</v>
      </c>
      <c r="S35" s="6">
        <v>13</v>
      </c>
      <c r="T35" s="7">
        <v>52</v>
      </c>
      <c r="U35" s="7">
        <v>5</v>
      </c>
      <c r="V35" s="12">
        <f>U35/T35</f>
        <v>9.6153846153846159E-2</v>
      </c>
      <c r="W35" s="12">
        <f>S35/R35</f>
        <v>0.10833333333333334</v>
      </c>
      <c r="X35" s="13">
        <f>V35-W35</f>
        <v>-1.2179487179487178E-2</v>
      </c>
      <c r="Y35" s="8">
        <f>T35*X35</f>
        <v>-0.6333333333333333</v>
      </c>
      <c r="Z35" s="12">
        <f>U35/S35</f>
        <v>0.38461538461538464</v>
      </c>
    </row>
    <row r="36" spans="1:26" ht="11">
      <c r="A36" s="7" t="s">
        <v>169</v>
      </c>
      <c r="B36" s="6">
        <v>285</v>
      </c>
      <c r="C36" s="6">
        <v>41</v>
      </c>
      <c r="D36" s="6">
        <v>201</v>
      </c>
      <c r="E36" s="6">
        <v>17</v>
      </c>
      <c r="F36" s="6">
        <v>236</v>
      </c>
      <c r="G36" s="6">
        <v>42</v>
      </c>
      <c r="H36" s="6">
        <v>159</v>
      </c>
      <c r="I36" s="6">
        <v>13</v>
      </c>
      <c r="J36" s="6">
        <v>209</v>
      </c>
      <c r="K36" s="6">
        <v>48</v>
      </c>
      <c r="L36" s="6">
        <v>121</v>
      </c>
      <c r="M36" s="6">
        <v>14</v>
      </c>
      <c r="N36" s="6">
        <v>203</v>
      </c>
      <c r="O36" s="6">
        <v>46</v>
      </c>
      <c r="P36" s="6">
        <v>130</v>
      </c>
      <c r="Q36" s="6">
        <v>13</v>
      </c>
      <c r="R36" s="6">
        <v>206</v>
      </c>
      <c r="S36" s="6">
        <v>51</v>
      </c>
      <c r="T36" s="7">
        <v>128</v>
      </c>
      <c r="U36" s="7">
        <v>19</v>
      </c>
      <c r="V36" s="12">
        <f>U36/T36</f>
        <v>0.1484375</v>
      </c>
      <c r="W36" s="12">
        <f>S36/R36</f>
        <v>0.24757281553398058</v>
      </c>
      <c r="X36" s="13">
        <f>V36-W36</f>
        <v>-9.9135315533980584E-2</v>
      </c>
      <c r="Y36" s="8">
        <f>T36*X36</f>
        <v>-12.689320388349515</v>
      </c>
      <c r="Z36" s="12">
        <f>U36/S36</f>
        <v>0.37254901960784315</v>
      </c>
    </row>
    <row r="37" spans="1:26" ht="11">
      <c r="A37" s="7" t="s">
        <v>97</v>
      </c>
      <c r="B37" s="6">
        <v>1015</v>
      </c>
      <c r="C37" s="6">
        <v>375</v>
      </c>
      <c r="D37" s="6">
        <v>196</v>
      </c>
      <c r="E37" s="6">
        <v>83</v>
      </c>
      <c r="F37" s="6">
        <v>1065</v>
      </c>
      <c r="G37" s="6">
        <v>337</v>
      </c>
      <c r="H37" s="6">
        <v>246</v>
      </c>
      <c r="I37" s="6">
        <v>84</v>
      </c>
      <c r="J37" s="6">
        <v>1086</v>
      </c>
      <c r="K37" s="6">
        <v>328</v>
      </c>
      <c r="L37" s="6">
        <v>258</v>
      </c>
      <c r="M37" s="6">
        <v>71</v>
      </c>
      <c r="N37" s="6">
        <v>1020</v>
      </c>
      <c r="O37" s="6">
        <v>330</v>
      </c>
      <c r="P37" s="6">
        <v>284</v>
      </c>
      <c r="Q37" s="6">
        <v>108</v>
      </c>
      <c r="R37" s="6">
        <v>1072</v>
      </c>
      <c r="S37" s="6">
        <v>414</v>
      </c>
      <c r="T37" s="7">
        <v>360</v>
      </c>
      <c r="U37" s="7">
        <v>152</v>
      </c>
      <c r="V37" s="12">
        <f>U37/T37</f>
        <v>0.42222222222222222</v>
      </c>
      <c r="W37" s="12">
        <f>S37/R37</f>
        <v>0.38619402985074625</v>
      </c>
      <c r="X37" s="13">
        <f>V37-W37</f>
        <v>3.6028192371475976E-2</v>
      </c>
      <c r="Y37" s="8">
        <f>T37*X37</f>
        <v>12.970149253731352</v>
      </c>
      <c r="Z37" s="12">
        <f>U37/S37</f>
        <v>0.3671497584541063</v>
      </c>
    </row>
    <row r="38" spans="1:26" ht="11">
      <c r="A38" s="7" t="s">
        <v>166</v>
      </c>
      <c r="B38" s="6">
        <v>0</v>
      </c>
      <c r="C38" s="6">
        <v>0</v>
      </c>
      <c r="D38" s="6">
        <v>0</v>
      </c>
      <c r="E38" s="6">
        <v>0</v>
      </c>
      <c r="F38" s="6">
        <v>544</v>
      </c>
      <c r="G38" s="6">
        <v>123</v>
      </c>
      <c r="H38" s="6">
        <v>257</v>
      </c>
      <c r="I38" s="6">
        <v>52</v>
      </c>
      <c r="J38" s="6">
        <v>740</v>
      </c>
      <c r="K38" s="6">
        <v>110</v>
      </c>
      <c r="L38" s="6">
        <v>362</v>
      </c>
      <c r="M38" s="6">
        <v>51</v>
      </c>
      <c r="N38" s="6">
        <v>799</v>
      </c>
      <c r="O38" s="6">
        <v>129</v>
      </c>
      <c r="P38" s="6">
        <v>441</v>
      </c>
      <c r="Q38" s="6">
        <v>58</v>
      </c>
      <c r="R38" s="6">
        <v>913</v>
      </c>
      <c r="S38" s="6">
        <v>161</v>
      </c>
      <c r="T38" s="7">
        <v>478</v>
      </c>
      <c r="U38" s="7">
        <v>57</v>
      </c>
      <c r="V38" s="12">
        <f>U38/T38</f>
        <v>0.1192468619246862</v>
      </c>
      <c r="W38" s="12">
        <f>S38/R38</f>
        <v>0.17634173055859803</v>
      </c>
      <c r="X38" s="13">
        <f>V38-W38</f>
        <v>-5.7094868633911833E-2</v>
      </c>
      <c r="Y38" s="8">
        <f>T38*X38</f>
        <v>-27.291347207009856</v>
      </c>
      <c r="Z38" s="12">
        <f>U38/S38</f>
        <v>0.35403726708074534</v>
      </c>
    </row>
    <row r="39" spans="1:26" ht="11">
      <c r="A39" s="7" t="s">
        <v>218</v>
      </c>
      <c r="B39" s="6">
        <v>26</v>
      </c>
      <c r="C39" s="6">
        <v>14</v>
      </c>
      <c r="D39" s="6">
        <v>2</v>
      </c>
      <c r="E39" s="6">
        <v>0</v>
      </c>
      <c r="F39" s="6">
        <v>29</v>
      </c>
      <c r="G39" s="6">
        <v>14</v>
      </c>
      <c r="H39" s="6">
        <v>3</v>
      </c>
      <c r="I39" s="6">
        <v>0</v>
      </c>
      <c r="J39" s="6">
        <v>41</v>
      </c>
      <c r="K39" s="6">
        <v>14</v>
      </c>
      <c r="L39" s="6">
        <v>10</v>
      </c>
      <c r="M39" s="6">
        <v>1</v>
      </c>
      <c r="N39" s="6">
        <v>22</v>
      </c>
      <c r="O39" s="6">
        <v>10</v>
      </c>
      <c r="P39" s="6">
        <v>8</v>
      </c>
      <c r="Q39" s="6">
        <v>4</v>
      </c>
      <c r="R39" s="6">
        <v>26</v>
      </c>
      <c r="S39" s="6">
        <v>17</v>
      </c>
      <c r="T39" s="7">
        <v>8</v>
      </c>
      <c r="U39" s="7">
        <v>6</v>
      </c>
      <c r="V39" s="12">
        <f>U39/T39</f>
        <v>0.75</v>
      </c>
      <c r="W39" s="12">
        <f>S39/R39</f>
        <v>0.65384615384615385</v>
      </c>
      <c r="X39" s="13">
        <f>V39-W39</f>
        <v>9.6153846153846145E-2</v>
      </c>
      <c r="Y39" s="8">
        <f>T39*X39</f>
        <v>0.76923076923076916</v>
      </c>
      <c r="Z39" s="12">
        <f>U39/S39</f>
        <v>0.35294117647058826</v>
      </c>
    </row>
    <row r="40" spans="1:26" ht="11">
      <c r="A40" s="7" t="s">
        <v>140</v>
      </c>
      <c r="B40" s="6">
        <v>0</v>
      </c>
      <c r="C40" s="6">
        <v>0</v>
      </c>
      <c r="D40" s="6">
        <v>0</v>
      </c>
      <c r="E40" s="6">
        <v>0</v>
      </c>
      <c r="F40" s="6">
        <v>0</v>
      </c>
      <c r="G40" s="6">
        <v>0</v>
      </c>
      <c r="H40" s="6">
        <v>0</v>
      </c>
      <c r="I40" s="6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46</v>
      </c>
      <c r="S40" s="6">
        <v>18</v>
      </c>
      <c r="T40" s="7">
        <v>10</v>
      </c>
      <c r="U40" s="7">
        <v>6</v>
      </c>
      <c r="V40" s="12">
        <f>U40/T40</f>
        <v>0.6</v>
      </c>
      <c r="W40" s="12">
        <f>S40/R40</f>
        <v>0.39130434782608697</v>
      </c>
      <c r="X40" s="13">
        <f>V40-W40</f>
        <v>0.208695652173913</v>
      </c>
      <c r="Y40" s="8">
        <f>T40*X40</f>
        <v>2.0869565217391299</v>
      </c>
      <c r="Z40" s="12">
        <f>U40/S40</f>
        <v>0.33333333333333331</v>
      </c>
    </row>
    <row r="41" spans="1:26" ht="11">
      <c r="A41" s="7" t="s">
        <v>65</v>
      </c>
      <c r="B41" s="6">
        <v>0</v>
      </c>
      <c r="C41" s="6">
        <v>0</v>
      </c>
      <c r="D41" s="6">
        <v>0</v>
      </c>
      <c r="E41" s="6">
        <v>0</v>
      </c>
      <c r="F41" s="6">
        <v>0</v>
      </c>
      <c r="G41" s="6">
        <v>0</v>
      </c>
      <c r="H41" s="6">
        <v>0</v>
      </c>
      <c r="I41" s="6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38</v>
      </c>
      <c r="S41" s="6">
        <v>3</v>
      </c>
      <c r="T41" s="7">
        <v>13</v>
      </c>
      <c r="U41" s="7">
        <v>1</v>
      </c>
      <c r="V41" s="12">
        <f>U41/T41</f>
        <v>7.6923076923076927E-2</v>
      </c>
      <c r="W41" s="12">
        <f>S41/R41</f>
        <v>7.8947368421052627E-2</v>
      </c>
      <c r="X41" s="13">
        <f>V41-W41</f>
        <v>-2.0242914979756998E-3</v>
      </c>
      <c r="Y41" s="8">
        <f>T41*X41</f>
        <v>-2.6315789473684098E-2</v>
      </c>
      <c r="Z41" s="12">
        <f>U41/S41</f>
        <v>0.33333333333333331</v>
      </c>
    </row>
    <row r="42" spans="1:26" ht="11">
      <c r="A42" s="7" t="s">
        <v>63</v>
      </c>
      <c r="B42" s="6">
        <v>386</v>
      </c>
      <c r="C42" s="6">
        <v>81</v>
      </c>
      <c r="D42" s="6">
        <v>54</v>
      </c>
      <c r="E42" s="6">
        <v>17</v>
      </c>
      <c r="F42" s="6">
        <v>358</v>
      </c>
      <c r="G42" s="6">
        <v>95</v>
      </c>
      <c r="H42" s="6">
        <v>54</v>
      </c>
      <c r="I42" s="6">
        <v>18</v>
      </c>
      <c r="J42" s="6">
        <v>420</v>
      </c>
      <c r="K42" s="6">
        <v>104</v>
      </c>
      <c r="L42" s="6">
        <v>74</v>
      </c>
      <c r="M42" s="6">
        <v>21</v>
      </c>
      <c r="N42" s="6">
        <v>479</v>
      </c>
      <c r="O42" s="6">
        <v>97</v>
      </c>
      <c r="P42" s="6">
        <v>74</v>
      </c>
      <c r="Q42" s="6">
        <v>24</v>
      </c>
      <c r="R42" s="6">
        <v>532</v>
      </c>
      <c r="S42" s="6">
        <v>92</v>
      </c>
      <c r="T42" s="7">
        <v>108</v>
      </c>
      <c r="U42" s="7">
        <v>30</v>
      </c>
      <c r="V42" s="12">
        <f>U42/T42</f>
        <v>0.27777777777777779</v>
      </c>
      <c r="W42" s="12">
        <f>S42/R42</f>
        <v>0.17293233082706766</v>
      </c>
      <c r="X42" s="13">
        <f>V42-W42</f>
        <v>0.10484544695071013</v>
      </c>
      <c r="Y42" s="8">
        <f>T42*X42</f>
        <v>11.323308270676694</v>
      </c>
      <c r="Z42" s="12">
        <f>U42/S42</f>
        <v>0.32608695652173914</v>
      </c>
    </row>
    <row r="43" spans="1:26" ht="11">
      <c r="A43" s="7" t="s">
        <v>202</v>
      </c>
      <c r="B43" s="6">
        <v>116</v>
      </c>
      <c r="C43" s="6">
        <v>48</v>
      </c>
      <c r="D43" s="6">
        <v>43</v>
      </c>
      <c r="E43" s="6">
        <v>11</v>
      </c>
      <c r="F43" s="6">
        <v>142</v>
      </c>
      <c r="G43" s="6">
        <v>53</v>
      </c>
      <c r="H43" s="6">
        <v>54</v>
      </c>
      <c r="I43" s="6">
        <v>12</v>
      </c>
      <c r="J43" s="6">
        <v>182</v>
      </c>
      <c r="K43" s="6">
        <v>63</v>
      </c>
      <c r="L43" s="6">
        <v>80</v>
      </c>
      <c r="M43" s="6">
        <v>16</v>
      </c>
      <c r="N43" s="6">
        <v>194</v>
      </c>
      <c r="O43" s="6">
        <v>57</v>
      </c>
      <c r="P43" s="6">
        <v>86</v>
      </c>
      <c r="Q43" s="6">
        <v>24</v>
      </c>
      <c r="R43" s="6">
        <v>215</v>
      </c>
      <c r="S43" s="6">
        <v>59</v>
      </c>
      <c r="T43" s="7">
        <v>130</v>
      </c>
      <c r="U43" s="7">
        <v>19</v>
      </c>
      <c r="V43" s="12">
        <f>U43/T43</f>
        <v>0.14615384615384616</v>
      </c>
      <c r="W43" s="12">
        <f>S43/R43</f>
        <v>0.2744186046511628</v>
      </c>
      <c r="X43" s="13">
        <f>V43-W43</f>
        <v>-0.12826475849731664</v>
      </c>
      <c r="Y43" s="8">
        <f>T43*X43</f>
        <v>-16.674418604651162</v>
      </c>
      <c r="Z43" s="12">
        <f>U43/S43</f>
        <v>0.32203389830508472</v>
      </c>
    </row>
    <row r="44" spans="1:26" ht="11">
      <c r="A44" s="7" t="s">
        <v>99</v>
      </c>
      <c r="B44" s="6">
        <v>408</v>
      </c>
      <c r="C44" s="6">
        <v>53</v>
      </c>
      <c r="D44" s="6">
        <v>154</v>
      </c>
      <c r="E44" s="6">
        <v>16</v>
      </c>
      <c r="F44" s="6">
        <v>478</v>
      </c>
      <c r="G44" s="6">
        <v>53</v>
      </c>
      <c r="H44" s="6">
        <v>188</v>
      </c>
      <c r="I44" s="6">
        <v>18</v>
      </c>
      <c r="J44" s="6">
        <v>417</v>
      </c>
      <c r="K44" s="6">
        <v>44</v>
      </c>
      <c r="L44" s="6">
        <v>159</v>
      </c>
      <c r="M44" s="6">
        <v>16</v>
      </c>
      <c r="N44" s="6">
        <v>346</v>
      </c>
      <c r="O44" s="6">
        <v>52</v>
      </c>
      <c r="P44" s="6">
        <v>168</v>
      </c>
      <c r="Q44" s="6">
        <v>26</v>
      </c>
      <c r="R44" s="6">
        <v>412</v>
      </c>
      <c r="S44" s="6">
        <v>53</v>
      </c>
      <c r="T44" s="7">
        <v>212</v>
      </c>
      <c r="U44" s="7">
        <v>17</v>
      </c>
      <c r="V44" s="12">
        <f>U44/T44</f>
        <v>8.0188679245283015E-2</v>
      </c>
      <c r="W44" s="12">
        <f>S44/R44</f>
        <v>0.12864077669902912</v>
      </c>
      <c r="X44" s="13">
        <f>V44-W44</f>
        <v>-4.845209745374611E-2</v>
      </c>
      <c r="Y44" s="8">
        <f>T44*X44</f>
        <v>-10.271844660194175</v>
      </c>
      <c r="Z44" s="12">
        <f>U44/S44</f>
        <v>0.32075471698113206</v>
      </c>
    </row>
    <row r="45" spans="1:26" ht="11">
      <c r="A45" s="7" t="s">
        <v>94</v>
      </c>
      <c r="B45" s="6">
        <v>343</v>
      </c>
      <c r="C45" s="6">
        <v>101</v>
      </c>
      <c r="D45" s="6">
        <v>90</v>
      </c>
      <c r="E45" s="6">
        <v>31</v>
      </c>
      <c r="F45" s="6">
        <v>375</v>
      </c>
      <c r="G45" s="6">
        <v>102</v>
      </c>
      <c r="H45" s="6">
        <v>112</v>
      </c>
      <c r="I45" s="6">
        <v>34</v>
      </c>
      <c r="J45" s="6">
        <v>441</v>
      </c>
      <c r="K45" s="6">
        <v>106</v>
      </c>
      <c r="L45" s="6">
        <v>135</v>
      </c>
      <c r="M45" s="6">
        <v>33</v>
      </c>
      <c r="N45" s="6">
        <v>379</v>
      </c>
      <c r="O45" s="6">
        <v>121</v>
      </c>
      <c r="P45" s="6">
        <v>121</v>
      </c>
      <c r="Q45" s="6">
        <v>43</v>
      </c>
      <c r="R45" s="6">
        <v>391</v>
      </c>
      <c r="S45" s="6">
        <v>119</v>
      </c>
      <c r="T45" s="7">
        <v>143</v>
      </c>
      <c r="U45" s="7">
        <v>37</v>
      </c>
      <c r="V45" s="12">
        <f>U45/T45</f>
        <v>0.25874125874125875</v>
      </c>
      <c r="W45" s="12">
        <f>S45/R45</f>
        <v>0.30434782608695654</v>
      </c>
      <c r="X45" s="13">
        <f>V45-W45</f>
        <v>-4.560656734569779E-2</v>
      </c>
      <c r="Y45" s="8">
        <f>T45*X45</f>
        <v>-6.521739130434784</v>
      </c>
      <c r="Z45" s="12">
        <f>U45/S45</f>
        <v>0.31092436974789917</v>
      </c>
    </row>
    <row r="46" spans="1:26" ht="11">
      <c r="A46" s="7" t="s">
        <v>110</v>
      </c>
      <c r="B46" s="6">
        <v>1582</v>
      </c>
      <c r="C46" s="6">
        <v>219</v>
      </c>
      <c r="D46" s="6">
        <v>667</v>
      </c>
      <c r="E46" s="6">
        <v>56</v>
      </c>
      <c r="F46" s="6">
        <v>1680</v>
      </c>
      <c r="G46" s="6">
        <v>191</v>
      </c>
      <c r="H46" s="6">
        <v>665</v>
      </c>
      <c r="I46" s="6">
        <v>54</v>
      </c>
      <c r="J46" s="6">
        <v>1553</v>
      </c>
      <c r="K46" s="6">
        <v>220</v>
      </c>
      <c r="L46" s="6">
        <v>628</v>
      </c>
      <c r="M46" s="6">
        <v>59</v>
      </c>
      <c r="N46" s="6">
        <v>1527</v>
      </c>
      <c r="O46" s="6">
        <v>234</v>
      </c>
      <c r="P46" s="6">
        <v>654</v>
      </c>
      <c r="Q46" s="6">
        <v>72</v>
      </c>
      <c r="R46" s="6">
        <v>1466</v>
      </c>
      <c r="S46" s="6">
        <v>261</v>
      </c>
      <c r="T46" s="7">
        <v>542</v>
      </c>
      <c r="U46" s="7">
        <v>81</v>
      </c>
      <c r="V46" s="12">
        <f>U46/T46</f>
        <v>0.14944649446494465</v>
      </c>
      <c r="W46" s="12">
        <f>S46/R46</f>
        <v>0.17803547066848568</v>
      </c>
      <c r="X46" s="13">
        <f>V46-W46</f>
        <v>-2.8588976203541033E-2</v>
      </c>
      <c r="Y46" s="8">
        <f>T46*X46</f>
        <v>-15.495225102319241</v>
      </c>
      <c r="Z46" s="12">
        <f>U46/S46</f>
        <v>0.31034482758620691</v>
      </c>
    </row>
    <row r="47" spans="1:26" ht="11">
      <c r="A47" s="7" t="s">
        <v>191</v>
      </c>
      <c r="B47" s="6">
        <v>140</v>
      </c>
      <c r="C47" s="6">
        <v>54</v>
      </c>
      <c r="D47" s="6">
        <v>49</v>
      </c>
      <c r="E47" s="6">
        <v>8</v>
      </c>
      <c r="F47" s="6">
        <v>171</v>
      </c>
      <c r="G47" s="6">
        <v>53</v>
      </c>
      <c r="H47" s="6">
        <v>68</v>
      </c>
      <c r="I47" s="6">
        <v>8</v>
      </c>
      <c r="J47" s="6">
        <v>180</v>
      </c>
      <c r="K47" s="6">
        <v>52</v>
      </c>
      <c r="L47" s="6">
        <v>75</v>
      </c>
      <c r="M47" s="6">
        <v>12</v>
      </c>
      <c r="N47" s="6">
        <v>208</v>
      </c>
      <c r="O47" s="6">
        <v>64</v>
      </c>
      <c r="P47" s="6">
        <v>108</v>
      </c>
      <c r="Q47" s="6">
        <v>15</v>
      </c>
      <c r="R47" s="6">
        <v>183</v>
      </c>
      <c r="S47" s="6">
        <v>85</v>
      </c>
      <c r="T47" s="7">
        <v>82</v>
      </c>
      <c r="U47" s="7">
        <v>26</v>
      </c>
      <c r="V47" s="12">
        <f>U47/T47</f>
        <v>0.31707317073170732</v>
      </c>
      <c r="W47" s="12">
        <f>S47/R47</f>
        <v>0.46448087431693991</v>
      </c>
      <c r="X47" s="13">
        <f>V47-W47</f>
        <v>-0.14740770358523259</v>
      </c>
      <c r="Y47" s="8">
        <f>T47*X47</f>
        <v>-12.087431693989071</v>
      </c>
      <c r="Z47" s="12">
        <f>U47/S47</f>
        <v>0.30588235294117649</v>
      </c>
    </row>
    <row r="48" spans="1:26" ht="11">
      <c r="A48" s="7" t="s">
        <v>36</v>
      </c>
      <c r="B48" s="6">
        <v>68</v>
      </c>
      <c r="C48" s="6">
        <v>4</v>
      </c>
      <c r="D48" s="6">
        <v>5</v>
      </c>
      <c r="E48" s="6">
        <v>0</v>
      </c>
      <c r="F48" s="6">
        <v>56</v>
      </c>
      <c r="G48" s="6">
        <v>9</v>
      </c>
      <c r="H48" s="6">
        <v>5</v>
      </c>
      <c r="I48" s="6">
        <v>0</v>
      </c>
      <c r="J48" s="6">
        <v>47</v>
      </c>
      <c r="K48" s="6">
        <v>9</v>
      </c>
      <c r="L48" s="6">
        <v>6</v>
      </c>
      <c r="M48" s="6">
        <v>1</v>
      </c>
      <c r="N48" s="6">
        <v>51</v>
      </c>
      <c r="O48" s="6">
        <v>8</v>
      </c>
      <c r="P48" s="6">
        <v>8</v>
      </c>
      <c r="Q48" s="6">
        <v>0</v>
      </c>
      <c r="R48" s="6">
        <v>57</v>
      </c>
      <c r="S48" s="6">
        <v>10</v>
      </c>
      <c r="T48" s="7">
        <v>8</v>
      </c>
      <c r="U48" s="7">
        <v>3</v>
      </c>
      <c r="V48" s="12">
        <f>U48/T48</f>
        <v>0.375</v>
      </c>
      <c r="W48" s="12">
        <f>S48/R48</f>
        <v>0.17543859649122806</v>
      </c>
      <c r="X48" s="13">
        <f>V48-W48</f>
        <v>0.19956140350877194</v>
      </c>
      <c r="Y48" s="8">
        <f>T48*X48</f>
        <v>1.5964912280701755</v>
      </c>
      <c r="Z48" s="12">
        <f>U48/S48</f>
        <v>0.3</v>
      </c>
    </row>
    <row r="49" spans="1:26" ht="11">
      <c r="A49" s="7" t="s">
        <v>5</v>
      </c>
      <c r="B49" s="6">
        <v>126</v>
      </c>
      <c r="C49" s="6">
        <v>52</v>
      </c>
      <c r="D49" s="6">
        <v>25</v>
      </c>
      <c r="E49" s="6">
        <v>4</v>
      </c>
      <c r="F49" s="6">
        <v>109</v>
      </c>
      <c r="G49" s="6">
        <v>49</v>
      </c>
      <c r="H49" s="6">
        <v>27</v>
      </c>
      <c r="I49" s="6">
        <v>4</v>
      </c>
      <c r="J49" s="6">
        <v>129</v>
      </c>
      <c r="K49" s="6">
        <v>60</v>
      </c>
      <c r="L49" s="6">
        <v>47</v>
      </c>
      <c r="M49" s="6">
        <v>12</v>
      </c>
      <c r="N49" s="6">
        <v>142</v>
      </c>
      <c r="O49" s="6">
        <v>47</v>
      </c>
      <c r="P49" s="6">
        <v>62</v>
      </c>
      <c r="Q49" s="6">
        <v>10</v>
      </c>
      <c r="R49" s="6">
        <v>137</v>
      </c>
      <c r="S49" s="6">
        <v>60</v>
      </c>
      <c r="T49" s="7">
        <v>62</v>
      </c>
      <c r="U49" s="7">
        <v>17</v>
      </c>
      <c r="V49" s="12">
        <f>U49/T49</f>
        <v>0.27419354838709675</v>
      </c>
      <c r="W49" s="12">
        <f>S49/R49</f>
        <v>0.43795620437956206</v>
      </c>
      <c r="X49" s="13">
        <f>V49-W49</f>
        <v>-0.16376265599246531</v>
      </c>
      <c r="Y49" s="8">
        <f>T49*X49</f>
        <v>-10.15328467153285</v>
      </c>
      <c r="Z49" s="12">
        <f>U49/S49</f>
        <v>0.28333333333333333</v>
      </c>
    </row>
    <row r="50" spans="1:26" ht="11">
      <c r="A50" s="7" t="s">
        <v>7</v>
      </c>
      <c r="B50" s="6">
        <v>0</v>
      </c>
      <c r="C50" s="6">
        <v>0</v>
      </c>
      <c r="D50" s="6">
        <v>0</v>
      </c>
      <c r="E50" s="6">
        <v>0</v>
      </c>
      <c r="F50" s="6">
        <v>0</v>
      </c>
      <c r="G50" s="6">
        <v>0</v>
      </c>
      <c r="H50" s="6">
        <v>0</v>
      </c>
      <c r="I50" s="6">
        <v>0</v>
      </c>
      <c r="J50" s="6">
        <v>0</v>
      </c>
      <c r="K50" s="6">
        <v>0</v>
      </c>
      <c r="L50" s="6">
        <v>0</v>
      </c>
      <c r="M50" s="6">
        <v>0</v>
      </c>
      <c r="N50" s="6">
        <v>46</v>
      </c>
      <c r="O50" s="6">
        <v>9</v>
      </c>
      <c r="P50" s="6">
        <v>19</v>
      </c>
      <c r="Q50" s="6">
        <v>5</v>
      </c>
      <c r="R50" s="6">
        <v>45</v>
      </c>
      <c r="S50" s="6">
        <v>18</v>
      </c>
      <c r="T50" s="7">
        <v>15</v>
      </c>
      <c r="U50" s="7">
        <v>5</v>
      </c>
      <c r="V50" s="12">
        <f>U50/T50</f>
        <v>0.33333333333333331</v>
      </c>
      <c r="W50" s="12">
        <f>S50/R50</f>
        <v>0.4</v>
      </c>
      <c r="X50" s="13">
        <f>V50-W50</f>
        <v>-6.6666666666666707E-2</v>
      </c>
      <c r="Y50" s="8">
        <f>T50*X50</f>
        <v>-1.0000000000000007</v>
      </c>
      <c r="Z50" s="12">
        <f>U50/S50</f>
        <v>0.27777777777777779</v>
      </c>
    </row>
    <row r="51" spans="1:26" ht="11">
      <c r="A51" s="7" t="s">
        <v>80</v>
      </c>
      <c r="B51" s="6">
        <v>93</v>
      </c>
      <c r="C51" s="6">
        <v>38</v>
      </c>
      <c r="D51" s="6">
        <v>15</v>
      </c>
      <c r="E51" s="6">
        <v>1</v>
      </c>
      <c r="F51" s="6">
        <v>98</v>
      </c>
      <c r="G51" s="6">
        <v>39</v>
      </c>
      <c r="H51" s="6">
        <v>15</v>
      </c>
      <c r="I51" s="6">
        <v>3</v>
      </c>
      <c r="J51" s="6">
        <v>90</v>
      </c>
      <c r="K51" s="6">
        <v>29</v>
      </c>
      <c r="L51" s="6">
        <v>19</v>
      </c>
      <c r="M51" s="6">
        <v>4</v>
      </c>
      <c r="N51" s="6">
        <v>66</v>
      </c>
      <c r="O51" s="6">
        <v>28</v>
      </c>
      <c r="P51" s="6">
        <v>17</v>
      </c>
      <c r="Q51" s="6">
        <v>5</v>
      </c>
      <c r="R51" s="6">
        <v>79</v>
      </c>
      <c r="S51" s="6">
        <v>34</v>
      </c>
      <c r="T51" s="7">
        <v>24</v>
      </c>
      <c r="U51" s="7">
        <v>9</v>
      </c>
      <c r="V51" s="12">
        <f>U51/T51</f>
        <v>0.375</v>
      </c>
      <c r="W51" s="12">
        <f>S51/R51</f>
        <v>0.43037974683544306</v>
      </c>
      <c r="X51" s="13">
        <f>V51-W51</f>
        <v>-5.5379746835443056E-2</v>
      </c>
      <c r="Y51" s="8">
        <f>T51*X51</f>
        <v>-1.3291139240506333</v>
      </c>
      <c r="Z51" s="12">
        <f>U51/S51</f>
        <v>0.26470588235294118</v>
      </c>
    </row>
    <row r="52" spans="1:26" ht="11">
      <c r="A52" s="7" t="s">
        <v>20</v>
      </c>
      <c r="B52" s="6">
        <v>495</v>
      </c>
      <c r="C52" s="6">
        <v>204</v>
      </c>
      <c r="D52" s="6">
        <v>149</v>
      </c>
      <c r="E52" s="6">
        <v>41</v>
      </c>
      <c r="F52" s="6">
        <v>417</v>
      </c>
      <c r="G52" s="6">
        <v>145</v>
      </c>
      <c r="H52" s="6">
        <v>119</v>
      </c>
      <c r="I52" s="6">
        <v>25</v>
      </c>
      <c r="J52" s="6">
        <v>445</v>
      </c>
      <c r="K52" s="6">
        <v>145</v>
      </c>
      <c r="L52" s="6">
        <v>157</v>
      </c>
      <c r="M52" s="6">
        <v>27</v>
      </c>
      <c r="N52" s="6">
        <v>445</v>
      </c>
      <c r="O52" s="6">
        <v>135</v>
      </c>
      <c r="P52" s="6">
        <v>172</v>
      </c>
      <c r="Q52" s="6">
        <v>26</v>
      </c>
      <c r="R52" s="6">
        <v>508</v>
      </c>
      <c r="S52" s="6">
        <v>175</v>
      </c>
      <c r="T52" s="7">
        <v>192</v>
      </c>
      <c r="U52" s="7">
        <v>46</v>
      </c>
      <c r="V52" s="12">
        <f>U52/T52</f>
        <v>0.23958333333333334</v>
      </c>
      <c r="W52" s="12">
        <f>S52/R52</f>
        <v>0.34448818897637795</v>
      </c>
      <c r="X52" s="13">
        <f>V52-W52</f>
        <v>-0.10490485564304461</v>
      </c>
      <c r="Y52" s="8">
        <f>T52*X52</f>
        <v>-20.141732283464563</v>
      </c>
      <c r="Z52" s="12">
        <f>U52/S52</f>
        <v>0.26285714285714284</v>
      </c>
    </row>
    <row r="53" spans="1:26" ht="11">
      <c r="A53" s="7" t="s">
        <v>177</v>
      </c>
      <c r="B53" s="6">
        <v>208</v>
      </c>
      <c r="C53" s="6">
        <v>118</v>
      </c>
      <c r="D53" s="6">
        <v>29</v>
      </c>
      <c r="E53" s="6">
        <v>11</v>
      </c>
      <c r="F53" s="6">
        <v>236</v>
      </c>
      <c r="G53" s="6">
        <v>100</v>
      </c>
      <c r="H53" s="6">
        <v>63</v>
      </c>
      <c r="I53" s="6">
        <v>12</v>
      </c>
      <c r="J53" s="6">
        <v>268</v>
      </c>
      <c r="K53" s="6">
        <v>94</v>
      </c>
      <c r="L53" s="6">
        <v>101</v>
      </c>
      <c r="M53" s="6">
        <v>19</v>
      </c>
      <c r="N53" s="6">
        <v>272</v>
      </c>
      <c r="O53" s="6">
        <v>90</v>
      </c>
      <c r="P53" s="6">
        <v>145</v>
      </c>
      <c r="Q53" s="6">
        <v>36</v>
      </c>
      <c r="R53" s="6">
        <v>333</v>
      </c>
      <c r="S53" s="6">
        <v>119</v>
      </c>
      <c r="T53" s="7">
        <v>186</v>
      </c>
      <c r="U53" s="7">
        <v>31</v>
      </c>
      <c r="V53" s="12">
        <f>U53/T53</f>
        <v>0.16666666666666666</v>
      </c>
      <c r="W53" s="12">
        <f>S53/R53</f>
        <v>0.35735735735735735</v>
      </c>
      <c r="X53" s="13">
        <f>V53-W53</f>
        <v>-0.1906906906906907</v>
      </c>
      <c r="Y53" s="8">
        <f>T53*X53</f>
        <v>-35.468468468468473</v>
      </c>
      <c r="Z53" s="12">
        <f>U53/S53</f>
        <v>0.26050420168067229</v>
      </c>
    </row>
    <row r="54" spans="1:26" ht="11">
      <c r="A54" s="7" t="s">
        <v>118</v>
      </c>
      <c r="B54" s="6">
        <v>182</v>
      </c>
      <c r="C54" s="6">
        <v>42</v>
      </c>
      <c r="D54" s="6">
        <v>111</v>
      </c>
      <c r="E54" s="6">
        <v>15</v>
      </c>
      <c r="F54" s="6">
        <v>189</v>
      </c>
      <c r="G54" s="6">
        <v>37</v>
      </c>
      <c r="H54" s="6">
        <v>111</v>
      </c>
      <c r="I54" s="6">
        <v>21</v>
      </c>
      <c r="J54" s="6">
        <v>163</v>
      </c>
      <c r="K54" s="6">
        <v>34</v>
      </c>
      <c r="L54" s="6">
        <v>103</v>
      </c>
      <c r="M54" s="6">
        <v>12</v>
      </c>
      <c r="N54" s="6">
        <v>189</v>
      </c>
      <c r="O54" s="6">
        <v>34</v>
      </c>
      <c r="P54" s="6">
        <v>131</v>
      </c>
      <c r="Q54" s="6">
        <v>10</v>
      </c>
      <c r="R54" s="6">
        <v>195</v>
      </c>
      <c r="S54" s="6">
        <v>50</v>
      </c>
      <c r="T54" s="7">
        <v>137</v>
      </c>
      <c r="U54" s="7">
        <v>13</v>
      </c>
      <c r="V54" s="12">
        <f>U54/T54</f>
        <v>9.4890510948905105E-2</v>
      </c>
      <c r="W54" s="12">
        <f>S54/R54</f>
        <v>0.25641025641025639</v>
      </c>
      <c r="X54" s="13">
        <f>V54-W54</f>
        <v>-0.16151974546135128</v>
      </c>
      <c r="Y54" s="8">
        <f>T54*X54</f>
        <v>-22.128205128205124</v>
      </c>
      <c r="Z54" s="12">
        <f>U54/S54</f>
        <v>0.26</v>
      </c>
    </row>
    <row r="55" spans="1:26" ht="11">
      <c r="A55" s="7" t="s">
        <v>58</v>
      </c>
      <c r="B55" s="6">
        <v>26</v>
      </c>
      <c r="C55" s="6">
        <v>2</v>
      </c>
      <c r="D55" s="6">
        <v>0</v>
      </c>
      <c r="E55" s="6">
        <v>0</v>
      </c>
      <c r="F55" s="6">
        <v>27</v>
      </c>
      <c r="G55" s="6">
        <v>5</v>
      </c>
      <c r="H55" s="6">
        <v>2</v>
      </c>
      <c r="I55" s="6">
        <v>0</v>
      </c>
      <c r="J55" s="6">
        <v>29</v>
      </c>
      <c r="K55" s="6">
        <v>7</v>
      </c>
      <c r="L55" s="6">
        <v>3</v>
      </c>
      <c r="M55" s="6">
        <v>0</v>
      </c>
      <c r="N55" s="6">
        <v>28</v>
      </c>
      <c r="O55" s="6">
        <v>6</v>
      </c>
      <c r="P55" s="6">
        <v>1</v>
      </c>
      <c r="Q55" s="6">
        <v>0</v>
      </c>
      <c r="R55" s="6">
        <v>25</v>
      </c>
      <c r="S55" s="6">
        <v>4</v>
      </c>
      <c r="T55" s="7">
        <v>8</v>
      </c>
      <c r="U55" s="7">
        <v>1</v>
      </c>
      <c r="V55" s="12">
        <f>U55/T55</f>
        <v>0.125</v>
      </c>
      <c r="W55" s="12">
        <f>S55/R55</f>
        <v>0.16</v>
      </c>
      <c r="X55" s="13">
        <f>V55-W55</f>
        <v>-3.5000000000000003E-2</v>
      </c>
      <c r="Y55" s="8">
        <f>T55*X55</f>
        <v>-0.28000000000000003</v>
      </c>
      <c r="Z55" s="12">
        <f>U55/S55</f>
        <v>0.25</v>
      </c>
    </row>
    <row r="56" spans="1:26" ht="11">
      <c r="A56" s="7" t="s">
        <v>144</v>
      </c>
      <c r="B56" s="6">
        <v>105</v>
      </c>
      <c r="C56" s="6">
        <v>42</v>
      </c>
      <c r="D56" s="6">
        <v>19</v>
      </c>
      <c r="E56" s="6">
        <v>5</v>
      </c>
      <c r="F56" s="6">
        <v>137</v>
      </c>
      <c r="G56" s="6">
        <v>50</v>
      </c>
      <c r="H56" s="6">
        <v>25</v>
      </c>
      <c r="I56" s="6">
        <v>8</v>
      </c>
      <c r="J56" s="6">
        <v>190</v>
      </c>
      <c r="K56" s="6">
        <v>56</v>
      </c>
      <c r="L56" s="6">
        <v>79</v>
      </c>
      <c r="M56" s="6">
        <v>13</v>
      </c>
      <c r="N56" s="6">
        <v>216</v>
      </c>
      <c r="O56" s="6">
        <v>62</v>
      </c>
      <c r="P56" s="6">
        <v>109</v>
      </c>
      <c r="Q56" s="6">
        <v>14</v>
      </c>
      <c r="R56" s="6">
        <v>215</v>
      </c>
      <c r="S56" s="6">
        <v>77</v>
      </c>
      <c r="T56" s="7">
        <v>97</v>
      </c>
      <c r="U56" s="7">
        <v>19</v>
      </c>
      <c r="V56" s="12">
        <f>U56/T56</f>
        <v>0.19587628865979381</v>
      </c>
      <c r="W56" s="12">
        <f>S56/R56</f>
        <v>0.35813953488372091</v>
      </c>
      <c r="X56" s="13">
        <f>V56-W56</f>
        <v>-0.1622632462239271</v>
      </c>
      <c r="Y56" s="8">
        <f>T56*X56</f>
        <v>-15.739534883720928</v>
      </c>
      <c r="Z56" s="12">
        <f>U56/S56</f>
        <v>0.24675324675324675</v>
      </c>
    </row>
    <row r="57" spans="1:26" ht="11">
      <c r="A57" s="7" t="s">
        <v>134</v>
      </c>
      <c r="B57" s="6">
        <v>515</v>
      </c>
      <c r="C57" s="6">
        <v>106</v>
      </c>
      <c r="D57" s="6">
        <v>261</v>
      </c>
      <c r="E57" s="6">
        <v>30</v>
      </c>
      <c r="F57" s="6">
        <v>547</v>
      </c>
      <c r="G57" s="6">
        <v>120</v>
      </c>
      <c r="H57" s="6">
        <v>257</v>
      </c>
      <c r="I57" s="6">
        <v>29</v>
      </c>
      <c r="J57" s="6">
        <v>480</v>
      </c>
      <c r="K57" s="6">
        <v>124</v>
      </c>
      <c r="L57" s="6">
        <v>239</v>
      </c>
      <c r="M57" s="6">
        <v>30</v>
      </c>
      <c r="N57" s="6">
        <v>520</v>
      </c>
      <c r="O57" s="6">
        <v>154</v>
      </c>
      <c r="P57" s="6">
        <v>235</v>
      </c>
      <c r="Q57" s="6">
        <v>32</v>
      </c>
      <c r="R57" s="6">
        <v>482</v>
      </c>
      <c r="S57" s="6">
        <v>168</v>
      </c>
      <c r="T57" s="7">
        <v>208</v>
      </c>
      <c r="U57" s="7">
        <v>41</v>
      </c>
      <c r="V57" s="12">
        <f>U57/T57</f>
        <v>0.19711538461538461</v>
      </c>
      <c r="W57" s="12">
        <f>S57/R57</f>
        <v>0.34854771784232363</v>
      </c>
      <c r="X57" s="13">
        <f>V57-W57</f>
        <v>-0.15143233322693903</v>
      </c>
      <c r="Y57" s="8">
        <f>T57*X57</f>
        <v>-31.497925311203318</v>
      </c>
      <c r="Z57" s="12">
        <f>U57/S57</f>
        <v>0.24404761904761904</v>
      </c>
    </row>
    <row r="58" spans="1:26" ht="11">
      <c r="A58" s="7" t="s">
        <v>179</v>
      </c>
      <c r="B58" s="6">
        <v>87</v>
      </c>
      <c r="C58" s="6">
        <v>27</v>
      </c>
      <c r="D58" s="6">
        <v>20</v>
      </c>
      <c r="E58" s="6">
        <v>8</v>
      </c>
      <c r="F58" s="6">
        <v>119</v>
      </c>
      <c r="G58" s="6">
        <v>35</v>
      </c>
      <c r="H58" s="6">
        <v>34</v>
      </c>
      <c r="I58" s="6">
        <v>6</v>
      </c>
      <c r="J58" s="6">
        <v>156</v>
      </c>
      <c r="K58" s="6">
        <v>40</v>
      </c>
      <c r="L58" s="6">
        <v>58</v>
      </c>
      <c r="M58" s="6">
        <v>8</v>
      </c>
      <c r="N58" s="6">
        <v>122</v>
      </c>
      <c r="O58" s="6">
        <v>38</v>
      </c>
      <c r="P58" s="6">
        <v>48</v>
      </c>
      <c r="Q58" s="6">
        <v>9</v>
      </c>
      <c r="R58" s="6">
        <v>173</v>
      </c>
      <c r="S58" s="6">
        <v>50</v>
      </c>
      <c r="T58" s="7">
        <v>76</v>
      </c>
      <c r="U58" s="7">
        <v>12</v>
      </c>
      <c r="V58" s="12">
        <f>U58/T58</f>
        <v>0.15789473684210525</v>
      </c>
      <c r="W58" s="12">
        <f>S58/R58</f>
        <v>0.28901734104046245</v>
      </c>
      <c r="X58" s="13">
        <f>V58-W58</f>
        <v>-0.1311226041983572</v>
      </c>
      <c r="Y58" s="8">
        <f>T58*X58</f>
        <v>-9.9653179190751473</v>
      </c>
      <c r="Z58" s="12">
        <f>U58/S58</f>
        <v>0.24</v>
      </c>
    </row>
    <row r="59" spans="1:26" ht="11">
      <c r="A59" s="7" t="s">
        <v>136</v>
      </c>
      <c r="B59" s="6">
        <v>316</v>
      </c>
      <c r="C59" s="6">
        <v>56</v>
      </c>
      <c r="D59" s="6">
        <v>171</v>
      </c>
      <c r="E59" s="6">
        <v>14</v>
      </c>
      <c r="F59" s="6">
        <v>325</v>
      </c>
      <c r="G59" s="6">
        <v>51</v>
      </c>
      <c r="H59" s="6">
        <v>156</v>
      </c>
      <c r="I59" s="6">
        <v>8</v>
      </c>
      <c r="J59" s="6">
        <v>249</v>
      </c>
      <c r="K59" s="6">
        <v>39</v>
      </c>
      <c r="L59" s="6">
        <v>126</v>
      </c>
      <c r="M59" s="6">
        <v>6</v>
      </c>
      <c r="N59" s="6">
        <v>246</v>
      </c>
      <c r="O59" s="6">
        <v>24</v>
      </c>
      <c r="P59" s="6">
        <v>114</v>
      </c>
      <c r="Q59" s="6">
        <v>6</v>
      </c>
      <c r="R59" s="6">
        <v>139</v>
      </c>
      <c r="S59" s="6">
        <v>30</v>
      </c>
      <c r="T59" s="7">
        <v>68</v>
      </c>
      <c r="U59" s="7">
        <v>7</v>
      </c>
      <c r="V59" s="12">
        <f>U59/T59</f>
        <v>0.10294117647058823</v>
      </c>
      <c r="W59" s="12">
        <f>S59/R59</f>
        <v>0.21582733812949639</v>
      </c>
      <c r="X59" s="13">
        <f>V59-W59</f>
        <v>-0.11288616165890816</v>
      </c>
      <c r="Y59" s="8">
        <f>T59*X59</f>
        <v>-7.6762589928057547</v>
      </c>
      <c r="Z59" s="12">
        <f>U59/S59</f>
        <v>0.23333333333333334</v>
      </c>
    </row>
    <row r="60" spans="1:26" ht="11">
      <c r="A60" s="7" t="s">
        <v>195</v>
      </c>
      <c r="B60" s="6">
        <v>170</v>
      </c>
      <c r="C60" s="6">
        <v>62</v>
      </c>
      <c r="D60" s="6">
        <v>98</v>
      </c>
      <c r="E60" s="6">
        <v>29</v>
      </c>
      <c r="F60" s="6">
        <v>203</v>
      </c>
      <c r="G60" s="6">
        <v>55</v>
      </c>
      <c r="H60" s="6">
        <v>117</v>
      </c>
      <c r="I60" s="6">
        <v>13</v>
      </c>
      <c r="J60" s="6">
        <v>264</v>
      </c>
      <c r="K60" s="6">
        <v>49</v>
      </c>
      <c r="L60" s="6">
        <v>182</v>
      </c>
      <c r="M60" s="6">
        <v>15</v>
      </c>
      <c r="N60" s="6">
        <v>228</v>
      </c>
      <c r="O60" s="6">
        <v>44</v>
      </c>
      <c r="P60" s="6">
        <v>146</v>
      </c>
      <c r="Q60" s="6">
        <v>15</v>
      </c>
      <c r="R60" s="6">
        <v>203</v>
      </c>
      <c r="S60" s="6">
        <v>52</v>
      </c>
      <c r="T60" s="7">
        <v>133</v>
      </c>
      <c r="U60" s="7">
        <v>12</v>
      </c>
      <c r="V60" s="12">
        <f>U60/T60</f>
        <v>9.0225563909774431E-2</v>
      </c>
      <c r="W60" s="12">
        <f>S60/R60</f>
        <v>0.25615763546798032</v>
      </c>
      <c r="X60" s="13">
        <f>V60-W60</f>
        <v>-0.16593207155820588</v>
      </c>
      <c r="Y60" s="8">
        <f>T60*X60</f>
        <v>-22.068965517241384</v>
      </c>
      <c r="Z60" s="12">
        <f>U60/S60</f>
        <v>0.23076923076923078</v>
      </c>
    </row>
    <row r="61" spans="1:26" ht="11">
      <c r="A61" s="7" t="s">
        <v>35</v>
      </c>
      <c r="B61" s="6">
        <v>61</v>
      </c>
      <c r="C61" s="6">
        <v>25</v>
      </c>
      <c r="D61" s="6">
        <v>11</v>
      </c>
      <c r="E61" s="6">
        <v>3</v>
      </c>
      <c r="F61" s="6">
        <v>43</v>
      </c>
      <c r="G61" s="6">
        <v>11</v>
      </c>
      <c r="H61" s="6">
        <v>8</v>
      </c>
      <c r="I61" s="6">
        <v>2</v>
      </c>
      <c r="J61" s="6">
        <v>45</v>
      </c>
      <c r="K61" s="6">
        <v>15</v>
      </c>
      <c r="L61" s="6">
        <v>15</v>
      </c>
      <c r="M61" s="6">
        <v>3</v>
      </c>
      <c r="N61" s="6">
        <v>61</v>
      </c>
      <c r="O61" s="6">
        <v>15</v>
      </c>
      <c r="P61" s="6">
        <v>12</v>
      </c>
      <c r="Q61" s="6">
        <v>0</v>
      </c>
      <c r="R61" s="6">
        <v>56</v>
      </c>
      <c r="S61" s="6">
        <v>13</v>
      </c>
      <c r="T61" s="7">
        <v>14</v>
      </c>
      <c r="U61" s="7">
        <v>3</v>
      </c>
      <c r="V61" s="12">
        <f>U61/T61</f>
        <v>0.21428571428571427</v>
      </c>
      <c r="W61" s="12">
        <f>S61/R61</f>
        <v>0.23214285714285715</v>
      </c>
      <c r="X61" s="13">
        <f>V61-W61</f>
        <v>-1.7857142857142877E-2</v>
      </c>
      <c r="Y61" s="8">
        <f>T61*X61</f>
        <v>-0.25000000000000028</v>
      </c>
      <c r="Z61" s="12">
        <f>U61/S61</f>
        <v>0.23076923076923078</v>
      </c>
    </row>
    <row r="62" spans="1:26" ht="11">
      <c r="A62" s="7" t="s">
        <v>81</v>
      </c>
      <c r="B62" s="6">
        <v>64</v>
      </c>
      <c r="C62" s="6">
        <v>21</v>
      </c>
      <c r="D62" s="6">
        <v>13</v>
      </c>
      <c r="E62" s="6">
        <v>3</v>
      </c>
      <c r="F62" s="6">
        <v>70</v>
      </c>
      <c r="G62" s="6">
        <v>27</v>
      </c>
      <c r="H62" s="6">
        <v>18</v>
      </c>
      <c r="I62" s="6">
        <v>7</v>
      </c>
      <c r="J62" s="6">
        <v>57</v>
      </c>
      <c r="K62" s="6">
        <v>20</v>
      </c>
      <c r="L62" s="6">
        <v>19</v>
      </c>
      <c r="M62" s="6">
        <v>3</v>
      </c>
      <c r="N62" s="6">
        <v>47</v>
      </c>
      <c r="O62" s="6">
        <v>15</v>
      </c>
      <c r="P62" s="6">
        <v>14</v>
      </c>
      <c r="Q62" s="6">
        <v>4</v>
      </c>
      <c r="R62" s="6">
        <v>42</v>
      </c>
      <c r="S62" s="6">
        <v>22</v>
      </c>
      <c r="T62" s="7">
        <v>10</v>
      </c>
      <c r="U62" s="7">
        <v>5</v>
      </c>
      <c r="V62" s="12">
        <f>U62/T62</f>
        <v>0.5</v>
      </c>
      <c r="W62" s="12">
        <f>S62/R62</f>
        <v>0.52380952380952384</v>
      </c>
      <c r="X62" s="13">
        <f>V62-W62</f>
        <v>-2.3809523809523836E-2</v>
      </c>
      <c r="Y62" s="8">
        <f>T62*X62</f>
        <v>-0.23809523809523836</v>
      </c>
      <c r="Z62" s="12">
        <f>U62/S62</f>
        <v>0.22727272727272727</v>
      </c>
    </row>
    <row r="63" spans="1:26" ht="11">
      <c r="A63" s="7" t="s">
        <v>114</v>
      </c>
      <c r="B63" s="6">
        <v>55</v>
      </c>
      <c r="C63" s="6">
        <v>23</v>
      </c>
      <c r="D63" s="6">
        <v>6</v>
      </c>
      <c r="E63" s="6">
        <v>1</v>
      </c>
      <c r="F63" s="6">
        <v>63</v>
      </c>
      <c r="G63" s="6">
        <v>24</v>
      </c>
      <c r="H63" s="6">
        <v>16</v>
      </c>
      <c r="I63" s="6">
        <v>6</v>
      </c>
      <c r="J63" s="6">
        <v>79</v>
      </c>
      <c r="K63" s="6">
        <v>24</v>
      </c>
      <c r="L63" s="6">
        <v>20</v>
      </c>
      <c r="M63" s="6">
        <v>5</v>
      </c>
      <c r="N63" s="6">
        <v>98</v>
      </c>
      <c r="O63" s="6">
        <v>37</v>
      </c>
      <c r="P63" s="6">
        <v>24</v>
      </c>
      <c r="Q63" s="6">
        <v>7</v>
      </c>
      <c r="R63" s="6">
        <v>93</v>
      </c>
      <c r="S63" s="6">
        <v>45</v>
      </c>
      <c r="T63" s="7">
        <v>26</v>
      </c>
      <c r="U63" s="7">
        <v>10</v>
      </c>
      <c r="V63" s="12">
        <f>U63/T63</f>
        <v>0.38461538461538464</v>
      </c>
      <c r="W63" s="12">
        <f>S63/R63</f>
        <v>0.4838709677419355</v>
      </c>
      <c r="X63" s="13">
        <f>V63-W63</f>
        <v>-9.9255583126550861E-2</v>
      </c>
      <c r="Y63" s="8">
        <f>T63*X63</f>
        <v>-2.5806451612903225</v>
      </c>
      <c r="Z63" s="12">
        <f>U63/S63</f>
        <v>0.22222222222222221</v>
      </c>
    </row>
    <row r="64" spans="1:26" ht="11">
      <c r="A64" s="7" t="s">
        <v>90</v>
      </c>
      <c r="B64" s="6">
        <v>171</v>
      </c>
      <c r="C64" s="6">
        <v>43</v>
      </c>
      <c r="D64" s="6">
        <v>80</v>
      </c>
      <c r="E64" s="6">
        <v>13</v>
      </c>
      <c r="F64" s="6">
        <v>149</v>
      </c>
      <c r="G64" s="6">
        <v>47</v>
      </c>
      <c r="H64" s="6">
        <v>87</v>
      </c>
      <c r="I64" s="6">
        <v>12</v>
      </c>
      <c r="J64" s="6">
        <v>163</v>
      </c>
      <c r="K64" s="6">
        <v>41</v>
      </c>
      <c r="L64" s="6">
        <v>100</v>
      </c>
      <c r="M64" s="6">
        <v>14</v>
      </c>
      <c r="N64" s="6">
        <v>182</v>
      </c>
      <c r="O64" s="6">
        <v>43</v>
      </c>
      <c r="P64" s="6">
        <v>124</v>
      </c>
      <c r="Q64" s="6">
        <v>13</v>
      </c>
      <c r="R64" s="6">
        <v>259</v>
      </c>
      <c r="S64" s="6">
        <v>64</v>
      </c>
      <c r="T64" s="7">
        <v>180</v>
      </c>
      <c r="U64" s="7">
        <v>14</v>
      </c>
      <c r="V64" s="12">
        <f>U64/T64</f>
        <v>7.7777777777777779E-2</v>
      </c>
      <c r="W64" s="12">
        <f>S64/R64</f>
        <v>0.24710424710424711</v>
      </c>
      <c r="X64" s="13">
        <f>V64-W64</f>
        <v>-0.16932646932646933</v>
      </c>
      <c r="Y64" s="8">
        <f>T64*X64</f>
        <v>-30.478764478764479</v>
      </c>
      <c r="Z64" s="12">
        <f>U64/S64</f>
        <v>0.21875</v>
      </c>
    </row>
    <row r="65" spans="1:26" ht="11">
      <c r="A65" s="7" t="s">
        <v>176</v>
      </c>
      <c r="B65" s="6">
        <v>68</v>
      </c>
      <c r="C65" s="6">
        <v>37</v>
      </c>
      <c r="D65" s="6">
        <v>9</v>
      </c>
      <c r="E65" s="6">
        <v>4</v>
      </c>
      <c r="F65" s="6">
        <v>102</v>
      </c>
      <c r="G65" s="6">
        <v>38</v>
      </c>
      <c r="H65" s="6">
        <v>14</v>
      </c>
      <c r="I65" s="6">
        <v>1</v>
      </c>
      <c r="J65" s="6">
        <v>106</v>
      </c>
      <c r="K65" s="6">
        <v>48</v>
      </c>
      <c r="L65" s="6">
        <v>19</v>
      </c>
      <c r="M65" s="6">
        <v>2</v>
      </c>
      <c r="N65" s="6">
        <v>96</v>
      </c>
      <c r="O65" s="6">
        <v>45</v>
      </c>
      <c r="P65" s="6">
        <v>22</v>
      </c>
      <c r="Q65" s="6">
        <v>2</v>
      </c>
      <c r="R65" s="6">
        <v>96</v>
      </c>
      <c r="S65" s="6">
        <v>51</v>
      </c>
      <c r="T65" s="7">
        <v>31</v>
      </c>
      <c r="U65" s="7">
        <v>11</v>
      </c>
      <c r="V65" s="12">
        <f>U65/T65</f>
        <v>0.35483870967741937</v>
      </c>
      <c r="W65" s="12">
        <f>S65/R65</f>
        <v>0.53125</v>
      </c>
      <c r="X65" s="13">
        <f>V65-W65</f>
        <v>-0.17641129032258063</v>
      </c>
      <c r="Y65" s="8">
        <f>T65*X65</f>
        <v>-5.4687499999999991</v>
      </c>
      <c r="Z65" s="12">
        <f>U65/S65</f>
        <v>0.21568627450980393</v>
      </c>
    </row>
    <row r="66" spans="1:26" ht="11">
      <c r="A66" s="7" t="s">
        <v>132</v>
      </c>
      <c r="B66" s="6">
        <v>164</v>
      </c>
      <c r="C66" s="6">
        <v>89</v>
      </c>
      <c r="D66" s="6">
        <v>28</v>
      </c>
      <c r="E66" s="6">
        <v>11</v>
      </c>
      <c r="F66" s="6">
        <v>170</v>
      </c>
      <c r="G66" s="6">
        <v>82</v>
      </c>
      <c r="H66" s="6">
        <v>34</v>
      </c>
      <c r="I66" s="6">
        <v>10</v>
      </c>
      <c r="J66" s="6">
        <v>203</v>
      </c>
      <c r="K66" s="6">
        <v>99</v>
      </c>
      <c r="L66" s="6">
        <v>46</v>
      </c>
      <c r="M66" s="6">
        <v>6</v>
      </c>
      <c r="N66" s="6">
        <v>170</v>
      </c>
      <c r="O66" s="6">
        <v>101</v>
      </c>
      <c r="P66" s="6">
        <v>25</v>
      </c>
      <c r="Q66" s="6">
        <v>9</v>
      </c>
      <c r="R66" s="6">
        <v>181</v>
      </c>
      <c r="S66" s="6">
        <v>90</v>
      </c>
      <c r="T66" s="7">
        <v>54</v>
      </c>
      <c r="U66" s="7">
        <v>19</v>
      </c>
      <c r="V66" s="12">
        <f>U66/T66</f>
        <v>0.35185185185185186</v>
      </c>
      <c r="W66" s="12">
        <f>S66/R66</f>
        <v>0.49723756906077349</v>
      </c>
      <c r="X66" s="13">
        <f>V66-W66</f>
        <v>-0.14538571720892163</v>
      </c>
      <c r="Y66" s="8">
        <f>T66*X66</f>
        <v>-7.8508287292817682</v>
      </c>
      <c r="Z66" s="12">
        <f>U66/S66</f>
        <v>0.21111111111111111</v>
      </c>
    </row>
    <row r="67" spans="1:26" ht="11">
      <c r="A67" s="7" t="s">
        <v>168</v>
      </c>
      <c r="B67" s="6">
        <v>624</v>
      </c>
      <c r="C67" s="6">
        <v>116</v>
      </c>
      <c r="D67" s="6">
        <v>348</v>
      </c>
      <c r="E67" s="6">
        <v>44</v>
      </c>
      <c r="F67" s="6">
        <v>801</v>
      </c>
      <c r="G67" s="6">
        <v>107</v>
      </c>
      <c r="H67" s="6">
        <v>438</v>
      </c>
      <c r="I67" s="6">
        <v>29</v>
      </c>
      <c r="J67" s="6">
        <v>727</v>
      </c>
      <c r="K67" s="6">
        <v>120</v>
      </c>
      <c r="L67" s="6">
        <v>420</v>
      </c>
      <c r="M67" s="6">
        <v>30</v>
      </c>
      <c r="N67" s="6">
        <v>771</v>
      </c>
      <c r="O67" s="6">
        <v>109</v>
      </c>
      <c r="P67" s="6">
        <v>470</v>
      </c>
      <c r="Q67" s="6">
        <v>31</v>
      </c>
      <c r="R67" s="6">
        <v>734</v>
      </c>
      <c r="S67" s="6">
        <v>110</v>
      </c>
      <c r="T67" s="7">
        <v>428</v>
      </c>
      <c r="U67" s="7">
        <v>23</v>
      </c>
      <c r="V67" s="12">
        <f>U67/T67</f>
        <v>5.3738317757009345E-2</v>
      </c>
      <c r="W67" s="12">
        <f>S67/R67</f>
        <v>0.14986376021798364</v>
      </c>
      <c r="X67" s="13">
        <f>V67-W67</f>
        <v>-9.6125442460974292E-2</v>
      </c>
      <c r="Y67" s="8">
        <f>T67*X67</f>
        <v>-41.141689373296998</v>
      </c>
      <c r="Z67" s="12">
        <f>U67/S67</f>
        <v>0.20909090909090908</v>
      </c>
    </row>
    <row r="68" spans="1:26" ht="11">
      <c r="A68" s="7" t="s">
        <v>156</v>
      </c>
      <c r="B68" s="6">
        <v>106</v>
      </c>
      <c r="C68" s="6">
        <v>45</v>
      </c>
      <c r="D68" s="6">
        <v>19</v>
      </c>
      <c r="E68" s="6">
        <v>2</v>
      </c>
      <c r="F68" s="6">
        <v>138</v>
      </c>
      <c r="G68" s="6">
        <v>41</v>
      </c>
      <c r="H68" s="6">
        <v>32</v>
      </c>
      <c r="I68" s="6">
        <v>4</v>
      </c>
      <c r="J68" s="6">
        <v>91</v>
      </c>
      <c r="K68" s="6">
        <v>23</v>
      </c>
      <c r="L68" s="6">
        <v>25</v>
      </c>
      <c r="M68" s="6">
        <v>2</v>
      </c>
      <c r="N68" s="6">
        <v>87</v>
      </c>
      <c r="O68" s="6">
        <v>18</v>
      </c>
      <c r="P68" s="6">
        <v>28</v>
      </c>
      <c r="Q68" s="6">
        <v>4</v>
      </c>
      <c r="R68" s="6">
        <v>59</v>
      </c>
      <c r="S68" s="6">
        <v>20</v>
      </c>
      <c r="T68" s="7">
        <v>21</v>
      </c>
      <c r="U68" s="7">
        <v>4</v>
      </c>
      <c r="V68" s="12">
        <f>U68/T68</f>
        <v>0.19047619047619047</v>
      </c>
      <c r="W68" s="12">
        <f>S68/R68</f>
        <v>0.33898305084745761</v>
      </c>
      <c r="X68" s="13">
        <f>V68-W68</f>
        <v>-0.14850686037126715</v>
      </c>
      <c r="Y68" s="8">
        <f>T68*X68</f>
        <v>-3.1186440677966099</v>
      </c>
      <c r="Z68" s="12">
        <f>U68/S68</f>
        <v>0.2</v>
      </c>
    </row>
    <row r="69" spans="1:26" ht="11">
      <c r="A69" s="7" t="s">
        <v>170</v>
      </c>
      <c r="B69" s="6">
        <v>57</v>
      </c>
      <c r="C69" s="6">
        <v>6</v>
      </c>
      <c r="D69" s="6">
        <v>35</v>
      </c>
      <c r="E69" s="6">
        <v>2</v>
      </c>
      <c r="F69" s="6">
        <v>42</v>
      </c>
      <c r="G69" s="6">
        <v>5</v>
      </c>
      <c r="H69" s="6">
        <v>16</v>
      </c>
      <c r="I69" s="6">
        <v>1</v>
      </c>
      <c r="J69" s="6">
        <v>65</v>
      </c>
      <c r="K69" s="6">
        <v>7</v>
      </c>
      <c r="L69" s="6">
        <v>31</v>
      </c>
      <c r="M69" s="6">
        <v>0</v>
      </c>
      <c r="N69" s="6">
        <v>42</v>
      </c>
      <c r="O69" s="6">
        <v>11</v>
      </c>
      <c r="P69" s="6">
        <v>16</v>
      </c>
      <c r="Q69" s="6">
        <v>3</v>
      </c>
      <c r="R69" s="6">
        <v>33</v>
      </c>
      <c r="S69" s="6">
        <v>5</v>
      </c>
      <c r="T69" s="7">
        <v>18</v>
      </c>
      <c r="U69" s="7">
        <v>1</v>
      </c>
      <c r="V69" s="12">
        <f>U69/T69</f>
        <v>5.5555555555555552E-2</v>
      </c>
      <c r="W69" s="12">
        <f>S69/R69</f>
        <v>0.15151515151515152</v>
      </c>
      <c r="X69" s="13">
        <f>V69-W69</f>
        <v>-9.5959595959595967E-2</v>
      </c>
      <c r="Y69" s="8">
        <f>T69*X69</f>
        <v>-1.7272727272727275</v>
      </c>
      <c r="Z69" s="12">
        <f>U69/S69</f>
        <v>0.2</v>
      </c>
    </row>
    <row r="70" spans="1:26" ht="11">
      <c r="A70" s="7" t="s">
        <v>167</v>
      </c>
      <c r="B70" s="6">
        <v>255</v>
      </c>
      <c r="C70" s="6">
        <v>38</v>
      </c>
      <c r="D70" s="6">
        <v>156</v>
      </c>
      <c r="E70" s="6">
        <v>16</v>
      </c>
      <c r="F70" s="6">
        <v>211</v>
      </c>
      <c r="G70" s="6">
        <v>49</v>
      </c>
      <c r="H70" s="6">
        <v>118</v>
      </c>
      <c r="I70" s="6">
        <v>11</v>
      </c>
      <c r="J70" s="6">
        <v>234</v>
      </c>
      <c r="K70" s="6">
        <v>39</v>
      </c>
      <c r="L70" s="6">
        <v>121</v>
      </c>
      <c r="M70" s="6">
        <v>9</v>
      </c>
      <c r="N70" s="6">
        <v>206</v>
      </c>
      <c r="O70" s="6">
        <v>41</v>
      </c>
      <c r="P70" s="6">
        <v>123</v>
      </c>
      <c r="Q70" s="6">
        <v>12</v>
      </c>
      <c r="R70" s="6">
        <v>130</v>
      </c>
      <c r="S70" s="6">
        <v>37</v>
      </c>
      <c r="T70" s="7">
        <v>77</v>
      </c>
      <c r="U70" s="7">
        <v>7</v>
      </c>
      <c r="V70" s="12">
        <f>U70/T70</f>
        <v>9.0909090909090912E-2</v>
      </c>
      <c r="W70" s="12">
        <f>S70/R70</f>
        <v>0.2846153846153846</v>
      </c>
      <c r="X70" s="13">
        <f>V70-W70</f>
        <v>-0.19370629370629369</v>
      </c>
      <c r="Y70" s="8">
        <f>T70*X70</f>
        <v>-14.915384615384614</v>
      </c>
      <c r="Z70" s="12">
        <f>U70/S70</f>
        <v>0.1891891891891892</v>
      </c>
    </row>
    <row r="71" spans="1:26" ht="11">
      <c r="A71" s="7" t="s">
        <v>96</v>
      </c>
      <c r="B71" s="6">
        <v>58</v>
      </c>
      <c r="C71" s="6">
        <v>18</v>
      </c>
      <c r="D71" s="6">
        <v>15</v>
      </c>
      <c r="E71" s="6">
        <v>1</v>
      </c>
      <c r="F71" s="6">
        <v>45</v>
      </c>
      <c r="G71" s="6">
        <v>21</v>
      </c>
      <c r="H71" s="6">
        <v>12</v>
      </c>
      <c r="I71" s="6">
        <v>6</v>
      </c>
      <c r="J71" s="6">
        <v>63</v>
      </c>
      <c r="K71" s="6">
        <v>28</v>
      </c>
      <c r="L71" s="6">
        <v>14</v>
      </c>
      <c r="M71" s="6">
        <v>2</v>
      </c>
      <c r="N71" s="6">
        <v>38</v>
      </c>
      <c r="O71" s="6">
        <v>23</v>
      </c>
      <c r="P71" s="6">
        <v>6</v>
      </c>
      <c r="Q71" s="6">
        <v>2</v>
      </c>
      <c r="R71" s="6">
        <v>33</v>
      </c>
      <c r="S71" s="6">
        <v>16</v>
      </c>
      <c r="T71" s="7">
        <v>10</v>
      </c>
      <c r="U71" s="7">
        <v>3</v>
      </c>
      <c r="V71" s="12">
        <f>U71/T71</f>
        <v>0.3</v>
      </c>
      <c r="W71" s="12">
        <f>S71/R71</f>
        <v>0.48484848484848486</v>
      </c>
      <c r="X71" s="13">
        <f>V71-W71</f>
        <v>-0.18484848484848487</v>
      </c>
      <c r="Y71" s="8">
        <f>T71*X71</f>
        <v>-1.8484848484848486</v>
      </c>
      <c r="Z71" s="12">
        <f>U71/S71</f>
        <v>0.1875</v>
      </c>
    </row>
    <row r="72" spans="1:26" ht="11">
      <c r="A72" s="7" t="s">
        <v>211</v>
      </c>
      <c r="B72" s="6">
        <v>0</v>
      </c>
      <c r="C72" s="6">
        <v>0</v>
      </c>
      <c r="D72" s="6">
        <v>0</v>
      </c>
      <c r="E72" s="6">
        <v>0</v>
      </c>
      <c r="F72" s="6">
        <v>297</v>
      </c>
      <c r="G72" s="6">
        <v>46</v>
      </c>
      <c r="H72" s="6">
        <v>137</v>
      </c>
      <c r="I72" s="6">
        <v>11</v>
      </c>
      <c r="J72" s="6">
        <v>347</v>
      </c>
      <c r="K72" s="6">
        <v>36</v>
      </c>
      <c r="L72" s="6">
        <v>174</v>
      </c>
      <c r="M72" s="6">
        <v>9</v>
      </c>
      <c r="N72" s="6">
        <v>424</v>
      </c>
      <c r="O72" s="6">
        <v>36</v>
      </c>
      <c r="P72" s="6">
        <v>267</v>
      </c>
      <c r="Q72" s="6">
        <v>6</v>
      </c>
      <c r="R72" s="6">
        <v>512</v>
      </c>
      <c r="S72" s="6">
        <v>55</v>
      </c>
      <c r="T72" s="7">
        <v>274</v>
      </c>
      <c r="U72" s="7">
        <v>10</v>
      </c>
      <c r="V72" s="12">
        <f>U72/T72</f>
        <v>3.6496350364963501E-2</v>
      </c>
      <c r="W72" s="12">
        <f>S72/R72</f>
        <v>0.107421875</v>
      </c>
      <c r="X72" s="13">
        <f>V72-W72</f>
        <v>-7.0925524635036499E-2</v>
      </c>
      <c r="Y72" s="8">
        <f>T72*X72</f>
        <v>-19.43359375</v>
      </c>
      <c r="Z72" s="12">
        <f>U72/S72</f>
        <v>0.18181818181818182</v>
      </c>
    </row>
    <row r="73" spans="1:26" ht="11">
      <c r="A73" s="7" t="s">
        <v>162</v>
      </c>
      <c r="B73" s="6">
        <v>662</v>
      </c>
      <c r="C73" s="6">
        <v>153</v>
      </c>
      <c r="D73" s="6">
        <v>313</v>
      </c>
      <c r="E73" s="6">
        <v>30</v>
      </c>
      <c r="F73" s="6">
        <v>713</v>
      </c>
      <c r="G73" s="6">
        <v>183</v>
      </c>
      <c r="H73" s="6">
        <v>280</v>
      </c>
      <c r="I73" s="6">
        <v>18</v>
      </c>
      <c r="J73" s="6">
        <v>685</v>
      </c>
      <c r="K73" s="6">
        <v>157</v>
      </c>
      <c r="L73" s="6">
        <v>319</v>
      </c>
      <c r="M73" s="6">
        <v>29</v>
      </c>
      <c r="N73" s="6">
        <v>842</v>
      </c>
      <c r="O73" s="6">
        <v>187</v>
      </c>
      <c r="P73" s="6">
        <v>374</v>
      </c>
      <c r="Q73" s="6">
        <v>36</v>
      </c>
      <c r="R73" s="6">
        <v>1137</v>
      </c>
      <c r="S73" s="6">
        <v>227</v>
      </c>
      <c r="T73" s="7">
        <v>540</v>
      </c>
      <c r="U73" s="7">
        <v>40</v>
      </c>
      <c r="V73" s="12">
        <f>U73/T73</f>
        <v>7.407407407407407E-2</v>
      </c>
      <c r="W73" s="12">
        <f>S73/R73</f>
        <v>0.19964819700967459</v>
      </c>
      <c r="X73" s="13">
        <f>V73-W73</f>
        <v>-0.12557412293560052</v>
      </c>
      <c r="Y73" s="8">
        <f>T73*X73</f>
        <v>-67.810026385224276</v>
      </c>
      <c r="Z73" s="12">
        <f>U73/S73</f>
        <v>0.1762114537444934</v>
      </c>
    </row>
    <row r="74" spans="1:26" ht="11">
      <c r="A74" s="7" t="s">
        <v>150</v>
      </c>
      <c r="B74" s="6">
        <v>91</v>
      </c>
      <c r="C74" s="6">
        <v>28</v>
      </c>
      <c r="D74" s="6">
        <v>13</v>
      </c>
      <c r="E74" s="6">
        <v>4</v>
      </c>
      <c r="F74" s="6">
        <v>140</v>
      </c>
      <c r="G74" s="6">
        <v>33</v>
      </c>
      <c r="H74" s="6">
        <v>11</v>
      </c>
      <c r="I74" s="6">
        <v>0</v>
      </c>
      <c r="J74" s="6">
        <v>100</v>
      </c>
      <c r="K74" s="6">
        <v>30</v>
      </c>
      <c r="L74" s="6">
        <v>19</v>
      </c>
      <c r="M74" s="6">
        <v>3</v>
      </c>
      <c r="N74" s="6">
        <v>99</v>
      </c>
      <c r="O74" s="6">
        <v>35</v>
      </c>
      <c r="P74" s="6">
        <v>13</v>
      </c>
      <c r="Q74" s="6">
        <v>4</v>
      </c>
      <c r="R74" s="6">
        <v>99</v>
      </c>
      <c r="S74" s="6">
        <v>46</v>
      </c>
      <c r="T74" s="7">
        <v>19</v>
      </c>
      <c r="U74" s="7">
        <v>8</v>
      </c>
      <c r="V74" s="12">
        <f>U74/T74</f>
        <v>0.42105263157894735</v>
      </c>
      <c r="W74" s="12">
        <f>S74/R74</f>
        <v>0.46464646464646464</v>
      </c>
      <c r="X74" s="13">
        <f>V74-W74</f>
        <v>-4.3593833067517296E-2</v>
      </c>
      <c r="Y74" s="8">
        <f>T74*X74</f>
        <v>-0.82828282828282862</v>
      </c>
      <c r="Z74" s="12">
        <f>U74/S74</f>
        <v>0.17391304347826086</v>
      </c>
    </row>
    <row r="75" spans="1:26" ht="11">
      <c r="A75" s="7" t="s">
        <v>151</v>
      </c>
      <c r="B75" s="6">
        <v>187</v>
      </c>
      <c r="C75" s="6">
        <v>42</v>
      </c>
      <c r="D75" s="6">
        <v>24</v>
      </c>
      <c r="E75" s="6">
        <v>2</v>
      </c>
      <c r="F75" s="6">
        <v>155</v>
      </c>
      <c r="G75" s="6">
        <v>47</v>
      </c>
      <c r="H75" s="6">
        <v>25</v>
      </c>
      <c r="I75" s="6">
        <v>0</v>
      </c>
      <c r="J75" s="6">
        <v>143</v>
      </c>
      <c r="K75" s="6">
        <v>35</v>
      </c>
      <c r="L75" s="6">
        <v>23</v>
      </c>
      <c r="M75" s="6">
        <v>0</v>
      </c>
      <c r="N75" s="6">
        <v>121</v>
      </c>
      <c r="O75" s="6">
        <v>21</v>
      </c>
      <c r="P75" s="6">
        <v>29</v>
      </c>
      <c r="Q75" s="6">
        <v>2</v>
      </c>
      <c r="R75" s="6">
        <v>95</v>
      </c>
      <c r="S75" s="6">
        <v>23</v>
      </c>
      <c r="T75" s="7">
        <v>23</v>
      </c>
      <c r="U75" s="7">
        <v>4</v>
      </c>
      <c r="V75" s="12">
        <f>U75/T75</f>
        <v>0.17391304347826086</v>
      </c>
      <c r="W75" s="12">
        <f>S75/R75</f>
        <v>0.24210526315789474</v>
      </c>
      <c r="X75" s="13">
        <f>V75-W75</f>
        <v>-6.8192219679633875E-2</v>
      </c>
      <c r="Y75" s="8">
        <f>T75*X75</f>
        <v>-1.5684210526315792</v>
      </c>
      <c r="Z75" s="12">
        <f>U75/S75</f>
        <v>0.17391304347826086</v>
      </c>
    </row>
    <row r="76" spans="1:26" ht="11">
      <c r="A76" s="7" t="s">
        <v>125</v>
      </c>
      <c r="B76" s="6">
        <v>63</v>
      </c>
      <c r="C76" s="6">
        <v>27</v>
      </c>
      <c r="D76" s="6">
        <v>25</v>
      </c>
      <c r="E76" s="6">
        <v>5</v>
      </c>
      <c r="F76" s="6">
        <v>51</v>
      </c>
      <c r="G76" s="6">
        <v>25</v>
      </c>
      <c r="H76" s="6">
        <v>22</v>
      </c>
      <c r="I76" s="6">
        <v>5</v>
      </c>
      <c r="J76" s="6">
        <v>60</v>
      </c>
      <c r="K76" s="6">
        <v>28</v>
      </c>
      <c r="L76" s="6">
        <v>29</v>
      </c>
      <c r="M76" s="6">
        <v>4</v>
      </c>
      <c r="N76" s="6">
        <v>76</v>
      </c>
      <c r="O76" s="6">
        <v>28</v>
      </c>
      <c r="P76" s="6">
        <v>35</v>
      </c>
      <c r="Q76" s="6">
        <v>4</v>
      </c>
      <c r="R76" s="6">
        <v>53</v>
      </c>
      <c r="S76" s="6">
        <v>18</v>
      </c>
      <c r="T76" s="7">
        <v>30</v>
      </c>
      <c r="U76" s="7">
        <v>3</v>
      </c>
      <c r="V76" s="12">
        <f>U76/T76</f>
        <v>0.1</v>
      </c>
      <c r="W76" s="12">
        <f>S76/R76</f>
        <v>0.33962264150943394</v>
      </c>
      <c r="X76" s="13">
        <f>V76-W76</f>
        <v>-0.23962264150943394</v>
      </c>
      <c r="Y76" s="8">
        <f>T76*X76</f>
        <v>-7.1886792452830184</v>
      </c>
      <c r="Z76" s="12">
        <f>U76/S76</f>
        <v>0.16666666666666666</v>
      </c>
    </row>
    <row r="77" spans="1:26" ht="11">
      <c r="A77" s="7" t="s">
        <v>52</v>
      </c>
      <c r="B77" s="6">
        <v>65</v>
      </c>
      <c r="C77" s="6">
        <v>15</v>
      </c>
      <c r="D77" s="6">
        <v>12</v>
      </c>
      <c r="E77" s="6">
        <v>0</v>
      </c>
      <c r="F77" s="6">
        <v>56</v>
      </c>
      <c r="G77" s="6">
        <v>21</v>
      </c>
      <c r="H77" s="6">
        <v>7</v>
      </c>
      <c r="I77" s="6">
        <v>1</v>
      </c>
      <c r="J77" s="6">
        <v>74</v>
      </c>
      <c r="K77" s="6">
        <v>11</v>
      </c>
      <c r="L77" s="6">
        <v>10</v>
      </c>
      <c r="M77" s="6">
        <v>3</v>
      </c>
      <c r="N77" s="6">
        <v>114</v>
      </c>
      <c r="O77" s="6">
        <v>14</v>
      </c>
      <c r="P77" s="6">
        <v>25</v>
      </c>
      <c r="Q77" s="6">
        <v>2</v>
      </c>
      <c r="R77" s="6">
        <v>108</v>
      </c>
      <c r="S77" s="6">
        <v>18</v>
      </c>
      <c r="T77" s="7">
        <v>28</v>
      </c>
      <c r="U77" s="7">
        <v>3</v>
      </c>
      <c r="V77" s="12">
        <f>U77/T77</f>
        <v>0.10714285714285714</v>
      </c>
      <c r="W77" s="12">
        <f>S77/R77</f>
        <v>0.16666666666666666</v>
      </c>
      <c r="X77" s="13">
        <f>V77-W77</f>
        <v>-5.9523809523809521E-2</v>
      </c>
      <c r="Y77" s="8">
        <f>T77*X77</f>
        <v>-1.6666666666666665</v>
      </c>
      <c r="Z77" s="12">
        <f>U77/S77</f>
        <v>0.16666666666666666</v>
      </c>
    </row>
    <row r="78" spans="1:26" ht="11">
      <c r="A78" s="7" t="s">
        <v>112</v>
      </c>
      <c r="B78" s="6">
        <v>824</v>
      </c>
      <c r="C78" s="6">
        <v>72</v>
      </c>
      <c r="D78" s="6">
        <v>373</v>
      </c>
      <c r="E78" s="6">
        <v>11</v>
      </c>
      <c r="F78" s="6">
        <v>748</v>
      </c>
      <c r="G78" s="6">
        <v>63</v>
      </c>
      <c r="H78" s="6">
        <v>293</v>
      </c>
      <c r="I78" s="6">
        <v>11</v>
      </c>
      <c r="J78" s="6">
        <v>723</v>
      </c>
      <c r="K78" s="6">
        <v>68</v>
      </c>
      <c r="L78" s="6">
        <v>290</v>
      </c>
      <c r="M78" s="6">
        <v>11</v>
      </c>
      <c r="N78" s="6">
        <v>771</v>
      </c>
      <c r="O78" s="6">
        <v>57</v>
      </c>
      <c r="P78" s="6">
        <v>328</v>
      </c>
      <c r="Q78" s="6">
        <v>12</v>
      </c>
      <c r="R78" s="6">
        <v>789</v>
      </c>
      <c r="S78" s="6">
        <v>91</v>
      </c>
      <c r="T78" s="7">
        <v>295</v>
      </c>
      <c r="U78" s="7">
        <v>15</v>
      </c>
      <c r="V78" s="12">
        <f>U78/T78</f>
        <v>5.0847457627118647E-2</v>
      </c>
      <c r="W78" s="12">
        <f>S78/R78</f>
        <v>0.11533586818757921</v>
      </c>
      <c r="X78" s="13">
        <f>V78-W78</f>
        <v>-6.4488410560460563E-2</v>
      </c>
      <c r="Y78" s="8">
        <f>T78*X78</f>
        <v>-19.024081115335868</v>
      </c>
      <c r="Z78" s="12">
        <f>U78/S78</f>
        <v>0.16483516483516483</v>
      </c>
    </row>
    <row r="79" spans="1:26" ht="11">
      <c r="A79" s="7" t="s">
        <v>160</v>
      </c>
      <c r="B79" s="6">
        <v>0</v>
      </c>
      <c r="C79" s="6">
        <v>0</v>
      </c>
      <c r="D79" s="6">
        <v>0</v>
      </c>
      <c r="E79" s="6">
        <v>0</v>
      </c>
      <c r="F79" s="6">
        <v>1354</v>
      </c>
      <c r="G79" s="6">
        <v>151</v>
      </c>
      <c r="H79" s="6">
        <v>511</v>
      </c>
      <c r="I79" s="6">
        <v>29</v>
      </c>
      <c r="J79" s="6">
        <v>1213</v>
      </c>
      <c r="K79" s="6">
        <v>152</v>
      </c>
      <c r="L79" s="6">
        <v>520</v>
      </c>
      <c r="M79" s="6">
        <v>33</v>
      </c>
      <c r="N79" s="6">
        <v>1016</v>
      </c>
      <c r="O79" s="6">
        <v>149</v>
      </c>
      <c r="P79" s="6">
        <v>431</v>
      </c>
      <c r="Q79" s="6">
        <v>30</v>
      </c>
      <c r="R79" s="6">
        <v>1434</v>
      </c>
      <c r="S79" s="6">
        <v>193</v>
      </c>
      <c r="T79" s="7">
        <v>499</v>
      </c>
      <c r="U79" s="7">
        <v>31</v>
      </c>
      <c r="V79" s="12">
        <f>U79/T79</f>
        <v>6.2124248496993988E-2</v>
      </c>
      <c r="W79" s="12">
        <f>S79/R79</f>
        <v>0.13458856345885634</v>
      </c>
      <c r="X79" s="13">
        <f>V79-W79</f>
        <v>-7.2464314961862342E-2</v>
      </c>
      <c r="Y79" s="8">
        <f>T79*X79</f>
        <v>-36.159693165969308</v>
      </c>
      <c r="Z79" s="12">
        <f>U79/S79</f>
        <v>0.16062176165803108</v>
      </c>
    </row>
    <row r="80" spans="1:26" ht="11">
      <c r="A80" s="7" t="s">
        <v>159</v>
      </c>
      <c r="B80" s="6">
        <v>251</v>
      </c>
      <c r="C80" s="6">
        <v>71</v>
      </c>
      <c r="D80" s="6">
        <v>81</v>
      </c>
      <c r="E80" s="6">
        <v>5</v>
      </c>
      <c r="F80" s="6">
        <v>254</v>
      </c>
      <c r="G80" s="6">
        <v>66</v>
      </c>
      <c r="H80" s="6">
        <v>98</v>
      </c>
      <c r="I80" s="6">
        <v>10</v>
      </c>
      <c r="J80" s="6">
        <v>318</v>
      </c>
      <c r="K80" s="6">
        <v>71</v>
      </c>
      <c r="L80" s="6">
        <v>153</v>
      </c>
      <c r="M80" s="6">
        <v>10</v>
      </c>
      <c r="N80" s="6">
        <v>338</v>
      </c>
      <c r="O80" s="6">
        <v>75</v>
      </c>
      <c r="P80" s="6">
        <v>177</v>
      </c>
      <c r="Q80" s="6">
        <v>12</v>
      </c>
      <c r="R80" s="6">
        <v>370</v>
      </c>
      <c r="S80" s="6">
        <v>88</v>
      </c>
      <c r="T80" s="7">
        <v>225</v>
      </c>
      <c r="U80" s="7">
        <v>14</v>
      </c>
      <c r="V80" s="12">
        <f>U80/T80</f>
        <v>6.222222222222222E-2</v>
      </c>
      <c r="W80" s="12">
        <f>S80/R80</f>
        <v>0.23783783783783785</v>
      </c>
      <c r="X80" s="13">
        <f>V80-W80</f>
        <v>-0.17561561561561562</v>
      </c>
      <c r="Y80" s="8">
        <f>T80*X80</f>
        <v>-39.513513513513516</v>
      </c>
      <c r="Z80" s="12">
        <f>U80/S80</f>
        <v>0.15909090909090909</v>
      </c>
    </row>
    <row r="81" spans="1:26" ht="11">
      <c r="A81" s="7" t="s">
        <v>154</v>
      </c>
      <c r="B81" s="6">
        <v>0</v>
      </c>
      <c r="C81" s="6">
        <v>0</v>
      </c>
      <c r="D81" s="6">
        <v>0</v>
      </c>
      <c r="E81" s="6">
        <v>0</v>
      </c>
      <c r="F81" s="6">
        <v>0</v>
      </c>
      <c r="G81" s="6">
        <v>0</v>
      </c>
      <c r="H81" s="6">
        <v>0</v>
      </c>
      <c r="I81" s="6">
        <v>0</v>
      </c>
      <c r="J81" s="6">
        <v>558</v>
      </c>
      <c r="K81" s="6">
        <v>124</v>
      </c>
      <c r="L81" s="6">
        <v>126</v>
      </c>
      <c r="M81" s="6">
        <v>16</v>
      </c>
      <c r="N81" s="6">
        <v>539</v>
      </c>
      <c r="O81" s="6">
        <v>164</v>
      </c>
      <c r="P81" s="6">
        <v>134</v>
      </c>
      <c r="Q81" s="6">
        <v>18</v>
      </c>
      <c r="R81" s="6">
        <v>517</v>
      </c>
      <c r="S81" s="6">
        <v>177</v>
      </c>
      <c r="T81" s="7">
        <v>178</v>
      </c>
      <c r="U81" s="7">
        <v>28</v>
      </c>
      <c r="V81" s="12">
        <f>U81/T81</f>
        <v>0.15730337078651685</v>
      </c>
      <c r="W81" s="12">
        <f>S81/R81</f>
        <v>0.34235976789168276</v>
      </c>
      <c r="X81" s="13">
        <f>V81-W81</f>
        <v>-0.18505639710516592</v>
      </c>
      <c r="Y81" s="8">
        <f>T81*X81</f>
        <v>-32.940038684719532</v>
      </c>
      <c r="Z81" s="12">
        <f>U81/S81</f>
        <v>0.15819209039548024</v>
      </c>
    </row>
    <row r="82" spans="1:26" ht="11">
      <c r="A82" s="7" t="s">
        <v>171</v>
      </c>
      <c r="B82" s="6">
        <v>343</v>
      </c>
      <c r="C82" s="6">
        <v>71</v>
      </c>
      <c r="D82" s="6">
        <v>166</v>
      </c>
      <c r="E82" s="6">
        <v>4</v>
      </c>
      <c r="F82" s="6">
        <v>327</v>
      </c>
      <c r="G82" s="6">
        <v>70</v>
      </c>
      <c r="H82" s="6">
        <v>145</v>
      </c>
      <c r="I82" s="6">
        <v>6</v>
      </c>
      <c r="J82" s="6">
        <v>272</v>
      </c>
      <c r="K82" s="6">
        <v>72</v>
      </c>
      <c r="L82" s="6">
        <v>146</v>
      </c>
      <c r="M82" s="6">
        <v>12</v>
      </c>
      <c r="N82" s="6">
        <v>278</v>
      </c>
      <c r="O82" s="6">
        <v>79</v>
      </c>
      <c r="P82" s="6">
        <v>157</v>
      </c>
      <c r="Q82" s="6">
        <v>9</v>
      </c>
      <c r="R82" s="6">
        <v>247</v>
      </c>
      <c r="S82" s="6">
        <v>91</v>
      </c>
      <c r="T82" s="7">
        <v>135</v>
      </c>
      <c r="U82" s="7">
        <v>14</v>
      </c>
      <c r="V82" s="12">
        <f>U82/T82</f>
        <v>0.1037037037037037</v>
      </c>
      <c r="W82" s="12">
        <f>S82/R82</f>
        <v>0.36842105263157893</v>
      </c>
      <c r="X82" s="13">
        <f>V82-W82</f>
        <v>-0.26471734892787524</v>
      </c>
      <c r="Y82" s="8">
        <f>T82*X82</f>
        <v>-35.736842105263158</v>
      </c>
      <c r="Z82" s="12">
        <f>U82/S82</f>
        <v>0.15384615384615385</v>
      </c>
    </row>
    <row r="83" spans="1:26" ht="11">
      <c r="A83" s="7" t="s">
        <v>121</v>
      </c>
      <c r="B83" s="6">
        <v>0</v>
      </c>
      <c r="C83" s="6">
        <v>0</v>
      </c>
      <c r="D83" s="6">
        <v>0</v>
      </c>
      <c r="E83" s="6">
        <v>0</v>
      </c>
      <c r="F83" s="6">
        <v>0</v>
      </c>
      <c r="G83" s="6">
        <v>0</v>
      </c>
      <c r="H83" s="6">
        <v>0</v>
      </c>
      <c r="I83" s="6">
        <v>0</v>
      </c>
      <c r="J83" s="6">
        <v>0</v>
      </c>
      <c r="K83" s="6">
        <v>0</v>
      </c>
      <c r="L83" s="6">
        <v>0</v>
      </c>
      <c r="M83" s="6">
        <v>0</v>
      </c>
      <c r="N83" s="6">
        <v>47</v>
      </c>
      <c r="O83" s="6">
        <v>30</v>
      </c>
      <c r="P83" s="6">
        <v>5</v>
      </c>
      <c r="Q83" s="6">
        <v>4</v>
      </c>
      <c r="R83" s="6">
        <v>72</v>
      </c>
      <c r="S83" s="6">
        <v>33</v>
      </c>
      <c r="T83" s="7">
        <v>12</v>
      </c>
      <c r="U83" s="7">
        <v>5</v>
      </c>
      <c r="V83" s="12">
        <f>U83/T83</f>
        <v>0.41666666666666669</v>
      </c>
      <c r="W83" s="12">
        <f>S83/R83</f>
        <v>0.45833333333333331</v>
      </c>
      <c r="X83" s="13">
        <f>V83-W83</f>
        <v>-4.166666666666663E-2</v>
      </c>
      <c r="Y83" s="8">
        <f>T83*X83</f>
        <v>-0.49999999999999956</v>
      </c>
      <c r="Z83" s="12">
        <f>U83/S83</f>
        <v>0.15151515151515152</v>
      </c>
    </row>
    <row r="84" spans="1:26" ht="11">
      <c r="A84" s="7" t="s">
        <v>212</v>
      </c>
      <c r="B84" s="6">
        <v>99</v>
      </c>
      <c r="C84" s="6">
        <v>47</v>
      </c>
      <c r="D84" s="6">
        <v>15</v>
      </c>
      <c r="E84" s="6">
        <v>7</v>
      </c>
      <c r="F84" s="6">
        <v>118</v>
      </c>
      <c r="G84" s="6">
        <v>44</v>
      </c>
      <c r="H84" s="6">
        <v>24</v>
      </c>
      <c r="I84" s="6">
        <v>2</v>
      </c>
      <c r="J84" s="6">
        <v>116</v>
      </c>
      <c r="K84" s="6">
        <v>47</v>
      </c>
      <c r="L84" s="6">
        <v>23</v>
      </c>
      <c r="M84" s="6">
        <v>6</v>
      </c>
      <c r="N84" s="6">
        <v>117</v>
      </c>
      <c r="O84" s="6">
        <v>56</v>
      </c>
      <c r="P84" s="6">
        <v>23</v>
      </c>
      <c r="Q84" s="6">
        <v>8</v>
      </c>
      <c r="R84" s="6">
        <v>151</v>
      </c>
      <c r="S84" s="6">
        <v>67</v>
      </c>
      <c r="T84" s="7">
        <v>38</v>
      </c>
      <c r="U84" s="7">
        <v>10</v>
      </c>
      <c r="V84" s="12">
        <f>U84/T84</f>
        <v>0.26315789473684209</v>
      </c>
      <c r="W84" s="12">
        <f>S84/R84</f>
        <v>0.44370860927152317</v>
      </c>
      <c r="X84" s="13">
        <f>V84-W84</f>
        <v>-0.18055071453468108</v>
      </c>
      <c r="Y84" s="8">
        <f>T84*X84</f>
        <v>-6.8609271523178812</v>
      </c>
      <c r="Z84" s="12">
        <f>U84/S84</f>
        <v>0.14925373134328357</v>
      </c>
    </row>
    <row r="85" spans="1:26" ht="11">
      <c r="A85" s="7" t="s">
        <v>101</v>
      </c>
      <c r="B85" s="6">
        <v>199</v>
      </c>
      <c r="C85" s="6">
        <v>39</v>
      </c>
      <c r="D85" s="6">
        <v>138</v>
      </c>
      <c r="E85" s="6">
        <v>19</v>
      </c>
      <c r="F85" s="6">
        <v>334</v>
      </c>
      <c r="G85" s="6">
        <v>35</v>
      </c>
      <c r="H85" s="6">
        <v>246</v>
      </c>
      <c r="I85" s="6">
        <v>13</v>
      </c>
      <c r="J85" s="6">
        <v>168</v>
      </c>
      <c r="K85" s="6">
        <v>33</v>
      </c>
      <c r="L85" s="6">
        <v>126</v>
      </c>
      <c r="M85" s="6">
        <v>14</v>
      </c>
      <c r="N85" s="6">
        <v>157</v>
      </c>
      <c r="O85" s="6">
        <v>31</v>
      </c>
      <c r="P85" s="6">
        <v>120</v>
      </c>
      <c r="Q85" s="6">
        <v>11</v>
      </c>
      <c r="R85" s="6">
        <v>222</v>
      </c>
      <c r="S85" s="6">
        <v>34</v>
      </c>
      <c r="T85" s="7">
        <v>143</v>
      </c>
      <c r="U85" s="7">
        <v>5</v>
      </c>
      <c r="V85" s="12">
        <f>U85/T85</f>
        <v>3.4965034965034968E-2</v>
      </c>
      <c r="W85" s="12">
        <f>S85/R85</f>
        <v>0.15315315315315314</v>
      </c>
      <c r="X85" s="13">
        <f>V85-W85</f>
        <v>-0.11818811818811817</v>
      </c>
      <c r="Y85" s="8">
        <f>T85*X85</f>
        <v>-16.900900900900897</v>
      </c>
      <c r="Z85" s="12">
        <f>U85/S85</f>
        <v>0.14705882352941177</v>
      </c>
    </row>
    <row r="86" spans="1:26" ht="11">
      <c r="A86" s="7" t="s">
        <v>175</v>
      </c>
      <c r="B86" s="6">
        <v>59</v>
      </c>
      <c r="C86" s="6">
        <v>41</v>
      </c>
      <c r="D86" s="6">
        <v>3</v>
      </c>
      <c r="E86" s="6">
        <v>2</v>
      </c>
      <c r="F86" s="6">
        <v>59</v>
      </c>
      <c r="G86" s="6">
        <v>39</v>
      </c>
      <c r="H86" s="6">
        <v>8</v>
      </c>
      <c r="I86" s="6">
        <v>5</v>
      </c>
      <c r="J86" s="6">
        <v>68</v>
      </c>
      <c r="K86" s="6">
        <v>29</v>
      </c>
      <c r="L86" s="6">
        <v>9</v>
      </c>
      <c r="M86" s="6">
        <v>4</v>
      </c>
      <c r="N86" s="6">
        <v>56</v>
      </c>
      <c r="O86" s="6">
        <v>30</v>
      </c>
      <c r="P86" s="6">
        <v>10</v>
      </c>
      <c r="Q86" s="6">
        <v>1</v>
      </c>
      <c r="R86" s="6">
        <v>65</v>
      </c>
      <c r="S86" s="6">
        <v>35</v>
      </c>
      <c r="T86" s="7">
        <v>19</v>
      </c>
      <c r="U86" s="7">
        <v>5</v>
      </c>
      <c r="V86" s="12">
        <f>U86/T86</f>
        <v>0.26315789473684209</v>
      </c>
      <c r="W86" s="12">
        <f>S86/R86</f>
        <v>0.53846153846153844</v>
      </c>
      <c r="X86" s="13">
        <f>V86-W86</f>
        <v>-0.27530364372469635</v>
      </c>
      <c r="Y86" s="8">
        <f>T86*X86</f>
        <v>-5.2307692307692308</v>
      </c>
      <c r="Z86" s="12">
        <f>U86/S86</f>
        <v>0.14285714285714285</v>
      </c>
    </row>
    <row r="87" spans="1:26" ht="11">
      <c r="A87" s="7" t="s">
        <v>133</v>
      </c>
      <c r="B87" s="6">
        <v>20</v>
      </c>
      <c r="C87" s="6">
        <v>7</v>
      </c>
      <c r="D87" s="6">
        <v>7</v>
      </c>
      <c r="E87" s="6">
        <v>2</v>
      </c>
      <c r="F87" s="6">
        <v>21</v>
      </c>
      <c r="G87" s="6">
        <v>11</v>
      </c>
      <c r="H87" s="6">
        <v>7</v>
      </c>
      <c r="I87" s="6">
        <v>4</v>
      </c>
      <c r="J87" s="6">
        <v>25</v>
      </c>
      <c r="K87" s="6">
        <v>9</v>
      </c>
      <c r="L87" s="6">
        <v>8</v>
      </c>
      <c r="M87" s="6">
        <v>1</v>
      </c>
      <c r="N87" s="6">
        <v>35</v>
      </c>
      <c r="O87" s="6">
        <v>18</v>
      </c>
      <c r="P87" s="6">
        <v>13</v>
      </c>
      <c r="Q87" s="6">
        <v>7</v>
      </c>
      <c r="R87" s="6">
        <v>35</v>
      </c>
      <c r="S87" s="6">
        <v>14</v>
      </c>
      <c r="T87" s="7">
        <v>12</v>
      </c>
      <c r="U87" s="7">
        <v>2</v>
      </c>
      <c r="V87" s="12">
        <f>U87/T87</f>
        <v>0.16666666666666666</v>
      </c>
      <c r="W87" s="12">
        <f>S87/R87</f>
        <v>0.4</v>
      </c>
      <c r="X87" s="13">
        <f>V87-W87</f>
        <v>-0.23333333333333336</v>
      </c>
      <c r="Y87" s="8">
        <f>T87*X87</f>
        <v>-2.8000000000000003</v>
      </c>
      <c r="Z87" s="12">
        <f>U87/S87</f>
        <v>0.14285714285714285</v>
      </c>
    </row>
    <row r="88" spans="1:26" ht="11">
      <c r="A88" s="7" t="s">
        <v>34</v>
      </c>
      <c r="B88" s="6">
        <v>46</v>
      </c>
      <c r="C88" s="6">
        <v>7</v>
      </c>
      <c r="D88" s="6">
        <v>11</v>
      </c>
      <c r="E88" s="6">
        <v>1</v>
      </c>
      <c r="F88" s="6">
        <v>48</v>
      </c>
      <c r="G88" s="6">
        <v>11</v>
      </c>
      <c r="H88" s="6">
        <v>8</v>
      </c>
      <c r="I88" s="6">
        <v>3</v>
      </c>
      <c r="J88" s="6">
        <v>35</v>
      </c>
      <c r="K88" s="6">
        <v>11</v>
      </c>
      <c r="L88" s="6">
        <v>4</v>
      </c>
      <c r="M88" s="6">
        <v>1</v>
      </c>
      <c r="N88" s="6">
        <v>43</v>
      </c>
      <c r="O88" s="6">
        <v>15</v>
      </c>
      <c r="P88" s="6">
        <v>5</v>
      </c>
      <c r="Q88" s="6">
        <v>0</v>
      </c>
      <c r="R88" s="6">
        <v>40</v>
      </c>
      <c r="S88" s="6">
        <v>14</v>
      </c>
      <c r="T88" s="7">
        <v>7</v>
      </c>
      <c r="U88" s="7">
        <v>2</v>
      </c>
      <c r="V88" s="12">
        <f>U88/T88</f>
        <v>0.2857142857142857</v>
      </c>
      <c r="W88" s="12">
        <f>S88/R88</f>
        <v>0.35</v>
      </c>
      <c r="X88" s="13">
        <f>V88-W88</f>
        <v>-6.4285714285714279E-2</v>
      </c>
      <c r="Y88" s="8">
        <f>T88*X88</f>
        <v>-0.44999999999999996</v>
      </c>
      <c r="Z88" s="12">
        <f>U88/S88</f>
        <v>0.14285714285714285</v>
      </c>
    </row>
    <row r="89" spans="1:26" ht="11">
      <c r="A89" s="11" t="s">
        <v>135</v>
      </c>
      <c r="B89" s="18">
        <v>313</v>
      </c>
      <c r="C89" s="18">
        <v>58</v>
      </c>
      <c r="D89" s="18">
        <v>128</v>
      </c>
      <c r="E89" s="18">
        <v>10</v>
      </c>
      <c r="F89" s="18">
        <v>328</v>
      </c>
      <c r="G89" s="18">
        <v>60</v>
      </c>
      <c r="H89" s="18">
        <v>120</v>
      </c>
      <c r="I89" s="18">
        <v>8</v>
      </c>
      <c r="J89" s="18">
        <v>335</v>
      </c>
      <c r="K89" s="18">
        <v>66</v>
      </c>
      <c r="L89" s="18">
        <v>132</v>
      </c>
      <c r="M89" s="18">
        <v>8</v>
      </c>
      <c r="N89" s="18">
        <v>331</v>
      </c>
      <c r="O89" s="18">
        <v>79</v>
      </c>
      <c r="P89" s="18">
        <v>116</v>
      </c>
      <c r="Q89" s="18">
        <v>10</v>
      </c>
      <c r="R89" s="18">
        <v>257</v>
      </c>
      <c r="S89" s="18">
        <v>92</v>
      </c>
      <c r="T89" s="11">
        <v>88</v>
      </c>
      <c r="U89" s="11">
        <v>13</v>
      </c>
      <c r="V89" s="14">
        <f>U89/T89</f>
        <v>0.14772727272727273</v>
      </c>
      <c r="W89" s="14">
        <f>S89/R89</f>
        <v>0.35797665369649806</v>
      </c>
      <c r="X89" s="15">
        <f>V89-W89</f>
        <v>-0.21024938096922532</v>
      </c>
      <c r="Y89" s="16">
        <f>T89*X89</f>
        <v>-18.501945525291827</v>
      </c>
      <c r="Z89" s="12">
        <f>U89/S89</f>
        <v>0.14130434782608695</v>
      </c>
    </row>
    <row r="90" spans="1:26" ht="11">
      <c r="A90" s="7" t="s">
        <v>85</v>
      </c>
      <c r="B90" s="6">
        <v>143</v>
      </c>
      <c r="C90" s="6">
        <v>60</v>
      </c>
      <c r="D90" s="6">
        <v>37</v>
      </c>
      <c r="E90" s="6">
        <v>5</v>
      </c>
      <c r="F90" s="6">
        <v>164</v>
      </c>
      <c r="G90" s="6">
        <v>62</v>
      </c>
      <c r="H90" s="6">
        <v>33</v>
      </c>
      <c r="I90" s="6">
        <v>5</v>
      </c>
      <c r="J90" s="6">
        <v>147</v>
      </c>
      <c r="K90" s="6">
        <v>60</v>
      </c>
      <c r="L90" s="6">
        <v>32</v>
      </c>
      <c r="M90" s="6">
        <v>2</v>
      </c>
      <c r="N90" s="6">
        <v>135</v>
      </c>
      <c r="O90" s="6">
        <v>60</v>
      </c>
      <c r="P90" s="6">
        <v>36</v>
      </c>
      <c r="Q90" s="6">
        <v>6</v>
      </c>
      <c r="R90" s="6">
        <v>142</v>
      </c>
      <c r="S90" s="6">
        <v>71</v>
      </c>
      <c r="T90" s="7">
        <v>49</v>
      </c>
      <c r="U90" s="7">
        <v>10</v>
      </c>
      <c r="V90" s="12">
        <f>U90/T90</f>
        <v>0.20408163265306123</v>
      </c>
      <c r="W90" s="12">
        <f>S90/R90</f>
        <v>0.5</v>
      </c>
      <c r="X90" s="13">
        <f>V90-W90</f>
        <v>-0.29591836734693877</v>
      </c>
      <c r="Y90" s="8">
        <f>T90*X90</f>
        <v>-14.5</v>
      </c>
      <c r="Z90" s="12">
        <f>U90/S90</f>
        <v>0.14084507042253522</v>
      </c>
    </row>
    <row r="91" spans="1:26" ht="11">
      <c r="A91" s="7" t="s">
        <v>201</v>
      </c>
      <c r="B91" s="6">
        <v>115</v>
      </c>
      <c r="C91" s="6">
        <v>39</v>
      </c>
      <c r="D91" s="6">
        <v>22</v>
      </c>
      <c r="E91" s="6">
        <v>3</v>
      </c>
      <c r="F91" s="6">
        <v>100</v>
      </c>
      <c r="G91" s="6">
        <v>49</v>
      </c>
      <c r="H91" s="6">
        <v>18</v>
      </c>
      <c r="I91" s="6">
        <v>6</v>
      </c>
      <c r="J91" s="6">
        <v>123</v>
      </c>
      <c r="K91" s="6">
        <v>44</v>
      </c>
      <c r="L91" s="6">
        <v>32</v>
      </c>
      <c r="M91" s="6">
        <v>2</v>
      </c>
      <c r="N91" s="6">
        <v>133</v>
      </c>
      <c r="O91" s="6">
        <v>44</v>
      </c>
      <c r="P91" s="6">
        <v>66</v>
      </c>
      <c r="Q91" s="6">
        <v>16</v>
      </c>
      <c r="R91" s="6">
        <v>173</v>
      </c>
      <c r="S91" s="6">
        <v>57</v>
      </c>
      <c r="T91" s="7">
        <v>71</v>
      </c>
      <c r="U91" s="7">
        <v>8</v>
      </c>
      <c r="V91" s="12">
        <f>U91/T91</f>
        <v>0.11267605633802817</v>
      </c>
      <c r="W91" s="12">
        <f>S91/R91</f>
        <v>0.32947976878612717</v>
      </c>
      <c r="X91" s="13">
        <f>V91-W91</f>
        <v>-0.21680371244809898</v>
      </c>
      <c r="Y91" s="8">
        <f>T91*X91</f>
        <v>-15.393063583815028</v>
      </c>
      <c r="Z91" s="12">
        <f>U91/S91</f>
        <v>0.14035087719298245</v>
      </c>
    </row>
    <row r="92" spans="1:26" ht="11">
      <c r="A92" s="7" t="s">
        <v>120</v>
      </c>
      <c r="B92" s="6">
        <v>123</v>
      </c>
      <c r="C92" s="6">
        <v>37</v>
      </c>
      <c r="D92" s="6">
        <v>13</v>
      </c>
      <c r="E92" s="6">
        <v>0</v>
      </c>
      <c r="F92" s="6">
        <v>135</v>
      </c>
      <c r="G92" s="6">
        <v>32</v>
      </c>
      <c r="H92" s="6">
        <v>12</v>
      </c>
      <c r="I92" s="6">
        <v>0</v>
      </c>
      <c r="J92" s="6">
        <v>96</v>
      </c>
      <c r="K92" s="6">
        <v>26</v>
      </c>
      <c r="L92" s="6">
        <v>8</v>
      </c>
      <c r="M92" s="6">
        <v>3</v>
      </c>
      <c r="N92" s="6">
        <v>107</v>
      </c>
      <c r="O92" s="6">
        <v>29</v>
      </c>
      <c r="P92" s="6">
        <v>10</v>
      </c>
      <c r="Q92" s="6">
        <v>0</v>
      </c>
      <c r="R92" s="6">
        <v>90</v>
      </c>
      <c r="S92" s="6">
        <v>36</v>
      </c>
      <c r="T92" s="7">
        <v>19</v>
      </c>
      <c r="U92" s="7">
        <v>5</v>
      </c>
      <c r="V92" s="12">
        <f>U92/T92</f>
        <v>0.26315789473684209</v>
      </c>
      <c r="W92" s="12">
        <f>S92/R92</f>
        <v>0.4</v>
      </c>
      <c r="X92" s="13">
        <f>V92-W92</f>
        <v>-0.13684210526315793</v>
      </c>
      <c r="Y92" s="8">
        <f>T92*X92</f>
        <v>-2.6000000000000005</v>
      </c>
      <c r="Z92" s="12">
        <f>U92/S92</f>
        <v>0.1388888888888889</v>
      </c>
    </row>
    <row r="93" spans="1:26" ht="11">
      <c r="A93" s="7" t="s">
        <v>66</v>
      </c>
      <c r="B93" s="6">
        <v>62</v>
      </c>
      <c r="C93" s="6">
        <v>23</v>
      </c>
      <c r="D93" s="6">
        <v>3</v>
      </c>
      <c r="E93" s="6">
        <v>2</v>
      </c>
      <c r="F93" s="6">
        <v>73</v>
      </c>
      <c r="G93" s="6">
        <v>23</v>
      </c>
      <c r="H93" s="6">
        <v>6</v>
      </c>
      <c r="I93" s="6">
        <v>3</v>
      </c>
      <c r="J93" s="6">
        <v>69</v>
      </c>
      <c r="K93" s="6">
        <v>15</v>
      </c>
      <c r="L93" s="6">
        <v>10</v>
      </c>
      <c r="M93" s="6">
        <v>0</v>
      </c>
      <c r="N93" s="6">
        <v>66</v>
      </c>
      <c r="O93" s="6">
        <v>17</v>
      </c>
      <c r="P93" s="6">
        <v>9</v>
      </c>
      <c r="Q93" s="6">
        <v>1</v>
      </c>
      <c r="R93" s="6">
        <v>75</v>
      </c>
      <c r="S93" s="6">
        <v>29</v>
      </c>
      <c r="T93" s="7">
        <v>13</v>
      </c>
      <c r="U93" s="7">
        <v>4</v>
      </c>
      <c r="V93" s="12">
        <f>U93/T93</f>
        <v>0.30769230769230771</v>
      </c>
      <c r="W93" s="12">
        <f>S93/R93</f>
        <v>0.38666666666666666</v>
      </c>
      <c r="X93" s="13">
        <f>V93-W93</f>
        <v>-7.8974358974358949E-2</v>
      </c>
      <c r="Y93" s="8">
        <f>T93*X93</f>
        <v>-1.0266666666666664</v>
      </c>
      <c r="Z93" s="12">
        <f>U93/S93</f>
        <v>0.13793103448275862</v>
      </c>
    </row>
    <row r="94" spans="1:26" ht="11">
      <c r="A94" s="7" t="s">
        <v>44</v>
      </c>
      <c r="B94" s="6">
        <v>228</v>
      </c>
      <c r="C94" s="6">
        <v>22</v>
      </c>
      <c r="D94" s="6">
        <v>16</v>
      </c>
      <c r="E94" s="6">
        <v>2</v>
      </c>
      <c r="F94" s="6">
        <v>218</v>
      </c>
      <c r="G94" s="6">
        <v>23</v>
      </c>
      <c r="H94" s="6">
        <v>16</v>
      </c>
      <c r="I94" s="6">
        <v>0</v>
      </c>
      <c r="J94" s="6">
        <v>250</v>
      </c>
      <c r="K94" s="6">
        <v>22</v>
      </c>
      <c r="L94" s="6">
        <v>19</v>
      </c>
      <c r="M94" s="6">
        <v>1</v>
      </c>
      <c r="N94" s="6">
        <v>225</v>
      </c>
      <c r="O94" s="6">
        <v>14</v>
      </c>
      <c r="P94" s="6">
        <v>17</v>
      </c>
      <c r="Q94" s="6">
        <v>0</v>
      </c>
      <c r="R94" s="6">
        <v>183</v>
      </c>
      <c r="S94" s="6">
        <v>15</v>
      </c>
      <c r="T94" s="7">
        <v>18</v>
      </c>
      <c r="U94" s="7">
        <v>2</v>
      </c>
      <c r="V94" s="12">
        <f>U94/T94</f>
        <v>0.1111111111111111</v>
      </c>
      <c r="W94" s="12">
        <f>S94/R94</f>
        <v>8.1967213114754092E-2</v>
      </c>
      <c r="X94" s="13">
        <f>V94-W94</f>
        <v>2.9143897996357013E-2</v>
      </c>
      <c r="Y94" s="8">
        <f>T94*X94</f>
        <v>0.52459016393442626</v>
      </c>
      <c r="Z94" s="12">
        <f>U94/S94</f>
        <v>0.13333333333333333</v>
      </c>
    </row>
    <row r="95" spans="1:26" ht="11">
      <c r="A95" s="7" t="s">
        <v>86</v>
      </c>
      <c r="B95" s="6">
        <v>279</v>
      </c>
      <c r="C95" s="6">
        <v>135</v>
      </c>
      <c r="D95" s="6">
        <v>40</v>
      </c>
      <c r="E95" s="6">
        <v>14</v>
      </c>
      <c r="F95" s="6">
        <v>259</v>
      </c>
      <c r="G95" s="6">
        <v>94</v>
      </c>
      <c r="H95" s="6">
        <v>45</v>
      </c>
      <c r="I95" s="6">
        <v>10</v>
      </c>
      <c r="J95" s="6">
        <v>300</v>
      </c>
      <c r="K95" s="6">
        <v>106</v>
      </c>
      <c r="L95" s="6">
        <v>51</v>
      </c>
      <c r="M95" s="6">
        <v>12</v>
      </c>
      <c r="N95" s="6">
        <v>251</v>
      </c>
      <c r="O95" s="6">
        <v>103</v>
      </c>
      <c r="P95" s="6">
        <v>39</v>
      </c>
      <c r="Q95" s="6">
        <v>7</v>
      </c>
      <c r="R95" s="6">
        <v>231</v>
      </c>
      <c r="S95" s="6">
        <v>107</v>
      </c>
      <c r="T95" s="7">
        <v>60</v>
      </c>
      <c r="U95" s="7">
        <v>14</v>
      </c>
      <c r="V95" s="12">
        <f>U95/T95</f>
        <v>0.23333333333333334</v>
      </c>
      <c r="W95" s="12">
        <f>S95/R95</f>
        <v>0.46320346320346323</v>
      </c>
      <c r="X95" s="13">
        <f>V95-W95</f>
        <v>-0.22987012987012989</v>
      </c>
      <c r="Y95" s="8">
        <f>T95*X95</f>
        <v>-13.792207792207794</v>
      </c>
      <c r="Z95" s="12">
        <f>U95/S95</f>
        <v>0.13084112149532709</v>
      </c>
    </row>
    <row r="96" spans="1:26" ht="11">
      <c r="A96" s="7" t="s">
        <v>180</v>
      </c>
      <c r="B96" s="6">
        <v>229</v>
      </c>
      <c r="C96" s="6">
        <v>66</v>
      </c>
      <c r="D96" s="6">
        <v>48</v>
      </c>
      <c r="E96" s="6">
        <v>18</v>
      </c>
      <c r="F96" s="6">
        <v>247</v>
      </c>
      <c r="G96" s="6">
        <v>57</v>
      </c>
      <c r="H96" s="6">
        <v>77</v>
      </c>
      <c r="I96" s="6">
        <v>22</v>
      </c>
      <c r="J96" s="6">
        <v>381</v>
      </c>
      <c r="K96" s="6">
        <v>65</v>
      </c>
      <c r="L96" s="6">
        <v>168</v>
      </c>
      <c r="M96" s="6">
        <v>21</v>
      </c>
      <c r="N96" s="6">
        <v>333</v>
      </c>
      <c r="O96" s="6">
        <v>54</v>
      </c>
      <c r="P96" s="6">
        <v>115</v>
      </c>
      <c r="Q96" s="6">
        <v>9</v>
      </c>
      <c r="R96" s="6">
        <v>319</v>
      </c>
      <c r="S96" s="6">
        <v>62</v>
      </c>
      <c r="T96" s="7">
        <v>106</v>
      </c>
      <c r="U96" s="7">
        <v>8</v>
      </c>
      <c r="V96" s="12">
        <f>U96/T96</f>
        <v>7.5471698113207544E-2</v>
      </c>
      <c r="W96" s="12">
        <f>S96/R96</f>
        <v>0.19435736677115986</v>
      </c>
      <c r="X96" s="13">
        <f>V96-W96</f>
        <v>-0.11888566865795232</v>
      </c>
      <c r="Y96" s="8">
        <f>T96*X96</f>
        <v>-12.601880877742946</v>
      </c>
      <c r="Z96" s="12">
        <f>U96/S96</f>
        <v>0.12903225806451613</v>
      </c>
    </row>
    <row r="97" spans="1:26" ht="11">
      <c r="A97" s="7" t="s">
        <v>102</v>
      </c>
      <c r="B97" s="6">
        <v>85</v>
      </c>
      <c r="C97" s="6">
        <v>54</v>
      </c>
      <c r="D97" s="6">
        <v>7</v>
      </c>
      <c r="E97" s="6">
        <v>1</v>
      </c>
      <c r="F97" s="6">
        <v>111</v>
      </c>
      <c r="G97" s="6">
        <v>62</v>
      </c>
      <c r="H97" s="6">
        <v>7</v>
      </c>
      <c r="I97" s="6">
        <v>2</v>
      </c>
      <c r="J97" s="6">
        <v>98</v>
      </c>
      <c r="K97" s="6">
        <v>52</v>
      </c>
      <c r="L97" s="6">
        <v>14</v>
      </c>
      <c r="M97" s="6">
        <v>3</v>
      </c>
      <c r="N97" s="6">
        <v>103</v>
      </c>
      <c r="O97" s="6">
        <v>49</v>
      </c>
      <c r="P97" s="6">
        <v>18</v>
      </c>
      <c r="Q97" s="6">
        <v>6</v>
      </c>
      <c r="R97" s="6">
        <v>97</v>
      </c>
      <c r="S97" s="6">
        <v>64</v>
      </c>
      <c r="T97" s="7">
        <v>13</v>
      </c>
      <c r="U97" s="7">
        <v>8</v>
      </c>
      <c r="V97" s="12">
        <f>U97/T97</f>
        <v>0.61538461538461542</v>
      </c>
      <c r="W97" s="12">
        <f>S97/R97</f>
        <v>0.65979381443298968</v>
      </c>
      <c r="X97" s="13">
        <f>V97-W97</f>
        <v>-4.4409199048374259E-2</v>
      </c>
      <c r="Y97" s="8">
        <f>T97*X97</f>
        <v>-0.57731958762886537</v>
      </c>
      <c r="Z97" s="12">
        <f>U97/S97</f>
        <v>0.125</v>
      </c>
    </row>
    <row r="98" spans="1:26" ht="11">
      <c r="A98" s="7" t="s">
        <v>194</v>
      </c>
      <c r="B98" s="6">
        <v>176</v>
      </c>
      <c r="C98" s="6">
        <v>66</v>
      </c>
      <c r="D98" s="6">
        <v>32</v>
      </c>
      <c r="E98" s="6">
        <v>6</v>
      </c>
      <c r="F98" s="6">
        <v>200</v>
      </c>
      <c r="G98" s="6">
        <v>72</v>
      </c>
      <c r="H98" s="6">
        <v>58</v>
      </c>
      <c r="I98" s="6">
        <v>10</v>
      </c>
      <c r="J98" s="6">
        <v>218</v>
      </c>
      <c r="K98" s="6">
        <v>75</v>
      </c>
      <c r="L98" s="6">
        <v>70</v>
      </c>
      <c r="M98" s="6">
        <v>11</v>
      </c>
      <c r="N98" s="6">
        <v>202</v>
      </c>
      <c r="O98" s="6">
        <v>69</v>
      </c>
      <c r="P98" s="6">
        <v>54</v>
      </c>
      <c r="Q98" s="6">
        <v>12</v>
      </c>
      <c r="R98" s="6">
        <v>187</v>
      </c>
      <c r="S98" s="6">
        <v>88</v>
      </c>
      <c r="T98" s="7">
        <v>49</v>
      </c>
      <c r="U98" s="7">
        <v>11</v>
      </c>
      <c r="V98" s="12">
        <f>U98/T98</f>
        <v>0.22448979591836735</v>
      </c>
      <c r="W98" s="12">
        <f>S98/R98</f>
        <v>0.47058823529411764</v>
      </c>
      <c r="X98" s="13">
        <f>V98-W98</f>
        <v>-0.24609843937575029</v>
      </c>
      <c r="Y98" s="8">
        <f>T98*X98</f>
        <v>-12.058823529411764</v>
      </c>
      <c r="Z98" s="12">
        <f>U98/S98</f>
        <v>0.125</v>
      </c>
    </row>
    <row r="99" spans="1:26" ht="11">
      <c r="A99" s="7" t="s">
        <v>115</v>
      </c>
      <c r="B99" s="6">
        <v>23</v>
      </c>
      <c r="C99" s="6">
        <v>12</v>
      </c>
      <c r="D99" s="6">
        <v>4</v>
      </c>
      <c r="E99" s="6">
        <v>0</v>
      </c>
      <c r="F99" s="6">
        <v>21</v>
      </c>
      <c r="G99" s="6">
        <v>8</v>
      </c>
      <c r="H99" s="6">
        <v>1</v>
      </c>
      <c r="I99" s="6">
        <v>0</v>
      </c>
      <c r="J99" s="6">
        <v>22</v>
      </c>
      <c r="K99" s="6">
        <v>10</v>
      </c>
      <c r="L99" s="6">
        <v>6</v>
      </c>
      <c r="M99" s="6">
        <v>1</v>
      </c>
      <c r="N99" s="6">
        <v>26</v>
      </c>
      <c r="O99" s="6">
        <v>10</v>
      </c>
      <c r="P99" s="6">
        <v>7</v>
      </c>
      <c r="Q99" s="6">
        <v>3</v>
      </c>
      <c r="R99" s="6">
        <v>17</v>
      </c>
      <c r="S99" s="6">
        <v>8</v>
      </c>
      <c r="T99" s="7">
        <v>4</v>
      </c>
      <c r="U99" s="7">
        <v>1</v>
      </c>
      <c r="V99" s="12">
        <f>U99/T99</f>
        <v>0.25</v>
      </c>
      <c r="W99" s="12">
        <f>S99/R99</f>
        <v>0.47058823529411764</v>
      </c>
      <c r="X99" s="13">
        <f>V99-W99</f>
        <v>-0.22058823529411764</v>
      </c>
      <c r="Y99" s="8">
        <f>T99*X99</f>
        <v>-0.88235294117647056</v>
      </c>
      <c r="Z99" s="12">
        <f>U99/S99</f>
        <v>0.125</v>
      </c>
    </row>
    <row r="100" spans="1:26" ht="11">
      <c r="A100" s="7" t="s">
        <v>182</v>
      </c>
      <c r="B100" s="6">
        <v>140</v>
      </c>
      <c r="C100" s="6">
        <v>73</v>
      </c>
      <c r="D100" s="6">
        <v>19</v>
      </c>
      <c r="E100" s="6">
        <v>10</v>
      </c>
      <c r="F100" s="6">
        <v>202</v>
      </c>
      <c r="G100" s="6">
        <v>79</v>
      </c>
      <c r="H100" s="6">
        <v>19</v>
      </c>
      <c r="I100" s="6">
        <v>3</v>
      </c>
      <c r="J100" s="6">
        <v>187</v>
      </c>
      <c r="K100" s="6">
        <v>74</v>
      </c>
      <c r="L100" s="6">
        <v>22</v>
      </c>
      <c r="M100" s="6">
        <v>7</v>
      </c>
      <c r="N100" s="6">
        <v>192</v>
      </c>
      <c r="O100" s="6">
        <v>66</v>
      </c>
      <c r="P100" s="6">
        <v>23</v>
      </c>
      <c r="Q100" s="6">
        <v>4</v>
      </c>
      <c r="R100" s="6">
        <v>192</v>
      </c>
      <c r="S100" s="6">
        <v>74</v>
      </c>
      <c r="T100" s="7">
        <v>27</v>
      </c>
      <c r="U100" s="7">
        <v>9</v>
      </c>
      <c r="V100" s="12">
        <f>U100/T100</f>
        <v>0.33333333333333331</v>
      </c>
      <c r="W100" s="12">
        <f>S100/R100</f>
        <v>0.38541666666666669</v>
      </c>
      <c r="X100" s="13">
        <f>V100-W100</f>
        <v>-5.208333333333337E-2</v>
      </c>
      <c r="Y100" s="8">
        <f>T100*X100</f>
        <v>-1.4062500000000009</v>
      </c>
      <c r="Z100" s="12">
        <f>U100/S100</f>
        <v>0.12162162162162163</v>
      </c>
    </row>
    <row r="101" spans="1:26" ht="11">
      <c r="A101" s="7" t="s">
        <v>174</v>
      </c>
      <c r="B101" s="6">
        <v>150</v>
      </c>
      <c r="C101" s="6">
        <v>56</v>
      </c>
      <c r="D101" s="6">
        <v>16</v>
      </c>
      <c r="E101" s="6">
        <v>2</v>
      </c>
      <c r="F101" s="6">
        <v>138</v>
      </c>
      <c r="G101" s="6">
        <v>49</v>
      </c>
      <c r="H101" s="6">
        <v>10</v>
      </c>
      <c r="I101" s="6">
        <v>1</v>
      </c>
      <c r="J101" s="6">
        <v>147</v>
      </c>
      <c r="K101" s="6">
        <v>50</v>
      </c>
      <c r="L101" s="6">
        <v>16</v>
      </c>
      <c r="M101" s="6">
        <v>6</v>
      </c>
      <c r="N101" s="6">
        <v>175</v>
      </c>
      <c r="O101" s="6">
        <v>60</v>
      </c>
      <c r="P101" s="6">
        <v>31</v>
      </c>
      <c r="Q101" s="6">
        <v>8</v>
      </c>
      <c r="R101" s="6">
        <v>235</v>
      </c>
      <c r="S101" s="6">
        <v>58</v>
      </c>
      <c r="T101" s="7">
        <v>41</v>
      </c>
      <c r="U101" s="7">
        <v>7</v>
      </c>
      <c r="V101" s="12">
        <f>U101/T101</f>
        <v>0.17073170731707318</v>
      </c>
      <c r="W101" s="12">
        <f>S101/R101</f>
        <v>0.24680851063829787</v>
      </c>
      <c r="X101" s="13">
        <f>V101-W101</f>
        <v>-7.6076803321224684E-2</v>
      </c>
      <c r="Y101" s="8">
        <f>T101*X101</f>
        <v>-3.119148936170212</v>
      </c>
      <c r="Z101" s="12">
        <f>U101/S101</f>
        <v>0.1206896551724138</v>
      </c>
    </row>
    <row r="102" spans="1:26" ht="11">
      <c r="A102" s="7" t="s">
        <v>181</v>
      </c>
      <c r="B102" s="6">
        <v>87</v>
      </c>
      <c r="C102" s="6">
        <v>34</v>
      </c>
      <c r="D102" s="6">
        <v>6</v>
      </c>
      <c r="E102" s="6">
        <v>1</v>
      </c>
      <c r="F102" s="6">
        <v>122</v>
      </c>
      <c r="G102" s="6">
        <v>42</v>
      </c>
      <c r="H102" s="6">
        <v>20</v>
      </c>
      <c r="I102" s="6">
        <v>2</v>
      </c>
      <c r="J102" s="6">
        <v>151</v>
      </c>
      <c r="K102" s="6">
        <v>35</v>
      </c>
      <c r="L102" s="6">
        <v>22</v>
      </c>
      <c r="M102" s="6">
        <v>2</v>
      </c>
      <c r="N102" s="6">
        <v>136</v>
      </c>
      <c r="O102" s="6">
        <v>42</v>
      </c>
      <c r="P102" s="6">
        <v>25</v>
      </c>
      <c r="Q102" s="6">
        <v>2</v>
      </c>
      <c r="R102" s="6">
        <v>120</v>
      </c>
      <c r="S102" s="6">
        <v>50</v>
      </c>
      <c r="T102" s="7">
        <v>31</v>
      </c>
      <c r="U102" s="7">
        <v>6</v>
      </c>
      <c r="V102" s="12">
        <f>U102/T102</f>
        <v>0.19354838709677419</v>
      </c>
      <c r="W102" s="12">
        <f>S102/R102</f>
        <v>0.41666666666666669</v>
      </c>
      <c r="X102" s="13">
        <f>V102-W102</f>
        <v>-0.2231182795698925</v>
      </c>
      <c r="Y102" s="8">
        <f>T102*X102</f>
        <v>-6.9166666666666679</v>
      </c>
      <c r="Z102" s="12">
        <f>U102/S102</f>
        <v>0.12</v>
      </c>
    </row>
    <row r="103" spans="1:26" ht="11">
      <c r="A103" s="7" t="s">
        <v>188</v>
      </c>
      <c r="B103" s="6">
        <v>551</v>
      </c>
      <c r="C103" s="6">
        <v>87</v>
      </c>
      <c r="D103" s="6">
        <v>128</v>
      </c>
      <c r="E103" s="6">
        <v>13</v>
      </c>
      <c r="F103" s="6">
        <v>568</v>
      </c>
      <c r="G103" s="6">
        <v>72</v>
      </c>
      <c r="H103" s="6">
        <v>130</v>
      </c>
      <c r="I103" s="6">
        <v>7</v>
      </c>
      <c r="J103" s="6">
        <v>598</v>
      </c>
      <c r="K103" s="6">
        <v>70</v>
      </c>
      <c r="L103" s="6">
        <v>125</v>
      </c>
      <c r="M103" s="6">
        <v>5</v>
      </c>
      <c r="N103" s="6">
        <v>473</v>
      </c>
      <c r="O103" s="6">
        <v>82</v>
      </c>
      <c r="P103" s="6">
        <v>111</v>
      </c>
      <c r="Q103" s="6">
        <v>8</v>
      </c>
      <c r="R103" s="6">
        <v>437</v>
      </c>
      <c r="S103" s="6">
        <v>92</v>
      </c>
      <c r="T103" s="7">
        <v>123</v>
      </c>
      <c r="U103" s="7">
        <v>11</v>
      </c>
      <c r="V103" s="12">
        <f>U103/T103</f>
        <v>8.943089430894309E-2</v>
      </c>
      <c r="W103" s="12">
        <f>S103/R103</f>
        <v>0.21052631578947367</v>
      </c>
      <c r="X103" s="13">
        <f>V103-W103</f>
        <v>-0.12109542148053058</v>
      </c>
      <c r="Y103" s="8">
        <f>T103*X103</f>
        <v>-14.894736842105262</v>
      </c>
      <c r="Z103" s="12">
        <f>U103/S103</f>
        <v>0.11956521739130435</v>
      </c>
    </row>
    <row r="104" spans="1:26" ht="11">
      <c r="A104" s="7" t="s">
        <v>155</v>
      </c>
      <c r="B104" s="6">
        <v>223</v>
      </c>
      <c r="C104" s="6">
        <v>93</v>
      </c>
      <c r="D104" s="6">
        <v>40</v>
      </c>
      <c r="E104" s="6">
        <v>8</v>
      </c>
      <c r="F104" s="6">
        <v>288</v>
      </c>
      <c r="G104" s="6">
        <v>91</v>
      </c>
      <c r="H104" s="6">
        <v>57</v>
      </c>
      <c r="I104" s="6">
        <v>10</v>
      </c>
      <c r="J104" s="6">
        <v>270</v>
      </c>
      <c r="K104" s="6">
        <v>64</v>
      </c>
      <c r="L104" s="6">
        <v>48</v>
      </c>
      <c r="M104" s="6">
        <v>9</v>
      </c>
      <c r="N104" s="6">
        <v>277</v>
      </c>
      <c r="O104" s="6">
        <v>69</v>
      </c>
      <c r="P104" s="6">
        <v>40</v>
      </c>
      <c r="Q104" s="6">
        <v>1</v>
      </c>
      <c r="R104" s="6">
        <v>235</v>
      </c>
      <c r="S104" s="6">
        <v>95</v>
      </c>
      <c r="T104" s="7">
        <v>45</v>
      </c>
      <c r="U104" s="7">
        <v>11</v>
      </c>
      <c r="V104" s="12">
        <f>U104/T104</f>
        <v>0.24444444444444444</v>
      </c>
      <c r="W104" s="12">
        <f>S104/R104</f>
        <v>0.40425531914893614</v>
      </c>
      <c r="X104" s="13">
        <f>V104-W104</f>
        <v>-0.15981087470449171</v>
      </c>
      <c r="Y104" s="8">
        <f>T104*X104</f>
        <v>-7.1914893617021267</v>
      </c>
      <c r="Z104" s="12">
        <f>U104/S104</f>
        <v>0.11578947368421053</v>
      </c>
    </row>
    <row r="105" spans="1:26" ht="11">
      <c r="A105" s="7" t="s">
        <v>19</v>
      </c>
      <c r="B105" s="6">
        <v>136</v>
      </c>
      <c r="C105" s="6">
        <v>61</v>
      </c>
      <c r="D105" s="6">
        <v>8</v>
      </c>
      <c r="E105" s="6">
        <v>0</v>
      </c>
      <c r="F105" s="6">
        <v>98</v>
      </c>
      <c r="G105" s="6">
        <v>60</v>
      </c>
      <c r="H105" s="6">
        <v>5</v>
      </c>
      <c r="I105" s="6">
        <v>3</v>
      </c>
      <c r="J105" s="6">
        <v>87</v>
      </c>
      <c r="K105" s="6">
        <v>48</v>
      </c>
      <c r="L105" s="6">
        <v>2</v>
      </c>
      <c r="M105" s="6">
        <v>1</v>
      </c>
      <c r="N105" s="6">
        <v>105</v>
      </c>
      <c r="O105" s="6">
        <v>55</v>
      </c>
      <c r="P105" s="6">
        <v>9</v>
      </c>
      <c r="Q105" s="6">
        <v>3</v>
      </c>
      <c r="R105" s="6">
        <v>109</v>
      </c>
      <c r="S105" s="6">
        <v>72</v>
      </c>
      <c r="T105" s="7">
        <v>11</v>
      </c>
      <c r="U105" s="7">
        <v>8</v>
      </c>
      <c r="V105" s="12">
        <f>U105/T105</f>
        <v>0.72727272727272729</v>
      </c>
      <c r="W105" s="12">
        <f>S105/R105</f>
        <v>0.66055045871559637</v>
      </c>
      <c r="X105" s="13">
        <f>V105-W105</f>
        <v>6.6722268557130926E-2</v>
      </c>
      <c r="Y105" s="8">
        <f>T105*X105</f>
        <v>0.73394495412844019</v>
      </c>
      <c r="Z105" s="12">
        <f>U105/S105</f>
        <v>0.1111111111111111</v>
      </c>
    </row>
    <row r="106" spans="1:26" ht="11">
      <c r="A106" s="7" t="s">
        <v>192</v>
      </c>
      <c r="B106" s="6">
        <v>82</v>
      </c>
      <c r="C106" s="6">
        <v>30</v>
      </c>
      <c r="D106" s="6">
        <v>5</v>
      </c>
      <c r="E106" s="6">
        <v>0</v>
      </c>
      <c r="F106" s="6">
        <v>93</v>
      </c>
      <c r="G106" s="6">
        <v>33</v>
      </c>
      <c r="H106" s="6">
        <v>7</v>
      </c>
      <c r="I106" s="6">
        <v>2</v>
      </c>
      <c r="J106" s="6">
        <v>98</v>
      </c>
      <c r="K106" s="6">
        <v>34</v>
      </c>
      <c r="L106" s="6">
        <v>12</v>
      </c>
      <c r="M106" s="6">
        <v>0</v>
      </c>
      <c r="N106" s="6">
        <v>87</v>
      </c>
      <c r="O106" s="6">
        <v>34</v>
      </c>
      <c r="P106" s="6">
        <v>15</v>
      </c>
      <c r="Q106" s="6">
        <v>5</v>
      </c>
      <c r="R106" s="6">
        <v>129</v>
      </c>
      <c r="S106" s="6">
        <v>47</v>
      </c>
      <c r="T106" s="7">
        <v>33</v>
      </c>
      <c r="U106" s="7">
        <v>5</v>
      </c>
      <c r="V106" s="12">
        <f>U106/T106</f>
        <v>0.15151515151515152</v>
      </c>
      <c r="W106" s="12">
        <f>S106/R106</f>
        <v>0.36434108527131781</v>
      </c>
      <c r="X106" s="13">
        <f>V106-W106</f>
        <v>-0.21282593375616629</v>
      </c>
      <c r="Y106" s="8">
        <f>T106*X106</f>
        <v>-7.0232558139534875</v>
      </c>
      <c r="Z106" s="12">
        <f>U106/S106</f>
        <v>0.10638297872340426</v>
      </c>
    </row>
    <row r="107" spans="1:26" ht="11">
      <c r="A107" s="7" t="s">
        <v>139</v>
      </c>
      <c r="B107" s="6">
        <v>113</v>
      </c>
      <c r="C107" s="6">
        <v>39</v>
      </c>
      <c r="D107" s="6">
        <v>14</v>
      </c>
      <c r="E107" s="6">
        <v>0</v>
      </c>
      <c r="F107" s="6">
        <v>186</v>
      </c>
      <c r="G107" s="6">
        <v>61</v>
      </c>
      <c r="H107" s="6">
        <v>11</v>
      </c>
      <c r="I107" s="6">
        <v>0</v>
      </c>
      <c r="J107" s="6">
        <v>162</v>
      </c>
      <c r="K107" s="6">
        <v>68</v>
      </c>
      <c r="L107" s="6">
        <v>18</v>
      </c>
      <c r="M107" s="6">
        <v>6</v>
      </c>
      <c r="N107" s="6">
        <v>157</v>
      </c>
      <c r="O107" s="6">
        <v>64</v>
      </c>
      <c r="P107" s="6">
        <v>29</v>
      </c>
      <c r="Q107" s="6">
        <v>5</v>
      </c>
      <c r="R107" s="6">
        <v>173</v>
      </c>
      <c r="S107" s="6">
        <v>67</v>
      </c>
      <c r="T107" s="7">
        <v>38</v>
      </c>
      <c r="U107" s="7">
        <v>7</v>
      </c>
      <c r="V107" s="12">
        <f>U107/T107</f>
        <v>0.18421052631578946</v>
      </c>
      <c r="W107" s="12">
        <f>S107/R107</f>
        <v>0.38728323699421963</v>
      </c>
      <c r="X107" s="13">
        <f>V107-W107</f>
        <v>-0.20307271067843016</v>
      </c>
      <c r="Y107" s="8">
        <f>T107*X107</f>
        <v>-7.7167630057803462</v>
      </c>
      <c r="Z107" s="12">
        <f>U107/S107</f>
        <v>0.1044776119402985</v>
      </c>
    </row>
    <row r="108" spans="1:26" ht="11">
      <c r="A108" s="7" t="s">
        <v>23</v>
      </c>
      <c r="B108" s="6">
        <v>1760</v>
      </c>
      <c r="C108" s="6">
        <v>706</v>
      </c>
      <c r="D108" s="6">
        <v>296</v>
      </c>
      <c r="E108" s="6">
        <v>81</v>
      </c>
      <c r="F108" s="6">
        <v>1681</v>
      </c>
      <c r="G108" s="6">
        <v>730</v>
      </c>
      <c r="H108" s="6">
        <v>365</v>
      </c>
      <c r="I108" s="6">
        <v>98</v>
      </c>
      <c r="J108" s="6">
        <v>2106</v>
      </c>
      <c r="K108" s="6">
        <v>688</v>
      </c>
      <c r="L108" s="6">
        <v>463</v>
      </c>
      <c r="M108" s="6">
        <v>80</v>
      </c>
      <c r="N108" s="6">
        <v>2155</v>
      </c>
      <c r="O108" s="6">
        <v>615</v>
      </c>
      <c r="P108" s="6">
        <v>485</v>
      </c>
      <c r="Q108" s="6">
        <v>77</v>
      </c>
      <c r="R108" s="6">
        <v>2308</v>
      </c>
      <c r="S108" s="6">
        <v>724</v>
      </c>
      <c r="T108" s="7">
        <v>572</v>
      </c>
      <c r="U108" s="7">
        <v>75</v>
      </c>
      <c r="V108" s="12">
        <f>U108/T108</f>
        <v>0.13111888111888112</v>
      </c>
      <c r="W108" s="12">
        <f>S108/R108</f>
        <v>0.31369150779896016</v>
      </c>
      <c r="X108" s="13">
        <f>V108-W108</f>
        <v>-0.18257262668007904</v>
      </c>
      <c r="Y108" s="8">
        <f>T108*X108</f>
        <v>-104.43154246100521</v>
      </c>
      <c r="Z108" s="12">
        <f>U108/S108</f>
        <v>0.10359116022099447</v>
      </c>
    </row>
    <row r="109" spans="1:26" ht="11">
      <c r="A109" s="7" t="s">
        <v>141</v>
      </c>
      <c r="B109" s="6">
        <v>80</v>
      </c>
      <c r="C109" s="6">
        <v>48</v>
      </c>
      <c r="D109" s="6">
        <v>2</v>
      </c>
      <c r="E109" s="6">
        <v>1</v>
      </c>
      <c r="F109" s="6">
        <v>92</v>
      </c>
      <c r="G109" s="6">
        <v>49</v>
      </c>
      <c r="H109" s="6">
        <v>7</v>
      </c>
      <c r="I109" s="6">
        <v>7</v>
      </c>
      <c r="J109" s="6">
        <v>91</v>
      </c>
      <c r="K109" s="6">
        <v>35</v>
      </c>
      <c r="L109" s="6">
        <v>15</v>
      </c>
      <c r="M109" s="6">
        <v>7</v>
      </c>
      <c r="N109" s="6">
        <v>73</v>
      </c>
      <c r="O109" s="6">
        <v>44</v>
      </c>
      <c r="P109" s="6">
        <v>9</v>
      </c>
      <c r="Q109" s="6">
        <v>3</v>
      </c>
      <c r="R109" s="6">
        <v>68</v>
      </c>
      <c r="S109" s="6">
        <v>39</v>
      </c>
      <c r="T109" s="7">
        <v>8</v>
      </c>
      <c r="U109" s="7">
        <v>4</v>
      </c>
      <c r="V109" s="12">
        <f>U109/T109</f>
        <v>0.5</v>
      </c>
      <c r="W109" s="12">
        <f>S109/R109</f>
        <v>0.57352941176470584</v>
      </c>
      <c r="X109" s="13">
        <f>V109-W109</f>
        <v>-7.3529411764705843E-2</v>
      </c>
      <c r="Y109" s="8">
        <f>T109*X109</f>
        <v>-0.58823529411764675</v>
      </c>
      <c r="Z109" s="12">
        <f>U109/S109</f>
        <v>0.10256410256410256</v>
      </c>
    </row>
    <row r="110" spans="1:26" ht="11">
      <c r="A110" s="7" t="s">
        <v>143</v>
      </c>
      <c r="B110" s="6">
        <v>138</v>
      </c>
      <c r="C110" s="6">
        <v>58</v>
      </c>
      <c r="D110" s="6">
        <v>17</v>
      </c>
      <c r="E110" s="6">
        <v>3</v>
      </c>
      <c r="F110" s="6">
        <v>177</v>
      </c>
      <c r="G110" s="6">
        <v>74</v>
      </c>
      <c r="H110" s="6">
        <v>26</v>
      </c>
      <c r="I110" s="6">
        <v>5</v>
      </c>
      <c r="J110" s="6">
        <v>190</v>
      </c>
      <c r="K110" s="6">
        <v>64</v>
      </c>
      <c r="L110" s="6">
        <v>41</v>
      </c>
      <c r="M110" s="6">
        <v>1</v>
      </c>
      <c r="N110" s="6">
        <v>215</v>
      </c>
      <c r="O110" s="6">
        <v>85</v>
      </c>
      <c r="P110" s="6">
        <v>59</v>
      </c>
      <c r="Q110" s="6">
        <v>8</v>
      </c>
      <c r="R110" s="6">
        <v>219</v>
      </c>
      <c r="S110" s="6">
        <v>108</v>
      </c>
      <c r="T110" s="7">
        <v>49</v>
      </c>
      <c r="U110" s="7">
        <v>11</v>
      </c>
      <c r="V110" s="12">
        <f>U110/T110</f>
        <v>0.22448979591836735</v>
      </c>
      <c r="W110" s="12">
        <f>S110/R110</f>
        <v>0.49315068493150682</v>
      </c>
      <c r="X110" s="13">
        <f>V110-W110</f>
        <v>-0.26866088901313945</v>
      </c>
      <c r="Y110" s="8">
        <f>T110*X110</f>
        <v>-13.164383561643833</v>
      </c>
      <c r="Z110" s="12">
        <f>U110/S110</f>
        <v>0.10185185185185185</v>
      </c>
    </row>
    <row r="111" spans="1:26" ht="11">
      <c r="A111" s="7" t="s">
        <v>126</v>
      </c>
      <c r="B111" s="6">
        <v>0</v>
      </c>
      <c r="C111" s="6">
        <v>0</v>
      </c>
      <c r="D111" s="6">
        <v>0</v>
      </c>
      <c r="E111" s="6">
        <v>0</v>
      </c>
      <c r="F111" s="6">
        <v>48</v>
      </c>
      <c r="G111" s="6">
        <v>22</v>
      </c>
      <c r="H111" s="6">
        <v>3</v>
      </c>
      <c r="I111" s="6">
        <v>0</v>
      </c>
      <c r="J111" s="6">
        <v>64</v>
      </c>
      <c r="K111" s="6">
        <v>22</v>
      </c>
      <c r="L111" s="6">
        <v>9</v>
      </c>
      <c r="M111" s="6">
        <v>1</v>
      </c>
      <c r="N111" s="6">
        <v>47</v>
      </c>
      <c r="O111" s="6">
        <v>14</v>
      </c>
      <c r="P111" s="6">
        <v>9</v>
      </c>
      <c r="Q111" s="6">
        <v>1</v>
      </c>
      <c r="R111" s="6">
        <v>48</v>
      </c>
      <c r="S111" s="6">
        <v>20</v>
      </c>
      <c r="T111" s="7">
        <v>12</v>
      </c>
      <c r="U111" s="7">
        <v>2</v>
      </c>
      <c r="V111" s="12">
        <f>U111/T111</f>
        <v>0.16666666666666666</v>
      </c>
      <c r="W111" s="12">
        <f>S111/R111</f>
        <v>0.41666666666666669</v>
      </c>
      <c r="X111" s="13">
        <f>V111-W111</f>
        <v>-0.25</v>
      </c>
      <c r="Y111" s="8">
        <f>T111*X111</f>
        <v>-3</v>
      </c>
      <c r="Z111" s="12">
        <f>U111/S111</f>
        <v>0.1</v>
      </c>
    </row>
    <row r="112" spans="1:26" ht="11">
      <c r="A112" s="7" t="s">
        <v>100</v>
      </c>
      <c r="B112" s="6">
        <v>110</v>
      </c>
      <c r="C112" s="6">
        <v>18</v>
      </c>
      <c r="D112" s="6">
        <v>15</v>
      </c>
      <c r="E112" s="6">
        <v>1</v>
      </c>
      <c r="F112" s="6">
        <v>112</v>
      </c>
      <c r="G112" s="6">
        <v>26</v>
      </c>
      <c r="H112" s="6">
        <v>16</v>
      </c>
      <c r="I112" s="6">
        <v>4</v>
      </c>
      <c r="J112" s="6">
        <v>111</v>
      </c>
      <c r="K112" s="6">
        <v>14</v>
      </c>
      <c r="L112" s="6">
        <v>17</v>
      </c>
      <c r="M112" s="6">
        <v>0</v>
      </c>
      <c r="N112" s="6">
        <v>79</v>
      </c>
      <c r="O112" s="6">
        <v>21</v>
      </c>
      <c r="P112" s="6">
        <v>11</v>
      </c>
      <c r="Q112" s="6">
        <v>1</v>
      </c>
      <c r="R112" s="6">
        <v>82</v>
      </c>
      <c r="S112" s="6">
        <v>20</v>
      </c>
      <c r="T112" s="7">
        <v>9</v>
      </c>
      <c r="U112" s="7">
        <v>2</v>
      </c>
      <c r="V112" s="12">
        <f>U112/T112</f>
        <v>0.22222222222222221</v>
      </c>
      <c r="W112" s="12">
        <f>S112/R112</f>
        <v>0.24390243902439024</v>
      </c>
      <c r="X112" s="13">
        <f>V112-W112</f>
        <v>-2.1680216802168029E-2</v>
      </c>
      <c r="Y112" s="8">
        <f>T112*X112</f>
        <v>-0.19512195121951226</v>
      </c>
      <c r="Z112" s="12">
        <f>U112/S112</f>
        <v>0.1</v>
      </c>
    </row>
    <row r="113" spans="1:26" ht="11">
      <c r="A113" s="7" t="s">
        <v>26</v>
      </c>
      <c r="B113" s="6">
        <v>438</v>
      </c>
      <c r="C113" s="6">
        <v>245</v>
      </c>
      <c r="D113" s="6">
        <v>50</v>
      </c>
      <c r="E113" s="6">
        <v>12</v>
      </c>
      <c r="F113" s="6">
        <v>462</v>
      </c>
      <c r="G113" s="6">
        <v>261</v>
      </c>
      <c r="H113" s="6">
        <v>44</v>
      </c>
      <c r="I113" s="6">
        <v>12</v>
      </c>
      <c r="J113" s="6">
        <v>592</v>
      </c>
      <c r="K113" s="6">
        <v>253</v>
      </c>
      <c r="L113" s="6">
        <v>63</v>
      </c>
      <c r="M113" s="6">
        <v>9</v>
      </c>
      <c r="N113" s="6">
        <v>576</v>
      </c>
      <c r="O113" s="6">
        <v>288</v>
      </c>
      <c r="P113" s="6">
        <v>100</v>
      </c>
      <c r="Q113" s="6">
        <v>17</v>
      </c>
      <c r="R113" s="6">
        <v>509</v>
      </c>
      <c r="S113" s="6">
        <v>264</v>
      </c>
      <c r="T113" s="7">
        <v>95</v>
      </c>
      <c r="U113" s="7">
        <v>26</v>
      </c>
      <c r="V113" s="12">
        <f>U113/T113</f>
        <v>0.27368421052631581</v>
      </c>
      <c r="W113" s="12">
        <f>S113/R113</f>
        <v>0.51866404715127701</v>
      </c>
      <c r="X113" s="13">
        <f>V113-W113</f>
        <v>-0.2449798366249612</v>
      </c>
      <c r="Y113" s="8">
        <f>T113*X113</f>
        <v>-23.273084479371313</v>
      </c>
      <c r="Z113" s="12">
        <f>U113/S113</f>
        <v>9.8484848484848481E-2</v>
      </c>
    </row>
    <row r="114" spans="1:26" ht="11">
      <c r="A114" s="7" t="s">
        <v>89</v>
      </c>
      <c r="B114" s="6">
        <v>0</v>
      </c>
      <c r="C114" s="6">
        <v>0</v>
      </c>
      <c r="D114" s="6">
        <v>0</v>
      </c>
      <c r="E114" s="6">
        <v>0</v>
      </c>
      <c r="F114" s="6">
        <v>86</v>
      </c>
      <c r="G114" s="6">
        <v>54</v>
      </c>
      <c r="H114" s="6">
        <v>3</v>
      </c>
      <c r="I114" s="6">
        <v>0</v>
      </c>
      <c r="J114" s="6">
        <v>111</v>
      </c>
      <c r="K114" s="6">
        <v>59</v>
      </c>
      <c r="L114" s="6">
        <v>12</v>
      </c>
      <c r="M114" s="6">
        <v>4</v>
      </c>
      <c r="N114" s="6">
        <v>84</v>
      </c>
      <c r="O114" s="6">
        <v>48</v>
      </c>
      <c r="P114" s="6">
        <v>13</v>
      </c>
      <c r="Q114" s="6">
        <v>4</v>
      </c>
      <c r="R114" s="6">
        <v>76</v>
      </c>
      <c r="S114" s="6">
        <v>52</v>
      </c>
      <c r="T114" s="7">
        <v>10</v>
      </c>
      <c r="U114" s="7">
        <v>5</v>
      </c>
      <c r="V114" s="12">
        <f>U114/T114</f>
        <v>0.5</v>
      </c>
      <c r="W114" s="12">
        <f>S114/R114</f>
        <v>0.68421052631578949</v>
      </c>
      <c r="X114" s="13">
        <f>V114-W114</f>
        <v>-0.18421052631578949</v>
      </c>
      <c r="Y114" s="8">
        <f>T114*X114</f>
        <v>-1.8421052631578949</v>
      </c>
      <c r="Z114" s="12">
        <f>U114/S114</f>
        <v>9.6153846153846159E-2</v>
      </c>
    </row>
    <row r="115" spans="1:26" ht="11">
      <c r="A115" s="7" t="s">
        <v>173</v>
      </c>
      <c r="B115" s="6">
        <v>260</v>
      </c>
      <c r="C115" s="6">
        <v>112</v>
      </c>
      <c r="D115" s="6">
        <v>71</v>
      </c>
      <c r="E115" s="6">
        <v>16</v>
      </c>
      <c r="F115" s="6">
        <v>294</v>
      </c>
      <c r="G115" s="6">
        <v>83</v>
      </c>
      <c r="H115" s="6">
        <v>93</v>
      </c>
      <c r="I115" s="6">
        <v>16</v>
      </c>
      <c r="J115" s="6">
        <v>390</v>
      </c>
      <c r="K115" s="6">
        <v>81</v>
      </c>
      <c r="L115" s="6">
        <v>130</v>
      </c>
      <c r="M115" s="6">
        <v>12</v>
      </c>
      <c r="N115" s="6">
        <v>366</v>
      </c>
      <c r="O115" s="6">
        <v>96</v>
      </c>
      <c r="P115" s="6">
        <v>105</v>
      </c>
      <c r="Q115" s="6">
        <v>8</v>
      </c>
      <c r="R115" s="6">
        <v>406</v>
      </c>
      <c r="S115" s="6">
        <v>107</v>
      </c>
      <c r="T115" s="7">
        <v>99</v>
      </c>
      <c r="U115" s="7">
        <v>10</v>
      </c>
      <c r="V115" s="12">
        <f>U115/T115</f>
        <v>0.10101010101010101</v>
      </c>
      <c r="W115" s="12">
        <f>S115/R115</f>
        <v>0.26354679802955666</v>
      </c>
      <c r="X115" s="13">
        <f>V115-W115</f>
        <v>-0.16253669701945567</v>
      </c>
      <c r="Y115" s="8">
        <f>T115*X115</f>
        <v>-16.09113300492611</v>
      </c>
      <c r="Z115" s="12">
        <f>U115/S115</f>
        <v>9.3457943925233641E-2</v>
      </c>
    </row>
    <row r="116" spans="1:26" ht="11">
      <c r="A116" s="7" t="s">
        <v>122</v>
      </c>
      <c r="B116" s="6">
        <v>13</v>
      </c>
      <c r="C116" s="6">
        <v>13</v>
      </c>
      <c r="D116" s="6">
        <v>0</v>
      </c>
      <c r="E116" s="6">
        <v>0</v>
      </c>
      <c r="F116" s="6">
        <v>9</v>
      </c>
      <c r="G116" s="6">
        <v>9</v>
      </c>
      <c r="H116" s="6">
        <v>1</v>
      </c>
      <c r="I116" s="6">
        <v>1</v>
      </c>
      <c r="J116" s="6">
        <v>6</v>
      </c>
      <c r="K116" s="6">
        <v>6</v>
      </c>
      <c r="L116" s="6">
        <v>0</v>
      </c>
      <c r="M116" s="6">
        <v>0</v>
      </c>
      <c r="N116" s="6">
        <v>7</v>
      </c>
      <c r="O116" s="6">
        <v>7</v>
      </c>
      <c r="P116" s="6">
        <v>0</v>
      </c>
      <c r="Q116" s="6">
        <v>0</v>
      </c>
      <c r="R116" s="6">
        <v>12</v>
      </c>
      <c r="S116" s="6">
        <v>11</v>
      </c>
      <c r="T116" s="7">
        <v>1</v>
      </c>
      <c r="U116" s="7">
        <v>1</v>
      </c>
      <c r="V116" s="12">
        <f>U116/T116</f>
        <v>1</v>
      </c>
      <c r="W116" s="12">
        <f>S116/R116</f>
        <v>0.91666666666666663</v>
      </c>
      <c r="X116" s="13">
        <f>V116-W116</f>
        <v>8.333333333333337E-2</v>
      </c>
      <c r="Y116" s="8">
        <f>T116*X116</f>
        <v>8.333333333333337E-2</v>
      </c>
      <c r="Z116" s="12">
        <f>U116/S116</f>
        <v>9.0909090909090912E-2</v>
      </c>
    </row>
    <row r="117" spans="1:26" ht="11">
      <c r="A117" s="7" t="s">
        <v>108</v>
      </c>
      <c r="B117" s="6">
        <v>18</v>
      </c>
      <c r="C117" s="6">
        <v>11</v>
      </c>
      <c r="D117" s="6">
        <v>2</v>
      </c>
      <c r="E117" s="6">
        <v>0</v>
      </c>
      <c r="F117" s="6">
        <v>21</v>
      </c>
      <c r="G117" s="6">
        <v>10</v>
      </c>
      <c r="H117" s="6">
        <v>1</v>
      </c>
      <c r="I117" s="6">
        <v>0</v>
      </c>
      <c r="J117" s="6">
        <v>25</v>
      </c>
      <c r="K117" s="6">
        <v>11</v>
      </c>
      <c r="L117" s="6">
        <v>3</v>
      </c>
      <c r="M117" s="6">
        <v>1</v>
      </c>
      <c r="N117" s="6">
        <v>23</v>
      </c>
      <c r="O117" s="6">
        <v>6</v>
      </c>
      <c r="P117" s="6">
        <v>4</v>
      </c>
      <c r="Q117" s="6">
        <v>1</v>
      </c>
      <c r="R117" s="6">
        <v>22</v>
      </c>
      <c r="S117" s="6">
        <v>12</v>
      </c>
      <c r="T117" s="7">
        <v>6</v>
      </c>
      <c r="U117" s="7">
        <v>1</v>
      </c>
      <c r="V117" s="12">
        <f>U117/T117</f>
        <v>0.16666666666666666</v>
      </c>
      <c r="W117" s="12">
        <f>S117/R117</f>
        <v>0.54545454545454541</v>
      </c>
      <c r="X117" s="13">
        <f>V117-W117</f>
        <v>-0.37878787878787878</v>
      </c>
      <c r="Y117" s="8">
        <f>T117*X117</f>
        <v>-2.2727272727272725</v>
      </c>
      <c r="Z117" s="12">
        <f>U117/S117</f>
        <v>8.3333333333333329E-2</v>
      </c>
    </row>
    <row r="118" spans="1:26" ht="11">
      <c r="A118" s="7" t="s">
        <v>116</v>
      </c>
      <c r="B118" s="6">
        <v>0</v>
      </c>
      <c r="C118" s="6">
        <v>0</v>
      </c>
      <c r="D118" s="6">
        <v>0</v>
      </c>
      <c r="E118" s="6">
        <v>0</v>
      </c>
      <c r="F118" s="6">
        <v>0</v>
      </c>
      <c r="G118" s="6">
        <v>0</v>
      </c>
      <c r="H118" s="6">
        <v>0</v>
      </c>
      <c r="I118" s="6">
        <v>0</v>
      </c>
      <c r="J118" s="6">
        <v>32</v>
      </c>
      <c r="K118" s="6">
        <v>17</v>
      </c>
      <c r="L118" s="6">
        <v>9</v>
      </c>
      <c r="M118" s="6">
        <v>5</v>
      </c>
      <c r="N118" s="6">
        <v>39</v>
      </c>
      <c r="O118" s="6">
        <v>15</v>
      </c>
      <c r="P118" s="6">
        <v>5</v>
      </c>
      <c r="Q118" s="6">
        <v>1</v>
      </c>
      <c r="R118" s="6">
        <v>46</v>
      </c>
      <c r="S118" s="6">
        <v>24</v>
      </c>
      <c r="T118" s="7">
        <v>10</v>
      </c>
      <c r="U118" s="7">
        <v>2</v>
      </c>
      <c r="V118" s="12">
        <f>U118/T118</f>
        <v>0.2</v>
      </c>
      <c r="W118" s="12">
        <f>S118/R118</f>
        <v>0.52173913043478259</v>
      </c>
      <c r="X118" s="13">
        <f>V118-W118</f>
        <v>-0.32173913043478258</v>
      </c>
      <c r="Y118" s="8">
        <f>T118*X118</f>
        <v>-3.2173913043478257</v>
      </c>
      <c r="Z118" s="12">
        <f>U118/S118</f>
        <v>8.3333333333333329E-2</v>
      </c>
    </row>
    <row r="119" spans="1:26" ht="11">
      <c r="A119" s="7" t="s">
        <v>88</v>
      </c>
      <c r="B119" s="6">
        <v>96</v>
      </c>
      <c r="C119" s="6">
        <v>44</v>
      </c>
      <c r="D119" s="6">
        <v>4</v>
      </c>
      <c r="E119" s="6">
        <v>0</v>
      </c>
      <c r="F119" s="6">
        <v>111</v>
      </c>
      <c r="G119" s="6">
        <v>47</v>
      </c>
      <c r="H119" s="6">
        <v>9</v>
      </c>
      <c r="I119" s="6">
        <v>4</v>
      </c>
      <c r="J119" s="6">
        <v>101</v>
      </c>
      <c r="K119" s="6">
        <v>42</v>
      </c>
      <c r="L119" s="6">
        <v>10</v>
      </c>
      <c r="M119" s="6">
        <v>1</v>
      </c>
      <c r="N119" s="6">
        <v>121</v>
      </c>
      <c r="O119" s="6">
        <v>51</v>
      </c>
      <c r="P119" s="6">
        <v>9</v>
      </c>
      <c r="Q119" s="6">
        <v>2</v>
      </c>
      <c r="R119" s="6">
        <v>104</v>
      </c>
      <c r="S119" s="6">
        <v>49</v>
      </c>
      <c r="T119" s="7">
        <v>19</v>
      </c>
      <c r="U119" s="7">
        <v>4</v>
      </c>
      <c r="V119" s="12">
        <f>U119/T119</f>
        <v>0.21052631578947367</v>
      </c>
      <c r="W119" s="12">
        <f>S119/R119</f>
        <v>0.47115384615384615</v>
      </c>
      <c r="X119" s="13">
        <f>V119-W119</f>
        <v>-0.26062753036437247</v>
      </c>
      <c r="Y119" s="8">
        <f>T119*X119</f>
        <v>-4.9519230769230766</v>
      </c>
      <c r="Z119" s="12">
        <f>U119/S119</f>
        <v>8.1632653061224483E-2</v>
      </c>
    </row>
    <row r="120" spans="1:26" ht="11">
      <c r="A120" s="7" t="s">
        <v>153</v>
      </c>
      <c r="B120" s="6">
        <v>72</v>
      </c>
      <c r="C120" s="6">
        <v>32</v>
      </c>
      <c r="D120" s="6">
        <v>8</v>
      </c>
      <c r="E120" s="6">
        <v>3</v>
      </c>
      <c r="F120" s="6">
        <v>89</v>
      </c>
      <c r="G120" s="6">
        <v>35</v>
      </c>
      <c r="H120" s="6">
        <v>15</v>
      </c>
      <c r="I120" s="6">
        <v>3</v>
      </c>
      <c r="J120" s="6">
        <v>146</v>
      </c>
      <c r="K120" s="6">
        <v>29</v>
      </c>
      <c r="L120" s="6">
        <v>29</v>
      </c>
      <c r="M120" s="6">
        <v>1</v>
      </c>
      <c r="N120" s="6">
        <v>98</v>
      </c>
      <c r="O120" s="6">
        <v>22</v>
      </c>
      <c r="P120" s="6">
        <v>16</v>
      </c>
      <c r="Q120" s="6">
        <v>1</v>
      </c>
      <c r="R120" s="6">
        <v>80</v>
      </c>
      <c r="S120" s="6">
        <v>37</v>
      </c>
      <c r="T120" s="7">
        <v>13</v>
      </c>
      <c r="U120" s="7">
        <v>3</v>
      </c>
      <c r="V120" s="12">
        <f>U120/T120</f>
        <v>0.23076923076923078</v>
      </c>
      <c r="W120" s="12">
        <f>S120/R120</f>
        <v>0.46250000000000002</v>
      </c>
      <c r="X120" s="13">
        <f>V120-W120</f>
        <v>-0.23173076923076924</v>
      </c>
      <c r="Y120" s="8">
        <f>T120*X120</f>
        <v>-3.0125000000000002</v>
      </c>
      <c r="Z120" s="12">
        <f>U120/S120</f>
        <v>8.1081081081081086E-2</v>
      </c>
    </row>
    <row r="121" spans="1:26" ht="11">
      <c r="A121" s="7" t="s">
        <v>57</v>
      </c>
      <c r="B121" s="6">
        <v>138</v>
      </c>
      <c r="C121" s="6">
        <v>13</v>
      </c>
      <c r="D121" s="6">
        <v>11</v>
      </c>
      <c r="E121" s="6">
        <v>0</v>
      </c>
      <c r="F121" s="6">
        <v>127</v>
      </c>
      <c r="G121" s="6">
        <v>19</v>
      </c>
      <c r="H121" s="6">
        <v>2</v>
      </c>
      <c r="I121" s="6">
        <v>0</v>
      </c>
      <c r="J121" s="6">
        <v>131</v>
      </c>
      <c r="K121" s="6">
        <v>7</v>
      </c>
      <c r="L121" s="6">
        <v>21</v>
      </c>
      <c r="M121" s="6">
        <v>0</v>
      </c>
      <c r="N121" s="6">
        <v>137</v>
      </c>
      <c r="O121" s="6">
        <v>12</v>
      </c>
      <c r="P121" s="6">
        <v>13</v>
      </c>
      <c r="Q121" s="6">
        <v>1</v>
      </c>
      <c r="R121" s="6">
        <v>118</v>
      </c>
      <c r="S121" s="6">
        <v>13</v>
      </c>
      <c r="T121" s="7">
        <v>13</v>
      </c>
      <c r="U121" s="7">
        <v>1</v>
      </c>
      <c r="V121" s="12">
        <f>U121/T121</f>
        <v>7.6923076923076927E-2</v>
      </c>
      <c r="W121" s="12">
        <f>S121/R121</f>
        <v>0.11016949152542373</v>
      </c>
      <c r="X121" s="13">
        <f>V121-W121</f>
        <v>-3.3246414602346799E-2</v>
      </c>
      <c r="Y121" s="8">
        <f>T121*X121</f>
        <v>-0.43220338983050838</v>
      </c>
      <c r="Z121" s="12">
        <f>U121/S121</f>
        <v>7.6923076923076927E-2</v>
      </c>
    </row>
    <row r="122" spans="1:26" ht="11">
      <c r="A122" s="7" t="s">
        <v>148</v>
      </c>
      <c r="B122" s="6">
        <v>36</v>
      </c>
      <c r="C122" s="6">
        <v>13</v>
      </c>
      <c r="D122" s="6">
        <v>5</v>
      </c>
      <c r="E122" s="6">
        <v>0</v>
      </c>
      <c r="F122" s="6">
        <v>45</v>
      </c>
      <c r="G122" s="6">
        <v>9</v>
      </c>
      <c r="H122" s="6">
        <v>5</v>
      </c>
      <c r="I122" s="6">
        <v>0</v>
      </c>
      <c r="J122" s="6">
        <v>53</v>
      </c>
      <c r="K122" s="6">
        <v>14</v>
      </c>
      <c r="L122" s="6">
        <v>12</v>
      </c>
      <c r="M122" s="6">
        <v>2</v>
      </c>
      <c r="N122" s="6">
        <v>40</v>
      </c>
      <c r="O122" s="6">
        <v>7</v>
      </c>
      <c r="P122" s="6">
        <v>6</v>
      </c>
      <c r="Q122" s="6">
        <v>1</v>
      </c>
      <c r="R122" s="6">
        <v>38</v>
      </c>
      <c r="S122" s="6">
        <v>14</v>
      </c>
      <c r="T122" s="7">
        <v>10</v>
      </c>
      <c r="U122" s="7">
        <v>1</v>
      </c>
      <c r="V122" s="12">
        <f>U122/T122</f>
        <v>0.1</v>
      </c>
      <c r="W122" s="12">
        <f>S122/R122</f>
        <v>0.36842105263157893</v>
      </c>
      <c r="X122" s="13">
        <f>V122-W122</f>
        <v>-0.26842105263157889</v>
      </c>
      <c r="Y122" s="8">
        <f>T122*X122</f>
        <v>-2.6842105263157889</v>
      </c>
      <c r="Z122" s="12">
        <f>U122/S122</f>
        <v>7.1428571428571425E-2</v>
      </c>
    </row>
    <row r="123" spans="1:26" ht="11">
      <c r="A123" s="7" t="s">
        <v>83</v>
      </c>
      <c r="B123" s="6">
        <v>0</v>
      </c>
      <c r="C123" s="6">
        <v>0</v>
      </c>
      <c r="D123" s="6">
        <v>0</v>
      </c>
      <c r="E123" s="6">
        <v>0</v>
      </c>
      <c r="F123" s="6">
        <v>0</v>
      </c>
      <c r="G123" s="6">
        <v>0</v>
      </c>
      <c r="H123" s="6">
        <v>0</v>
      </c>
      <c r="I123" s="6">
        <v>0</v>
      </c>
      <c r="J123" s="6">
        <v>366</v>
      </c>
      <c r="K123" s="6">
        <v>59</v>
      </c>
      <c r="L123" s="6">
        <v>158</v>
      </c>
      <c r="M123" s="6">
        <v>17</v>
      </c>
      <c r="N123" s="6">
        <v>545</v>
      </c>
      <c r="O123" s="6">
        <v>52</v>
      </c>
      <c r="P123" s="6">
        <v>288</v>
      </c>
      <c r="Q123" s="6">
        <v>13</v>
      </c>
      <c r="R123" s="6">
        <v>591</v>
      </c>
      <c r="S123" s="6">
        <v>87</v>
      </c>
      <c r="T123" s="7">
        <v>247</v>
      </c>
      <c r="U123" s="7">
        <v>6</v>
      </c>
      <c r="V123" s="12">
        <f>U123/T123</f>
        <v>2.4291497975708502E-2</v>
      </c>
      <c r="W123" s="12">
        <f>S123/R123</f>
        <v>0.14720812182741116</v>
      </c>
      <c r="X123" s="13">
        <f>V123-W123</f>
        <v>-0.12291662385170266</v>
      </c>
      <c r="Y123" s="8">
        <f>T123*X123</f>
        <v>-30.360406091370557</v>
      </c>
      <c r="Z123" s="12">
        <f>U123/S123</f>
        <v>6.8965517241379309E-2</v>
      </c>
    </row>
    <row r="124" spans="1:26" ht="11">
      <c r="A124" s="7" t="s">
        <v>93</v>
      </c>
      <c r="B124" s="6">
        <v>688</v>
      </c>
      <c r="C124" s="6">
        <v>187</v>
      </c>
      <c r="D124" s="6">
        <v>44</v>
      </c>
      <c r="E124" s="6">
        <v>9</v>
      </c>
      <c r="F124" s="6">
        <v>650</v>
      </c>
      <c r="G124" s="6">
        <v>179</v>
      </c>
      <c r="H124" s="6">
        <v>60</v>
      </c>
      <c r="I124" s="6">
        <v>13</v>
      </c>
      <c r="J124" s="6">
        <v>652</v>
      </c>
      <c r="K124" s="6">
        <v>169</v>
      </c>
      <c r="L124" s="6">
        <v>74</v>
      </c>
      <c r="M124" s="6">
        <v>14</v>
      </c>
      <c r="N124" s="6">
        <v>730</v>
      </c>
      <c r="O124" s="6">
        <v>207</v>
      </c>
      <c r="P124" s="6">
        <v>69</v>
      </c>
      <c r="Q124" s="6">
        <v>12</v>
      </c>
      <c r="R124" s="6">
        <v>734</v>
      </c>
      <c r="S124" s="6">
        <v>254</v>
      </c>
      <c r="T124" s="7">
        <v>100</v>
      </c>
      <c r="U124" s="7">
        <v>17</v>
      </c>
      <c r="V124" s="12">
        <f>U124/T124</f>
        <v>0.17</v>
      </c>
      <c r="W124" s="12">
        <f>S124/R124</f>
        <v>0.34604904632152589</v>
      </c>
      <c r="X124" s="13">
        <f>V124-W124</f>
        <v>-0.17604904632152588</v>
      </c>
      <c r="Y124" s="8">
        <f>T124*X124</f>
        <v>-17.604904632152589</v>
      </c>
      <c r="Z124" s="12">
        <f>U124/S124</f>
        <v>6.6929133858267723E-2</v>
      </c>
    </row>
    <row r="125" spans="1:26" ht="11">
      <c r="A125" s="7" t="s">
        <v>51</v>
      </c>
      <c r="B125" s="6">
        <v>39</v>
      </c>
      <c r="C125" s="6">
        <v>15</v>
      </c>
      <c r="D125" s="6">
        <v>10</v>
      </c>
      <c r="E125" s="6">
        <v>3</v>
      </c>
      <c r="F125" s="6">
        <v>36</v>
      </c>
      <c r="G125" s="6">
        <v>11</v>
      </c>
      <c r="H125" s="6">
        <v>6</v>
      </c>
      <c r="I125" s="6">
        <v>2</v>
      </c>
      <c r="J125" s="6">
        <v>33</v>
      </c>
      <c r="K125" s="6">
        <v>11</v>
      </c>
      <c r="L125" s="6">
        <v>9</v>
      </c>
      <c r="M125" s="6">
        <v>1</v>
      </c>
      <c r="N125" s="6">
        <v>42</v>
      </c>
      <c r="O125" s="6">
        <v>11</v>
      </c>
      <c r="P125" s="6">
        <v>12</v>
      </c>
      <c r="Q125" s="6">
        <v>3</v>
      </c>
      <c r="R125" s="6">
        <v>30</v>
      </c>
      <c r="S125" s="6">
        <v>15</v>
      </c>
      <c r="T125" s="7">
        <v>7</v>
      </c>
      <c r="U125" s="7">
        <v>1</v>
      </c>
      <c r="V125" s="12">
        <f>U125/T125</f>
        <v>0.14285714285714285</v>
      </c>
      <c r="W125" s="12">
        <f>S125/R125</f>
        <v>0.5</v>
      </c>
      <c r="X125" s="13">
        <f>V125-W125</f>
        <v>-0.35714285714285715</v>
      </c>
      <c r="Y125" s="8">
        <f>T125*X125</f>
        <v>-2.5</v>
      </c>
      <c r="Z125" s="12">
        <f>U125/S125</f>
        <v>6.6666666666666666E-2</v>
      </c>
    </row>
    <row r="126" spans="1:26" ht="11">
      <c r="A126" s="7" t="s">
        <v>12</v>
      </c>
      <c r="B126" s="6">
        <v>174</v>
      </c>
      <c r="C126" s="6">
        <v>95</v>
      </c>
      <c r="D126" s="6">
        <v>14</v>
      </c>
      <c r="E126" s="6">
        <v>9</v>
      </c>
      <c r="F126" s="6">
        <v>146</v>
      </c>
      <c r="G126" s="6">
        <v>84</v>
      </c>
      <c r="H126" s="6">
        <v>12</v>
      </c>
      <c r="I126" s="6">
        <v>11</v>
      </c>
      <c r="J126" s="6">
        <v>104</v>
      </c>
      <c r="K126" s="6">
        <v>64</v>
      </c>
      <c r="L126" s="6">
        <v>14</v>
      </c>
      <c r="M126" s="6">
        <v>10</v>
      </c>
      <c r="N126" s="6">
        <v>125</v>
      </c>
      <c r="O126" s="6">
        <v>79</v>
      </c>
      <c r="P126" s="6">
        <v>7</v>
      </c>
      <c r="Q126" s="6">
        <v>4</v>
      </c>
      <c r="R126" s="6">
        <v>99</v>
      </c>
      <c r="S126" s="6">
        <v>77</v>
      </c>
      <c r="T126" s="7">
        <v>6</v>
      </c>
      <c r="U126" s="7">
        <v>5</v>
      </c>
      <c r="V126" s="12">
        <f>U126/T126</f>
        <v>0.83333333333333337</v>
      </c>
      <c r="W126" s="12">
        <f>S126/R126</f>
        <v>0.77777777777777779</v>
      </c>
      <c r="X126" s="13">
        <f>V126-W126</f>
        <v>5.555555555555558E-2</v>
      </c>
      <c r="Y126" s="8">
        <f>T126*X126</f>
        <v>0.33333333333333348</v>
      </c>
      <c r="Z126" s="12">
        <f>U126/S126</f>
        <v>6.4935064935064929E-2</v>
      </c>
    </row>
    <row r="127" spans="1:26" ht="11">
      <c r="A127" s="7" t="s">
        <v>147</v>
      </c>
      <c r="B127" s="6">
        <v>507</v>
      </c>
      <c r="C127" s="6">
        <v>111</v>
      </c>
      <c r="D127" s="6">
        <v>91</v>
      </c>
      <c r="E127" s="6">
        <v>8</v>
      </c>
      <c r="F127" s="6">
        <v>569</v>
      </c>
      <c r="G127" s="6">
        <v>97</v>
      </c>
      <c r="H127" s="6">
        <v>119</v>
      </c>
      <c r="I127" s="6">
        <v>6</v>
      </c>
      <c r="J127" s="6">
        <v>549</v>
      </c>
      <c r="K127" s="6">
        <v>109</v>
      </c>
      <c r="L127" s="6">
        <v>124</v>
      </c>
      <c r="M127" s="6">
        <v>4</v>
      </c>
      <c r="N127" s="6">
        <v>612</v>
      </c>
      <c r="O127" s="6">
        <v>110</v>
      </c>
      <c r="P127" s="6">
        <v>141</v>
      </c>
      <c r="Q127" s="6">
        <v>7</v>
      </c>
      <c r="R127" s="6">
        <v>503</v>
      </c>
      <c r="S127" s="6">
        <v>134</v>
      </c>
      <c r="T127" s="7">
        <v>132</v>
      </c>
      <c r="U127" s="7">
        <v>8</v>
      </c>
      <c r="V127" s="12">
        <f>U127/T127</f>
        <v>6.0606060606060608E-2</v>
      </c>
      <c r="W127" s="12">
        <f>S127/R127</f>
        <v>0.26640159045725648</v>
      </c>
      <c r="X127" s="13">
        <f>V127-W127</f>
        <v>-0.20579552985119587</v>
      </c>
      <c r="Y127" s="8">
        <f>T127*X127</f>
        <v>-27.165009940357855</v>
      </c>
      <c r="Z127" s="12">
        <f>U127/S127</f>
        <v>5.9701492537313432E-2</v>
      </c>
    </row>
    <row r="128" spans="1:26" ht="11">
      <c r="A128" s="7" t="s">
        <v>215</v>
      </c>
      <c r="B128" s="6">
        <v>23</v>
      </c>
      <c r="C128" s="6">
        <v>23</v>
      </c>
      <c r="D128" s="6">
        <v>3</v>
      </c>
      <c r="E128" s="6">
        <v>3</v>
      </c>
      <c r="F128" s="6">
        <v>24</v>
      </c>
      <c r="G128" s="6">
        <v>23</v>
      </c>
      <c r="H128" s="6">
        <v>3</v>
      </c>
      <c r="I128" s="6">
        <v>2</v>
      </c>
      <c r="J128" s="6">
        <v>25</v>
      </c>
      <c r="K128" s="6">
        <v>25</v>
      </c>
      <c r="L128" s="6">
        <v>3</v>
      </c>
      <c r="M128" s="6">
        <v>3</v>
      </c>
      <c r="N128" s="6">
        <v>26</v>
      </c>
      <c r="O128" s="6">
        <v>26</v>
      </c>
      <c r="P128" s="6">
        <v>1</v>
      </c>
      <c r="Q128" s="6">
        <v>1</v>
      </c>
      <c r="R128" s="6">
        <v>17</v>
      </c>
      <c r="S128" s="6">
        <v>17</v>
      </c>
      <c r="T128" s="7">
        <v>1</v>
      </c>
      <c r="U128" s="7">
        <v>1</v>
      </c>
      <c r="V128" s="12">
        <f>U128/T128</f>
        <v>1</v>
      </c>
      <c r="W128" s="12">
        <f>S128/R128</f>
        <v>1</v>
      </c>
      <c r="X128" s="13">
        <f>V128-W128</f>
        <v>0</v>
      </c>
      <c r="Y128" s="8">
        <f>T128*X128</f>
        <v>0</v>
      </c>
      <c r="Z128" s="12">
        <f>U128/S128</f>
        <v>5.8823529411764705E-2</v>
      </c>
    </row>
    <row r="129" spans="1:26" ht="11">
      <c r="A129" s="7" t="s">
        <v>146</v>
      </c>
      <c r="B129" s="6">
        <v>105</v>
      </c>
      <c r="C129" s="6">
        <v>39</v>
      </c>
      <c r="D129" s="6">
        <v>6</v>
      </c>
      <c r="E129" s="6">
        <v>3</v>
      </c>
      <c r="F129" s="6">
        <v>226</v>
      </c>
      <c r="G129" s="6">
        <v>88</v>
      </c>
      <c r="H129" s="6">
        <v>8</v>
      </c>
      <c r="I129" s="6">
        <v>2</v>
      </c>
      <c r="J129" s="6">
        <v>208</v>
      </c>
      <c r="K129" s="6">
        <v>96</v>
      </c>
      <c r="L129" s="6">
        <v>5</v>
      </c>
      <c r="M129" s="6">
        <v>1</v>
      </c>
      <c r="N129" s="6">
        <v>185</v>
      </c>
      <c r="O129" s="6">
        <v>94</v>
      </c>
      <c r="P129" s="6">
        <v>14</v>
      </c>
      <c r="Q129" s="6">
        <v>3</v>
      </c>
      <c r="R129" s="6">
        <v>156</v>
      </c>
      <c r="S129" s="6">
        <v>102</v>
      </c>
      <c r="T129" s="7">
        <v>16</v>
      </c>
      <c r="U129" s="7">
        <v>6</v>
      </c>
      <c r="V129" s="12">
        <f>U129/T129</f>
        <v>0.375</v>
      </c>
      <c r="W129" s="12">
        <f>S129/R129</f>
        <v>0.65384615384615385</v>
      </c>
      <c r="X129" s="13">
        <f>V129-W129</f>
        <v>-0.27884615384615385</v>
      </c>
      <c r="Y129" s="8">
        <f>T129*X129</f>
        <v>-4.4615384615384617</v>
      </c>
      <c r="Z129" s="12">
        <f>U129/S129</f>
        <v>5.8823529411764705E-2</v>
      </c>
    </row>
    <row r="130" spans="1:26" ht="11">
      <c r="A130" s="7" t="s">
        <v>152</v>
      </c>
      <c r="B130" s="6">
        <v>0</v>
      </c>
      <c r="C130" s="6">
        <v>0</v>
      </c>
      <c r="D130" s="6">
        <v>0</v>
      </c>
      <c r="E130" s="6">
        <v>0</v>
      </c>
      <c r="F130" s="6">
        <v>0</v>
      </c>
      <c r="G130" s="6">
        <v>0</v>
      </c>
      <c r="H130" s="6">
        <v>0</v>
      </c>
      <c r="I130" s="6">
        <v>0</v>
      </c>
      <c r="J130" s="6">
        <v>65</v>
      </c>
      <c r="K130" s="6">
        <v>19</v>
      </c>
      <c r="L130" s="6">
        <v>5</v>
      </c>
      <c r="M130" s="6">
        <v>0</v>
      </c>
      <c r="N130" s="6">
        <v>70</v>
      </c>
      <c r="O130" s="6">
        <v>21</v>
      </c>
      <c r="P130" s="6">
        <v>4</v>
      </c>
      <c r="Q130" s="6">
        <v>1</v>
      </c>
      <c r="R130" s="6">
        <v>43</v>
      </c>
      <c r="S130" s="6">
        <v>19</v>
      </c>
      <c r="T130" s="7">
        <v>4</v>
      </c>
      <c r="U130" s="7">
        <v>1</v>
      </c>
      <c r="V130" s="12">
        <f>U130/T130</f>
        <v>0.25</v>
      </c>
      <c r="W130" s="12">
        <f>S130/R130</f>
        <v>0.44186046511627908</v>
      </c>
      <c r="X130" s="13">
        <f>V130-W130</f>
        <v>-0.19186046511627908</v>
      </c>
      <c r="Y130" s="8">
        <f>T130*X130</f>
        <v>-0.76744186046511631</v>
      </c>
      <c r="Z130" s="12">
        <f>U130/S130</f>
        <v>5.2631578947368418E-2</v>
      </c>
    </row>
    <row r="131" spans="1:26" ht="11">
      <c r="A131" s="7" t="s">
        <v>123</v>
      </c>
      <c r="B131" s="6">
        <v>161</v>
      </c>
      <c r="C131" s="6">
        <v>77</v>
      </c>
      <c r="D131" s="6">
        <v>19</v>
      </c>
      <c r="E131" s="6">
        <v>6</v>
      </c>
      <c r="F131" s="6">
        <v>159</v>
      </c>
      <c r="G131" s="6">
        <v>66</v>
      </c>
      <c r="H131" s="6">
        <v>30</v>
      </c>
      <c r="I131" s="6">
        <v>4</v>
      </c>
      <c r="J131" s="6">
        <v>165</v>
      </c>
      <c r="K131" s="6">
        <v>80</v>
      </c>
      <c r="L131" s="6">
        <v>35</v>
      </c>
      <c r="M131" s="6">
        <v>9</v>
      </c>
      <c r="N131" s="6">
        <v>238</v>
      </c>
      <c r="O131" s="6">
        <v>112</v>
      </c>
      <c r="P131" s="6">
        <v>50</v>
      </c>
      <c r="Q131" s="6">
        <v>9</v>
      </c>
      <c r="R131" s="6">
        <v>176</v>
      </c>
      <c r="S131" s="6">
        <v>116</v>
      </c>
      <c r="T131" s="7">
        <v>19</v>
      </c>
      <c r="U131" s="7">
        <v>6</v>
      </c>
      <c r="V131" s="12">
        <f>U131/T131</f>
        <v>0.31578947368421051</v>
      </c>
      <c r="W131" s="12">
        <f>S131/R131</f>
        <v>0.65909090909090906</v>
      </c>
      <c r="X131" s="13">
        <f>V131-W131</f>
        <v>-0.34330143540669855</v>
      </c>
      <c r="Y131" s="8">
        <f>T131*X131</f>
        <v>-6.5227272727272725</v>
      </c>
      <c r="Z131" s="12">
        <f>U131/S131</f>
        <v>5.1724137931034482E-2</v>
      </c>
    </row>
    <row r="132" spans="1:26" ht="11">
      <c r="A132" s="7" t="s">
        <v>104</v>
      </c>
      <c r="B132" s="6">
        <v>281</v>
      </c>
      <c r="C132" s="6">
        <v>93</v>
      </c>
      <c r="D132" s="6">
        <v>62</v>
      </c>
      <c r="E132" s="6">
        <v>15</v>
      </c>
      <c r="F132" s="6">
        <v>372</v>
      </c>
      <c r="G132" s="6">
        <v>94</v>
      </c>
      <c r="H132" s="6">
        <v>64</v>
      </c>
      <c r="I132" s="6">
        <v>5</v>
      </c>
      <c r="J132" s="6">
        <v>427</v>
      </c>
      <c r="K132" s="6">
        <v>82</v>
      </c>
      <c r="L132" s="6">
        <v>102</v>
      </c>
      <c r="M132" s="6">
        <v>3</v>
      </c>
      <c r="N132" s="6">
        <v>427</v>
      </c>
      <c r="O132" s="6">
        <v>72</v>
      </c>
      <c r="P132" s="6">
        <v>87</v>
      </c>
      <c r="Q132" s="6">
        <v>8</v>
      </c>
      <c r="R132" s="6">
        <v>490</v>
      </c>
      <c r="S132" s="6">
        <v>109</v>
      </c>
      <c r="T132" s="7">
        <v>88</v>
      </c>
      <c r="U132" s="7">
        <v>5</v>
      </c>
      <c r="V132" s="12">
        <f>U132/T132</f>
        <v>5.6818181818181816E-2</v>
      </c>
      <c r="W132" s="12">
        <f>S132/R132</f>
        <v>0.22244897959183674</v>
      </c>
      <c r="X132" s="13">
        <f>V132-W132</f>
        <v>-0.16563079777365491</v>
      </c>
      <c r="Y132" s="8">
        <f>T132*X132</f>
        <v>-14.575510204081633</v>
      </c>
      <c r="Z132" s="12">
        <f>U132/S132</f>
        <v>4.5871559633027525E-2</v>
      </c>
    </row>
    <row r="133" spans="1:26" ht="11">
      <c r="A133" s="7" t="s">
        <v>105</v>
      </c>
      <c r="B133" s="6">
        <v>233</v>
      </c>
      <c r="C133" s="6">
        <v>85</v>
      </c>
      <c r="D133" s="6">
        <v>28</v>
      </c>
      <c r="E133" s="6">
        <v>5</v>
      </c>
      <c r="F133" s="6">
        <v>243</v>
      </c>
      <c r="G133" s="6">
        <v>72</v>
      </c>
      <c r="H133" s="6">
        <v>24</v>
      </c>
      <c r="I133" s="6">
        <v>3</v>
      </c>
      <c r="J133" s="6">
        <v>274</v>
      </c>
      <c r="K133" s="6">
        <v>82</v>
      </c>
      <c r="L133" s="6">
        <v>41</v>
      </c>
      <c r="M133" s="6">
        <v>5</v>
      </c>
      <c r="N133" s="6">
        <v>279</v>
      </c>
      <c r="O133" s="6">
        <v>83</v>
      </c>
      <c r="P133" s="6">
        <v>34</v>
      </c>
      <c r="Q133" s="6">
        <v>6</v>
      </c>
      <c r="R133" s="6">
        <v>294</v>
      </c>
      <c r="S133" s="6">
        <v>120</v>
      </c>
      <c r="T133" s="7">
        <v>28</v>
      </c>
      <c r="U133" s="7">
        <v>5</v>
      </c>
      <c r="V133" s="12">
        <f>U133/T133</f>
        <v>0.17857142857142858</v>
      </c>
      <c r="W133" s="12">
        <f>S133/R133</f>
        <v>0.40816326530612246</v>
      </c>
      <c r="X133" s="13">
        <f>V133-W133</f>
        <v>-0.22959183673469388</v>
      </c>
      <c r="Y133" s="8">
        <f>T133*X133</f>
        <v>-6.4285714285714288</v>
      </c>
      <c r="Z133" s="12">
        <f>U133/S133</f>
        <v>4.1666666666666664E-2</v>
      </c>
    </row>
    <row r="134" spans="1:26" ht="11">
      <c r="A134" s="7" t="s">
        <v>149</v>
      </c>
      <c r="B134" s="6">
        <v>815</v>
      </c>
      <c r="C134" s="6">
        <v>182</v>
      </c>
      <c r="D134" s="6">
        <v>90</v>
      </c>
      <c r="E134" s="6">
        <v>5</v>
      </c>
      <c r="F134" s="6">
        <v>962</v>
      </c>
      <c r="G134" s="6">
        <v>164</v>
      </c>
      <c r="H134" s="6">
        <v>104</v>
      </c>
      <c r="I134" s="6">
        <v>8</v>
      </c>
      <c r="J134" s="6">
        <v>1052</v>
      </c>
      <c r="K134" s="6">
        <v>212</v>
      </c>
      <c r="L134" s="6">
        <v>146</v>
      </c>
      <c r="M134" s="6">
        <v>5</v>
      </c>
      <c r="N134" s="6">
        <v>985</v>
      </c>
      <c r="O134" s="6">
        <v>205</v>
      </c>
      <c r="P134" s="6">
        <v>131</v>
      </c>
      <c r="Q134" s="6">
        <v>9</v>
      </c>
      <c r="R134" s="6">
        <v>878</v>
      </c>
      <c r="S134" s="6">
        <v>242</v>
      </c>
      <c r="T134" s="7">
        <v>124</v>
      </c>
      <c r="U134" s="7">
        <v>9</v>
      </c>
      <c r="V134" s="12">
        <f>U134/T134</f>
        <v>7.2580645161290328E-2</v>
      </c>
      <c r="W134" s="12">
        <f>S134/R134</f>
        <v>0.27562642369020501</v>
      </c>
      <c r="X134" s="13">
        <f>V134-W134</f>
        <v>-0.2030457785289147</v>
      </c>
      <c r="Y134" s="8">
        <f>T134*X134</f>
        <v>-25.177676537585423</v>
      </c>
      <c r="Z134" s="12">
        <f>U134/S134</f>
        <v>3.71900826446281E-2</v>
      </c>
    </row>
    <row r="135" spans="1:26" ht="11">
      <c r="A135" s="7" t="s">
        <v>107</v>
      </c>
      <c r="B135" s="6">
        <v>0</v>
      </c>
      <c r="C135" s="6">
        <v>0</v>
      </c>
      <c r="D135" s="6">
        <v>0</v>
      </c>
      <c r="E135" s="6">
        <v>0</v>
      </c>
      <c r="F135" s="6">
        <v>0</v>
      </c>
      <c r="G135" s="6">
        <v>0</v>
      </c>
      <c r="H135" s="6">
        <v>0</v>
      </c>
      <c r="I135" s="6">
        <v>0</v>
      </c>
      <c r="J135" s="6">
        <v>0</v>
      </c>
      <c r="K135" s="6">
        <v>0</v>
      </c>
      <c r="L135" s="6">
        <v>0</v>
      </c>
      <c r="M135" s="6">
        <v>0</v>
      </c>
      <c r="N135" s="6">
        <v>205</v>
      </c>
      <c r="O135" s="6">
        <v>70</v>
      </c>
      <c r="P135" s="6">
        <v>18</v>
      </c>
      <c r="Q135" s="6">
        <v>3</v>
      </c>
      <c r="R135" s="6">
        <v>126</v>
      </c>
      <c r="S135" s="6">
        <v>55</v>
      </c>
      <c r="T135" s="7">
        <v>18</v>
      </c>
      <c r="U135" s="7">
        <v>2</v>
      </c>
      <c r="V135" s="12">
        <f>U135/T135</f>
        <v>0.1111111111111111</v>
      </c>
      <c r="W135" s="12">
        <f>S135/R135</f>
        <v>0.43650793650793651</v>
      </c>
      <c r="X135" s="13">
        <f>V135-W135</f>
        <v>-0.32539682539682541</v>
      </c>
      <c r="Y135" s="8">
        <f>T135*X135</f>
        <v>-5.8571428571428577</v>
      </c>
      <c r="Z135" s="12">
        <f>U135/S135</f>
        <v>3.6363636363636362E-2</v>
      </c>
    </row>
    <row r="136" spans="1:26" s="20" customFormat="1" ht="11">
      <c r="A136" s="20" t="s">
        <v>117</v>
      </c>
      <c r="B136" s="21">
        <v>142</v>
      </c>
      <c r="C136" s="21">
        <v>56</v>
      </c>
      <c r="D136" s="21">
        <v>13</v>
      </c>
      <c r="E136" s="21">
        <v>5</v>
      </c>
      <c r="F136" s="21">
        <v>164</v>
      </c>
      <c r="G136" s="21">
        <v>55</v>
      </c>
      <c r="H136" s="21">
        <v>15</v>
      </c>
      <c r="I136" s="21">
        <v>1</v>
      </c>
      <c r="J136" s="21">
        <v>234</v>
      </c>
      <c r="K136" s="21">
        <v>58</v>
      </c>
      <c r="L136" s="21">
        <v>26</v>
      </c>
      <c r="M136" s="21">
        <v>1</v>
      </c>
      <c r="N136" s="21">
        <v>219</v>
      </c>
      <c r="O136" s="21">
        <v>58</v>
      </c>
      <c r="P136" s="21">
        <v>35</v>
      </c>
      <c r="Q136" s="21">
        <v>1</v>
      </c>
      <c r="R136" s="21">
        <v>192</v>
      </c>
      <c r="S136" s="21">
        <v>56</v>
      </c>
      <c r="T136" s="20">
        <v>25</v>
      </c>
      <c r="U136" s="20">
        <v>2</v>
      </c>
      <c r="V136" s="22">
        <f>U136/T136</f>
        <v>0.08</v>
      </c>
      <c r="W136" s="22">
        <f>S136/R136</f>
        <v>0.29166666666666669</v>
      </c>
      <c r="X136" s="23">
        <f>V136-W136</f>
        <v>-0.21166666666666667</v>
      </c>
      <c r="Y136" s="24">
        <f>T136*X136</f>
        <v>-5.291666666666667</v>
      </c>
      <c r="Z136" s="22">
        <f>U136/S136</f>
        <v>3.5714285714285712E-2</v>
      </c>
    </row>
    <row r="137" spans="1:26" ht="11">
      <c r="A137" s="7" t="s">
        <v>183</v>
      </c>
      <c r="B137" s="6">
        <v>232</v>
      </c>
      <c r="C137" s="6">
        <v>49</v>
      </c>
      <c r="D137" s="6">
        <v>52</v>
      </c>
      <c r="E137" s="6">
        <v>1</v>
      </c>
      <c r="F137" s="6">
        <v>221</v>
      </c>
      <c r="G137" s="6">
        <v>50</v>
      </c>
      <c r="H137" s="6">
        <v>39</v>
      </c>
      <c r="I137" s="6">
        <v>0</v>
      </c>
      <c r="J137" s="6">
        <v>220</v>
      </c>
      <c r="K137" s="6">
        <v>59</v>
      </c>
      <c r="L137" s="6">
        <v>39</v>
      </c>
      <c r="M137" s="6">
        <v>1</v>
      </c>
      <c r="N137" s="6">
        <v>221</v>
      </c>
      <c r="O137" s="6">
        <v>67</v>
      </c>
      <c r="P137" s="6">
        <v>47</v>
      </c>
      <c r="Q137" s="6">
        <v>1</v>
      </c>
      <c r="R137" s="6">
        <v>274</v>
      </c>
      <c r="S137" s="6">
        <v>85</v>
      </c>
      <c r="T137" s="7">
        <v>56</v>
      </c>
      <c r="U137" s="7">
        <v>3</v>
      </c>
      <c r="V137" s="12">
        <f>U137/T137</f>
        <v>5.3571428571428568E-2</v>
      </c>
      <c r="W137" s="12">
        <f>S137/R137</f>
        <v>0.31021897810218979</v>
      </c>
      <c r="X137" s="13">
        <f>V137-W137</f>
        <v>-0.25664754953076124</v>
      </c>
      <c r="Y137" s="8">
        <f>T137*X137</f>
        <v>-14.37226277372263</v>
      </c>
      <c r="Z137" s="12">
        <f>U137/S137</f>
        <v>3.5294117647058823E-2</v>
      </c>
    </row>
    <row r="138" spans="1:26" ht="11">
      <c r="A138" s="7" t="s">
        <v>84</v>
      </c>
      <c r="B138" s="6">
        <v>0</v>
      </c>
      <c r="C138" s="6">
        <v>0</v>
      </c>
      <c r="D138" s="6">
        <v>0</v>
      </c>
      <c r="E138" s="6">
        <v>0</v>
      </c>
      <c r="F138" s="6">
        <v>0</v>
      </c>
      <c r="G138" s="6">
        <v>0</v>
      </c>
      <c r="H138" s="6">
        <v>0</v>
      </c>
      <c r="I138" s="6">
        <v>0</v>
      </c>
      <c r="J138" s="6">
        <v>0</v>
      </c>
      <c r="K138" s="6">
        <v>0</v>
      </c>
      <c r="L138" s="6">
        <v>0</v>
      </c>
      <c r="M138" s="6">
        <v>0</v>
      </c>
      <c r="N138" s="6">
        <v>383</v>
      </c>
      <c r="O138" s="6">
        <v>58</v>
      </c>
      <c r="P138" s="6">
        <v>77</v>
      </c>
      <c r="Q138" s="6">
        <v>4</v>
      </c>
      <c r="R138" s="6">
        <v>475</v>
      </c>
      <c r="S138" s="6">
        <v>87</v>
      </c>
      <c r="T138" s="7">
        <v>86</v>
      </c>
      <c r="U138" s="7">
        <v>3</v>
      </c>
      <c r="V138" s="12">
        <f>U138/T138</f>
        <v>3.4883720930232558E-2</v>
      </c>
      <c r="W138" s="12">
        <f>S138/R138</f>
        <v>0.1831578947368421</v>
      </c>
      <c r="X138" s="13">
        <f>V138-W138</f>
        <v>-0.14827417380660954</v>
      </c>
      <c r="Y138" s="8">
        <f>T138*X138</f>
        <v>-12.75157894736842</v>
      </c>
      <c r="Z138" s="12">
        <f>U138/S138</f>
        <v>3.4482758620689655E-2</v>
      </c>
    </row>
    <row r="139" spans="1:26" ht="11">
      <c r="A139" s="7" t="s">
        <v>92</v>
      </c>
      <c r="B139" s="6">
        <v>765</v>
      </c>
      <c r="C139" s="6">
        <v>168</v>
      </c>
      <c r="D139" s="6">
        <v>152</v>
      </c>
      <c r="E139" s="6">
        <v>9</v>
      </c>
      <c r="F139" s="6">
        <v>781</v>
      </c>
      <c r="G139" s="6">
        <v>152</v>
      </c>
      <c r="H139" s="6">
        <v>175</v>
      </c>
      <c r="I139" s="6">
        <v>11</v>
      </c>
      <c r="J139" s="6">
        <v>741</v>
      </c>
      <c r="K139" s="6">
        <v>148</v>
      </c>
      <c r="L139" s="6">
        <v>207</v>
      </c>
      <c r="M139" s="6">
        <v>7</v>
      </c>
      <c r="N139" s="6">
        <v>690</v>
      </c>
      <c r="O139" s="6">
        <v>153</v>
      </c>
      <c r="P139" s="6">
        <v>177</v>
      </c>
      <c r="Q139" s="6">
        <v>8</v>
      </c>
      <c r="R139" s="6">
        <v>610</v>
      </c>
      <c r="S139" s="6">
        <v>184</v>
      </c>
      <c r="T139" s="7">
        <v>167</v>
      </c>
      <c r="U139" s="7">
        <v>6</v>
      </c>
      <c r="V139" s="12">
        <f>U139/T139</f>
        <v>3.5928143712574849E-2</v>
      </c>
      <c r="W139" s="12">
        <f>S139/R139</f>
        <v>0.30163934426229511</v>
      </c>
      <c r="X139" s="13">
        <f>V139-W139</f>
        <v>-0.26571120054972025</v>
      </c>
      <c r="Y139" s="8">
        <f>T139*X139</f>
        <v>-44.373770491803285</v>
      </c>
      <c r="Z139" s="12">
        <f>U139/S139</f>
        <v>3.2608695652173912E-2</v>
      </c>
    </row>
    <row r="140" spans="1:26" ht="11">
      <c r="A140" s="7" t="s">
        <v>24</v>
      </c>
      <c r="B140" s="6">
        <v>80</v>
      </c>
      <c r="C140" s="6">
        <v>53</v>
      </c>
      <c r="D140" s="6">
        <v>3</v>
      </c>
      <c r="E140" s="6">
        <v>2</v>
      </c>
      <c r="F140" s="6">
        <v>66</v>
      </c>
      <c r="G140" s="6">
        <v>41</v>
      </c>
      <c r="H140" s="6">
        <v>2</v>
      </c>
      <c r="I140" s="6">
        <v>1</v>
      </c>
      <c r="J140" s="6">
        <v>75</v>
      </c>
      <c r="K140" s="6">
        <v>38</v>
      </c>
      <c r="L140" s="6">
        <v>3</v>
      </c>
      <c r="M140" s="6">
        <v>2</v>
      </c>
      <c r="N140" s="6">
        <v>76</v>
      </c>
      <c r="O140" s="6">
        <v>34</v>
      </c>
      <c r="P140" s="6">
        <v>3</v>
      </c>
      <c r="Q140" s="6">
        <v>0</v>
      </c>
      <c r="R140" s="6">
        <v>67</v>
      </c>
      <c r="S140" s="6">
        <v>32</v>
      </c>
      <c r="T140" s="7">
        <v>2</v>
      </c>
      <c r="U140" s="7">
        <v>1</v>
      </c>
      <c r="V140" s="12">
        <f>U140/T140</f>
        <v>0.5</v>
      </c>
      <c r="W140" s="12">
        <f>S140/R140</f>
        <v>0.47761194029850745</v>
      </c>
      <c r="X140" s="13">
        <f>V140-W140</f>
        <v>2.2388059701492546E-2</v>
      </c>
      <c r="Y140" s="8">
        <f>T140*X140</f>
        <v>4.4776119402985093E-2</v>
      </c>
      <c r="Z140" s="12">
        <f>U140/S140</f>
        <v>3.125E-2</v>
      </c>
    </row>
    <row r="141" spans="1:26" ht="11">
      <c r="A141" s="7" t="s">
        <v>27</v>
      </c>
      <c r="B141" s="6">
        <v>0</v>
      </c>
      <c r="C141" s="6">
        <v>0</v>
      </c>
      <c r="D141" s="6">
        <v>0</v>
      </c>
      <c r="E141" s="6">
        <v>0</v>
      </c>
      <c r="F141" s="6">
        <v>0</v>
      </c>
      <c r="G141" s="6">
        <v>0</v>
      </c>
      <c r="H141" s="6">
        <v>0</v>
      </c>
      <c r="I141" s="6">
        <v>0</v>
      </c>
      <c r="J141" s="6">
        <v>0</v>
      </c>
      <c r="K141" s="6">
        <v>0</v>
      </c>
      <c r="L141" s="6">
        <v>0</v>
      </c>
      <c r="M141" s="6">
        <v>0</v>
      </c>
      <c r="N141" s="6">
        <v>461</v>
      </c>
      <c r="O141" s="6">
        <v>135</v>
      </c>
      <c r="P141" s="6">
        <v>46</v>
      </c>
      <c r="Q141" s="6">
        <v>1</v>
      </c>
      <c r="R141" s="6">
        <v>484</v>
      </c>
      <c r="S141" s="6">
        <v>227</v>
      </c>
      <c r="T141" s="7">
        <v>53</v>
      </c>
      <c r="U141" s="7">
        <v>7</v>
      </c>
      <c r="V141" s="12">
        <f>U141/T141</f>
        <v>0.13207547169811321</v>
      </c>
      <c r="W141" s="12">
        <f>S141/R141</f>
        <v>0.46900826446280991</v>
      </c>
      <c r="X141" s="13">
        <f>V141-W141</f>
        <v>-0.33693279276469668</v>
      </c>
      <c r="Y141" s="8">
        <f>T141*X141</f>
        <v>-17.857438016528924</v>
      </c>
      <c r="Z141" s="12">
        <f>U141/S141</f>
        <v>3.0837004405286344E-2</v>
      </c>
    </row>
    <row r="142" spans="1:26" ht="11">
      <c r="A142" s="7" t="s">
        <v>13</v>
      </c>
      <c r="B142" s="6">
        <v>116</v>
      </c>
      <c r="C142" s="6">
        <v>54</v>
      </c>
      <c r="D142" s="6">
        <v>0</v>
      </c>
      <c r="E142" s="6">
        <v>0</v>
      </c>
      <c r="F142" s="6">
        <v>117</v>
      </c>
      <c r="G142" s="6">
        <v>61</v>
      </c>
      <c r="H142" s="6">
        <v>1</v>
      </c>
      <c r="I142" s="6">
        <v>1</v>
      </c>
      <c r="J142" s="6">
        <v>135</v>
      </c>
      <c r="K142" s="6">
        <v>66</v>
      </c>
      <c r="L142" s="6">
        <v>1</v>
      </c>
      <c r="M142" s="6">
        <v>0</v>
      </c>
      <c r="N142" s="6">
        <v>124</v>
      </c>
      <c r="O142" s="6">
        <v>63</v>
      </c>
      <c r="P142" s="6">
        <v>2</v>
      </c>
      <c r="Q142" s="6">
        <v>0</v>
      </c>
      <c r="R142" s="6">
        <v>130</v>
      </c>
      <c r="S142" s="6">
        <v>68</v>
      </c>
      <c r="T142" s="7">
        <v>2</v>
      </c>
      <c r="U142" s="7">
        <v>2</v>
      </c>
      <c r="V142" s="12">
        <f>U142/T142</f>
        <v>1</v>
      </c>
      <c r="W142" s="12">
        <f>S142/R142</f>
        <v>0.52307692307692311</v>
      </c>
      <c r="X142" s="13">
        <f>V142-W142</f>
        <v>0.47692307692307689</v>
      </c>
      <c r="Y142" s="8">
        <f>T142*X142</f>
        <v>0.95384615384615379</v>
      </c>
      <c r="Z142" s="12">
        <f>U142/S142</f>
        <v>2.9411764705882353E-2</v>
      </c>
    </row>
    <row r="143" spans="1:26" ht="11">
      <c r="A143" s="7" t="s">
        <v>103</v>
      </c>
      <c r="B143" s="6">
        <v>331</v>
      </c>
      <c r="C143" s="6">
        <v>93</v>
      </c>
      <c r="D143" s="6">
        <v>36</v>
      </c>
      <c r="E143" s="6">
        <v>3</v>
      </c>
      <c r="F143" s="6">
        <v>340</v>
      </c>
      <c r="G143" s="6">
        <v>78</v>
      </c>
      <c r="H143" s="6">
        <v>43</v>
      </c>
      <c r="I143" s="6">
        <v>3</v>
      </c>
      <c r="J143" s="6">
        <v>370</v>
      </c>
      <c r="K143" s="6">
        <v>82</v>
      </c>
      <c r="L143" s="6">
        <v>67</v>
      </c>
      <c r="M143" s="6">
        <v>2</v>
      </c>
      <c r="N143" s="6">
        <v>344</v>
      </c>
      <c r="O143" s="6">
        <v>81</v>
      </c>
      <c r="P143" s="6">
        <v>55</v>
      </c>
      <c r="Q143" s="6">
        <v>4</v>
      </c>
      <c r="R143" s="6">
        <v>382</v>
      </c>
      <c r="S143" s="6">
        <v>102</v>
      </c>
      <c r="T143" s="7">
        <v>35</v>
      </c>
      <c r="U143" s="7">
        <v>3</v>
      </c>
      <c r="V143" s="12">
        <f>U143/T143</f>
        <v>8.5714285714285715E-2</v>
      </c>
      <c r="W143" s="12">
        <f>S143/R143</f>
        <v>0.26701570680628273</v>
      </c>
      <c r="X143" s="13">
        <f>V143-W143</f>
        <v>-0.18130142109199701</v>
      </c>
      <c r="Y143" s="8">
        <f>T143*X143</f>
        <v>-6.3455497382198951</v>
      </c>
      <c r="Z143" s="12">
        <f>U143/S143</f>
        <v>2.9411764705882353E-2</v>
      </c>
    </row>
    <row r="144" spans="1:26" ht="11">
      <c r="A144" s="7" t="s">
        <v>22</v>
      </c>
      <c r="B144" s="6">
        <v>42</v>
      </c>
      <c r="C144" s="6">
        <v>30</v>
      </c>
      <c r="D144" s="6">
        <v>0</v>
      </c>
      <c r="E144" s="6">
        <v>0</v>
      </c>
      <c r="F144" s="6">
        <v>58</v>
      </c>
      <c r="G144" s="6">
        <v>37</v>
      </c>
      <c r="H144" s="6">
        <v>1</v>
      </c>
      <c r="I144" s="6">
        <v>0</v>
      </c>
      <c r="J144" s="6">
        <v>41</v>
      </c>
      <c r="K144" s="6">
        <v>35</v>
      </c>
      <c r="L144" s="6">
        <v>0</v>
      </c>
      <c r="M144" s="6">
        <v>0</v>
      </c>
      <c r="N144" s="6">
        <v>48</v>
      </c>
      <c r="O144" s="6">
        <v>39</v>
      </c>
      <c r="P144" s="6">
        <v>1</v>
      </c>
      <c r="Q144" s="6">
        <v>1</v>
      </c>
      <c r="R144" s="6">
        <v>46</v>
      </c>
      <c r="S144" s="6">
        <v>36</v>
      </c>
      <c r="T144" s="7">
        <v>1</v>
      </c>
      <c r="U144" s="7">
        <v>1</v>
      </c>
      <c r="V144" s="12">
        <f>U144/T144</f>
        <v>1</v>
      </c>
      <c r="W144" s="12">
        <f>S144/R144</f>
        <v>0.78260869565217395</v>
      </c>
      <c r="X144" s="13">
        <f>V144-W144</f>
        <v>0.21739130434782605</v>
      </c>
      <c r="Y144" s="8">
        <f>T144*X144</f>
        <v>0.21739130434782605</v>
      </c>
      <c r="Z144" s="12">
        <f>U144/S144</f>
        <v>2.7777777777777776E-2</v>
      </c>
    </row>
    <row r="145" spans="1:26" ht="11">
      <c r="A145" s="7" t="s">
        <v>87</v>
      </c>
      <c r="B145" s="6">
        <v>320</v>
      </c>
      <c r="C145" s="6">
        <v>100</v>
      </c>
      <c r="D145" s="6">
        <v>6</v>
      </c>
      <c r="E145" s="6">
        <v>0</v>
      </c>
      <c r="F145" s="6">
        <v>326</v>
      </c>
      <c r="G145" s="6">
        <v>96</v>
      </c>
      <c r="H145" s="6">
        <v>11</v>
      </c>
      <c r="I145" s="6">
        <v>1</v>
      </c>
      <c r="J145" s="6">
        <v>414</v>
      </c>
      <c r="K145" s="6">
        <v>89</v>
      </c>
      <c r="L145" s="6">
        <v>16</v>
      </c>
      <c r="M145" s="6">
        <v>0</v>
      </c>
      <c r="N145" s="6">
        <v>350</v>
      </c>
      <c r="O145" s="6">
        <v>93</v>
      </c>
      <c r="P145" s="6">
        <v>12</v>
      </c>
      <c r="Q145" s="6">
        <v>0</v>
      </c>
      <c r="R145" s="6">
        <v>352</v>
      </c>
      <c r="S145" s="6">
        <v>111</v>
      </c>
      <c r="T145" s="7">
        <v>17</v>
      </c>
      <c r="U145" s="7">
        <v>3</v>
      </c>
      <c r="V145" s="12">
        <f>U145/T145</f>
        <v>0.17647058823529413</v>
      </c>
      <c r="W145" s="12">
        <f>S145/R145</f>
        <v>0.31534090909090912</v>
      </c>
      <c r="X145" s="13">
        <f>V145-W145</f>
        <v>-0.13887032085561499</v>
      </c>
      <c r="Y145" s="8">
        <f>T145*X145</f>
        <v>-2.3607954545454546</v>
      </c>
      <c r="Z145" s="12">
        <f>U145/S145</f>
        <v>2.7027027027027029E-2</v>
      </c>
    </row>
    <row r="146" spans="1:26" ht="11">
      <c r="A146" s="7" t="s">
        <v>9</v>
      </c>
      <c r="B146" s="6">
        <v>105</v>
      </c>
      <c r="C146" s="6">
        <v>60</v>
      </c>
      <c r="D146" s="6">
        <v>3</v>
      </c>
      <c r="E146" s="6">
        <v>2</v>
      </c>
      <c r="F146" s="6">
        <v>112</v>
      </c>
      <c r="G146" s="6">
        <v>67</v>
      </c>
      <c r="H146" s="6">
        <v>10</v>
      </c>
      <c r="I146" s="6">
        <v>2</v>
      </c>
      <c r="J146" s="6">
        <v>99</v>
      </c>
      <c r="K146" s="6">
        <v>65</v>
      </c>
      <c r="L146" s="6">
        <v>4</v>
      </c>
      <c r="M146" s="6">
        <v>2</v>
      </c>
      <c r="N146" s="6">
        <v>93</v>
      </c>
      <c r="O146" s="6">
        <v>60</v>
      </c>
      <c r="P146" s="6">
        <v>4</v>
      </c>
      <c r="Q146" s="6">
        <v>2</v>
      </c>
      <c r="R146" s="6">
        <v>55</v>
      </c>
      <c r="S146" s="6">
        <v>41</v>
      </c>
      <c r="T146" s="7">
        <v>2</v>
      </c>
      <c r="U146" s="7">
        <v>1</v>
      </c>
      <c r="V146" s="12">
        <f>U146/T146</f>
        <v>0.5</v>
      </c>
      <c r="W146" s="12">
        <f>S146/R146</f>
        <v>0.74545454545454548</v>
      </c>
      <c r="X146" s="13">
        <f>V146-W146</f>
        <v>-0.24545454545454548</v>
      </c>
      <c r="Y146" s="8">
        <f>T146*X146</f>
        <v>-0.49090909090909096</v>
      </c>
      <c r="Z146" s="12">
        <f>U146/S146</f>
        <v>2.4390243902439025E-2</v>
      </c>
    </row>
    <row r="147" spans="1:26" s="20" customFormat="1" ht="11">
      <c r="A147" s="20" t="s">
        <v>131</v>
      </c>
      <c r="B147" s="19">
        <v>0</v>
      </c>
      <c r="C147" s="19">
        <v>0</v>
      </c>
      <c r="D147" s="19">
        <v>0</v>
      </c>
      <c r="E147" s="19">
        <v>0</v>
      </c>
      <c r="F147" s="19">
        <v>0</v>
      </c>
      <c r="G147" s="19">
        <v>0</v>
      </c>
      <c r="H147" s="19">
        <v>0</v>
      </c>
      <c r="I147" s="19">
        <v>0</v>
      </c>
      <c r="J147" s="19">
        <v>0</v>
      </c>
      <c r="K147" s="19">
        <v>0</v>
      </c>
      <c r="L147" s="19">
        <v>0</v>
      </c>
      <c r="M147" s="19">
        <v>0</v>
      </c>
      <c r="N147" s="19">
        <v>82</v>
      </c>
      <c r="O147" s="19">
        <v>73</v>
      </c>
      <c r="P147" s="19">
        <v>4</v>
      </c>
      <c r="Q147" s="19">
        <v>4</v>
      </c>
      <c r="R147" s="19">
        <v>121</v>
      </c>
      <c r="S147" s="19">
        <v>107</v>
      </c>
      <c r="T147" s="17">
        <v>2</v>
      </c>
      <c r="U147" s="17">
        <v>2</v>
      </c>
      <c r="V147" s="22">
        <f>U147/T147</f>
        <v>1</v>
      </c>
      <c r="W147" s="22">
        <f>S147/R147</f>
        <v>0.88429752066115708</v>
      </c>
      <c r="X147" s="23">
        <f>V147-W147</f>
        <v>0.11570247933884292</v>
      </c>
      <c r="Y147" s="24">
        <f>T147*X147</f>
        <v>0.23140495867768585</v>
      </c>
      <c r="Z147" s="22">
        <f>U147/S147</f>
        <v>1.8691588785046728E-2</v>
      </c>
    </row>
    <row r="148" spans="1:26" ht="11">
      <c r="A148" s="7" t="s">
        <v>185</v>
      </c>
      <c r="B148" s="6">
        <v>121</v>
      </c>
      <c r="C148" s="6">
        <v>27</v>
      </c>
      <c r="D148" s="6">
        <v>35</v>
      </c>
      <c r="E148" s="6">
        <v>1</v>
      </c>
      <c r="F148" s="6">
        <v>172</v>
      </c>
      <c r="G148" s="6">
        <v>42</v>
      </c>
      <c r="H148" s="6">
        <v>58</v>
      </c>
      <c r="I148" s="6">
        <v>5</v>
      </c>
      <c r="J148" s="6">
        <v>199</v>
      </c>
      <c r="K148" s="6">
        <v>46</v>
      </c>
      <c r="L148" s="6">
        <v>61</v>
      </c>
      <c r="M148" s="6">
        <v>2</v>
      </c>
      <c r="N148" s="6">
        <v>208</v>
      </c>
      <c r="O148" s="6">
        <v>46</v>
      </c>
      <c r="P148" s="6">
        <v>49</v>
      </c>
      <c r="Q148" s="6">
        <v>4</v>
      </c>
      <c r="R148" s="6">
        <v>249</v>
      </c>
      <c r="S148" s="6">
        <v>58</v>
      </c>
      <c r="T148" s="7">
        <v>90</v>
      </c>
      <c r="U148" s="7">
        <v>1</v>
      </c>
      <c r="V148" s="12">
        <f>U148/T148</f>
        <v>1.1111111111111112E-2</v>
      </c>
      <c r="W148" s="12">
        <f>S148/R148</f>
        <v>0.23293172690763053</v>
      </c>
      <c r="X148" s="13">
        <f>V148-W148</f>
        <v>-0.22182061579651943</v>
      </c>
      <c r="Y148" s="8">
        <f>T148*X148</f>
        <v>-19.963855421686748</v>
      </c>
      <c r="Z148" s="12">
        <f>U148/S148</f>
        <v>1.7241379310344827E-2</v>
      </c>
    </row>
    <row r="149" spans="1:26" ht="11">
      <c r="A149" s="7" t="s">
        <v>119</v>
      </c>
      <c r="B149" s="6">
        <v>0</v>
      </c>
      <c r="C149" s="6">
        <v>0</v>
      </c>
      <c r="D149" s="6">
        <v>0</v>
      </c>
      <c r="E149" s="6">
        <v>0</v>
      </c>
      <c r="F149" s="6">
        <v>139</v>
      </c>
      <c r="G149" s="6">
        <v>33</v>
      </c>
      <c r="H149" s="6">
        <v>3</v>
      </c>
      <c r="I149" s="6">
        <v>0</v>
      </c>
      <c r="J149" s="6">
        <v>112</v>
      </c>
      <c r="K149" s="6">
        <v>38</v>
      </c>
      <c r="L149" s="6">
        <v>7</v>
      </c>
      <c r="M149" s="6">
        <v>0</v>
      </c>
      <c r="N149" s="6">
        <v>109</v>
      </c>
      <c r="O149" s="6">
        <v>41</v>
      </c>
      <c r="P149" s="6">
        <v>5</v>
      </c>
      <c r="Q149" s="6">
        <v>1</v>
      </c>
      <c r="R149" s="6">
        <v>134</v>
      </c>
      <c r="S149" s="6">
        <v>63</v>
      </c>
      <c r="T149" s="7">
        <v>4</v>
      </c>
      <c r="U149" s="7">
        <v>1</v>
      </c>
      <c r="V149" s="12">
        <f>U149/T149</f>
        <v>0.25</v>
      </c>
      <c r="W149" s="12">
        <f>S149/R149</f>
        <v>0.47014925373134331</v>
      </c>
      <c r="X149" s="13">
        <f>V149-W149</f>
        <v>-0.22014925373134331</v>
      </c>
      <c r="Y149" s="8">
        <f>T149*X149</f>
        <v>-0.88059701492537323</v>
      </c>
      <c r="Z149" s="12">
        <f>U149/S149</f>
        <v>1.5873015873015872E-2</v>
      </c>
    </row>
    <row r="150" spans="1:26" ht="11">
      <c r="A150" s="7" t="s">
        <v>128</v>
      </c>
      <c r="B150" s="6">
        <v>343</v>
      </c>
      <c r="C150" s="6">
        <v>63</v>
      </c>
      <c r="D150" s="6">
        <v>33</v>
      </c>
      <c r="E150" s="6">
        <v>0</v>
      </c>
      <c r="F150" s="6">
        <v>317</v>
      </c>
      <c r="G150" s="6">
        <v>52</v>
      </c>
      <c r="H150" s="6">
        <v>31</v>
      </c>
      <c r="I150" s="6">
        <v>1</v>
      </c>
      <c r="J150" s="6">
        <v>327</v>
      </c>
      <c r="K150" s="6">
        <v>67</v>
      </c>
      <c r="L150" s="6">
        <v>27</v>
      </c>
      <c r="M150" s="6">
        <v>2</v>
      </c>
      <c r="N150" s="6">
        <v>348</v>
      </c>
      <c r="O150" s="6">
        <v>63</v>
      </c>
      <c r="P150" s="6">
        <v>48</v>
      </c>
      <c r="Q150" s="6">
        <v>0</v>
      </c>
      <c r="R150" s="6">
        <v>298</v>
      </c>
      <c r="S150" s="6">
        <v>74</v>
      </c>
      <c r="T150" s="7">
        <v>29</v>
      </c>
      <c r="U150" s="7">
        <v>1</v>
      </c>
      <c r="V150" s="12">
        <f>U150/T150</f>
        <v>3.4482758620689655E-2</v>
      </c>
      <c r="W150" s="12">
        <f>S150/R150</f>
        <v>0.24832214765100671</v>
      </c>
      <c r="X150" s="13">
        <f>V150-W150</f>
        <v>-0.21383938903031707</v>
      </c>
      <c r="Y150" s="8">
        <f>T150*X150</f>
        <v>-6.201342281879195</v>
      </c>
      <c r="Z150" s="12">
        <f>U150/S150</f>
        <v>1.3513513513513514E-2</v>
      </c>
    </row>
    <row r="151" spans="1:26" ht="11">
      <c r="A151" s="7" t="s">
        <v>17</v>
      </c>
      <c r="B151" s="6">
        <v>141</v>
      </c>
      <c r="C151" s="6">
        <v>66</v>
      </c>
      <c r="D151" s="6">
        <v>0</v>
      </c>
      <c r="E151" s="6">
        <v>0</v>
      </c>
      <c r="F151" s="6">
        <v>187</v>
      </c>
      <c r="G151" s="6">
        <v>80</v>
      </c>
      <c r="H151" s="6">
        <v>3</v>
      </c>
      <c r="I151" s="6">
        <v>2</v>
      </c>
      <c r="J151" s="6">
        <v>122</v>
      </c>
      <c r="K151" s="6">
        <v>73</v>
      </c>
      <c r="L151" s="6">
        <v>1</v>
      </c>
      <c r="M151" s="6">
        <v>1</v>
      </c>
      <c r="N151" s="6">
        <v>108</v>
      </c>
      <c r="O151" s="6">
        <v>71</v>
      </c>
      <c r="P151" s="6">
        <v>1</v>
      </c>
      <c r="Q151" s="6">
        <v>0</v>
      </c>
      <c r="R151" s="6">
        <v>117</v>
      </c>
      <c r="S151" s="6">
        <v>93</v>
      </c>
      <c r="T151" s="7">
        <v>2</v>
      </c>
      <c r="U151" s="7">
        <v>1</v>
      </c>
      <c r="V151" s="12">
        <f>U151/T151</f>
        <v>0.5</v>
      </c>
      <c r="W151" s="12">
        <f>S151/R151</f>
        <v>0.79487179487179482</v>
      </c>
      <c r="X151" s="13">
        <f>V151-W151</f>
        <v>-0.29487179487179482</v>
      </c>
      <c r="Y151" s="8">
        <f>T151*X151</f>
        <v>-0.58974358974358965</v>
      </c>
      <c r="Z151" s="12">
        <f>U151/S151</f>
        <v>1.0752688172043012E-2</v>
      </c>
    </row>
    <row r="152" spans="1:26" ht="11">
      <c r="A152" s="7" t="s">
        <v>137</v>
      </c>
      <c r="B152" s="6">
        <v>309</v>
      </c>
      <c r="C152" s="6">
        <v>130</v>
      </c>
      <c r="D152" s="6">
        <v>4</v>
      </c>
      <c r="E152" s="6">
        <v>1</v>
      </c>
      <c r="F152" s="6">
        <v>351</v>
      </c>
      <c r="G152" s="6">
        <v>130</v>
      </c>
      <c r="H152" s="6">
        <v>4</v>
      </c>
      <c r="I152" s="6">
        <v>2</v>
      </c>
      <c r="J152" s="6">
        <v>409</v>
      </c>
      <c r="K152" s="6">
        <v>138</v>
      </c>
      <c r="L152" s="6">
        <v>8</v>
      </c>
      <c r="M152" s="6">
        <v>2</v>
      </c>
      <c r="N152" s="6">
        <v>263</v>
      </c>
      <c r="O152" s="6">
        <v>107</v>
      </c>
      <c r="P152" s="6">
        <v>8</v>
      </c>
      <c r="Q152" s="6">
        <v>1</v>
      </c>
      <c r="R152" s="6">
        <v>269</v>
      </c>
      <c r="S152" s="6">
        <v>96</v>
      </c>
      <c r="T152" s="7">
        <v>7</v>
      </c>
      <c r="U152" s="7">
        <v>1</v>
      </c>
      <c r="V152" s="12">
        <f>U152/T152</f>
        <v>0.14285714285714285</v>
      </c>
      <c r="W152" s="12">
        <f>S152/R152</f>
        <v>0.35687732342007433</v>
      </c>
      <c r="X152" s="13">
        <f>V152-W152</f>
        <v>-0.21402018056293148</v>
      </c>
      <c r="Y152" s="8">
        <f>T152*X152</f>
        <v>-1.4981412639405205</v>
      </c>
      <c r="Z152" s="12">
        <f>U152/S152</f>
        <v>1.0416666666666666E-2</v>
      </c>
    </row>
    <row r="153" spans="1:26" ht="11">
      <c r="A153" s="7" t="s">
        <v>130</v>
      </c>
      <c r="B153" s="6">
        <v>0</v>
      </c>
      <c r="C153" s="6">
        <v>0</v>
      </c>
      <c r="D153" s="6">
        <v>0</v>
      </c>
      <c r="E153" s="6">
        <v>0</v>
      </c>
      <c r="F153" s="6">
        <v>34</v>
      </c>
      <c r="G153" s="6">
        <v>8</v>
      </c>
      <c r="H153" s="6">
        <v>1</v>
      </c>
      <c r="I153" s="6">
        <v>0</v>
      </c>
      <c r="J153" s="6">
        <v>166</v>
      </c>
      <c r="K153" s="6">
        <v>68</v>
      </c>
      <c r="L153" s="6">
        <v>22</v>
      </c>
      <c r="M153" s="6">
        <v>4</v>
      </c>
      <c r="N153" s="6">
        <v>171</v>
      </c>
      <c r="O153" s="6">
        <v>71</v>
      </c>
      <c r="P153" s="6">
        <v>15</v>
      </c>
      <c r="Q153" s="6">
        <v>4</v>
      </c>
      <c r="R153" s="6">
        <v>220</v>
      </c>
      <c r="S153" s="6">
        <v>113</v>
      </c>
      <c r="T153" s="7">
        <v>19</v>
      </c>
      <c r="U153" s="7">
        <v>1</v>
      </c>
      <c r="V153" s="12">
        <f>U153/T153</f>
        <v>5.2631578947368418E-2</v>
      </c>
      <c r="W153" s="12">
        <f>S153/R153</f>
        <v>0.51363636363636367</v>
      </c>
      <c r="X153" s="13">
        <f>V153-W153</f>
        <v>-0.46100478468899525</v>
      </c>
      <c r="Y153" s="8">
        <f>T153*X153</f>
        <v>-8.7590909090909097</v>
      </c>
      <c r="Z153" s="12">
        <f>U153/S153</f>
        <v>8.8495575221238937E-3</v>
      </c>
    </row>
    <row r="154" spans="1:26" ht="11">
      <c r="A154" s="7" t="s">
        <v>138</v>
      </c>
      <c r="B154" s="6">
        <v>0</v>
      </c>
      <c r="C154" s="6">
        <v>0</v>
      </c>
      <c r="D154" s="6">
        <v>0</v>
      </c>
      <c r="E154" s="6">
        <v>0</v>
      </c>
      <c r="F154" s="6">
        <v>0</v>
      </c>
      <c r="G154" s="6">
        <v>0</v>
      </c>
      <c r="H154" s="6">
        <v>0</v>
      </c>
      <c r="I154" s="6">
        <v>0</v>
      </c>
      <c r="J154" s="6">
        <v>0</v>
      </c>
      <c r="K154" s="6">
        <v>0</v>
      </c>
      <c r="L154" s="6">
        <v>0</v>
      </c>
      <c r="M154" s="6">
        <v>0</v>
      </c>
      <c r="N154" s="6">
        <v>219</v>
      </c>
      <c r="O154" s="6">
        <v>70</v>
      </c>
      <c r="P154" s="6">
        <v>10</v>
      </c>
      <c r="Q154" s="6">
        <v>1</v>
      </c>
      <c r="R154" s="6">
        <v>240</v>
      </c>
      <c r="S154" s="6">
        <v>121</v>
      </c>
      <c r="T154" s="7">
        <v>5</v>
      </c>
      <c r="U154" s="7">
        <v>1</v>
      </c>
      <c r="V154" s="12">
        <f>U154/T154</f>
        <v>0.2</v>
      </c>
      <c r="W154" s="12">
        <f>S154/R154</f>
        <v>0.50416666666666665</v>
      </c>
      <c r="X154" s="13">
        <f>V154-W154</f>
        <v>-0.30416666666666664</v>
      </c>
      <c r="Y154" s="8">
        <f>T154*X154</f>
        <v>-1.5208333333333333</v>
      </c>
      <c r="Z154" s="12">
        <f>U154/S154</f>
        <v>8.2644628099173556E-3</v>
      </c>
    </row>
    <row r="155" spans="1:26" ht="11">
      <c r="A155" s="7" t="s">
        <v>198</v>
      </c>
      <c r="B155" s="6">
        <v>0</v>
      </c>
      <c r="C155" s="6">
        <v>0</v>
      </c>
      <c r="D155" s="6">
        <v>0</v>
      </c>
      <c r="E155" s="6">
        <v>0</v>
      </c>
      <c r="F155" s="6">
        <v>406</v>
      </c>
      <c r="G155" s="6">
        <v>89</v>
      </c>
      <c r="H155" s="6">
        <v>95</v>
      </c>
      <c r="I155" s="6">
        <v>3</v>
      </c>
      <c r="J155" s="6">
        <v>516</v>
      </c>
      <c r="K155" s="6">
        <v>76</v>
      </c>
      <c r="L155" s="6">
        <v>136</v>
      </c>
      <c r="M155" s="6">
        <v>3</v>
      </c>
      <c r="N155" s="6">
        <v>545</v>
      </c>
      <c r="O155" s="6">
        <v>93</v>
      </c>
      <c r="P155" s="6">
        <v>150</v>
      </c>
      <c r="Q155" s="6">
        <v>2</v>
      </c>
      <c r="R155" s="6">
        <v>523</v>
      </c>
      <c r="S155" s="6">
        <v>128</v>
      </c>
      <c r="T155" s="7">
        <v>170</v>
      </c>
      <c r="U155" s="7">
        <v>1</v>
      </c>
      <c r="V155" s="12">
        <f>U155/T155</f>
        <v>5.8823529411764705E-3</v>
      </c>
      <c r="W155" s="12">
        <f>S155/R155</f>
        <v>0.24474187380497131</v>
      </c>
      <c r="X155" s="13">
        <f>V155-W155</f>
        <v>-0.23885952086379483</v>
      </c>
      <c r="Y155" s="8">
        <f>T155*X155</f>
        <v>-40.606118546845124</v>
      </c>
      <c r="Z155" s="12">
        <f>U155/S155</f>
        <v>7.8125E-3</v>
      </c>
    </row>
    <row r="156" spans="1:26" ht="11">
      <c r="A156" s="7" t="s">
        <v>216</v>
      </c>
      <c r="B156" s="6">
        <v>475</v>
      </c>
      <c r="C156" s="6">
        <v>97</v>
      </c>
      <c r="D156" s="6">
        <v>9</v>
      </c>
      <c r="E156" s="6">
        <v>1</v>
      </c>
      <c r="F156" s="6">
        <v>396</v>
      </c>
      <c r="G156" s="6">
        <v>80</v>
      </c>
      <c r="H156" s="6">
        <v>12</v>
      </c>
      <c r="I156" s="6">
        <v>2</v>
      </c>
      <c r="J156" s="6">
        <v>403</v>
      </c>
      <c r="K156" s="6">
        <v>84</v>
      </c>
      <c r="L156" s="6">
        <v>4</v>
      </c>
      <c r="M156" s="6">
        <v>0</v>
      </c>
      <c r="N156" s="6">
        <v>422</v>
      </c>
      <c r="O156" s="6">
        <v>123</v>
      </c>
      <c r="P156" s="6">
        <v>12</v>
      </c>
      <c r="Q156" s="6">
        <v>2</v>
      </c>
      <c r="R156" s="6">
        <v>418</v>
      </c>
      <c r="S156" s="6">
        <v>141</v>
      </c>
      <c r="T156" s="7">
        <v>17</v>
      </c>
      <c r="U156" s="7">
        <v>1</v>
      </c>
      <c r="V156" s="12">
        <f>U156/T156</f>
        <v>5.8823529411764705E-2</v>
      </c>
      <c r="W156" s="12">
        <f>S156/R156</f>
        <v>0.33732057416267941</v>
      </c>
      <c r="X156" s="13">
        <f>V156-W156</f>
        <v>-0.27849704475091469</v>
      </c>
      <c r="Y156" s="8">
        <f>T156*X156</f>
        <v>-4.7344497607655498</v>
      </c>
      <c r="Z156" s="12">
        <f>U156/S156</f>
        <v>7.0921985815602835E-3</v>
      </c>
    </row>
    <row r="157" spans="1:26" ht="11">
      <c r="A157" s="7" t="s">
        <v>21</v>
      </c>
      <c r="B157" s="6">
        <v>0</v>
      </c>
      <c r="C157" s="6">
        <v>0</v>
      </c>
      <c r="D157" s="6">
        <v>0</v>
      </c>
      <c r="E157" s="6">
        <v>0</v>
      </c>
      <c r="F157" s="6">
        <v>0</v>
      </c>
      <c r="G157" s="6">
        <v>0</v>
      </c>
      <c r="H157" s="6">
        <v>0</v>
      </c>
      <c r="I157" s="6">
        <v>0</v>
      </c>
      <c r="J157" s="6">
        <v>0</v>
      </c>
      <c r="K157" s="6">
        <v>0</v>
      </c>
      <c r="L157" s="6">
        <v>0</v>
      </c>
      <c r="M157" s="6">
        <v>0</v>
      </c>
      <c r="N157" s="6">
        <v>25</v>
      </c>
      <c r="O157" s="6">
        <v>23</v>
      </c>
      <c r="P157" s="6">
        <v>0</v>
      </c>
      <c r="Q157" s="6">
        <v>0</v>
      </c>
      <c r="R157" s="6">
        <v>23</v>
      </c>
      <c r="S157" s="6">
        <v>19</v>
      </c>
      <c r="T157" s="7">
        <v>1</v>
      </c>
      <c r="U157" s="7">
        <v>0</v>
      </c>
      <c r="V157" s="12">
        <f>U157/T157</f>
        <v>0</v>
      </c>
      <c r="W157" s="12">
        <f>S157/R157</f>
        <v>0.82608695652173914</v>
      </c>
      <c r="X157" s="13">
        <f>V157-W157</f>
        <v>-0.82608695652173914</v>
      </c>
      <c r="Y157" s="8">
        <f>T157*X157</f>
        <v>-0.82608695652173914</v>
      </c>
      <c r="Z157" s="12">
        <f>U157/S157</f>
        <v>0</v>
      </c>
    </row>
    <row r="158" spans="1:26" ht="11">
      <c r="A158" s="7" t="s">
        <v>8</v>
      </c>
      <c r="B158" s="6">
        <v>0</v>
      </c>
      <c r="C158" s="6">
        <v>0</v>
      </c>
      <c r="D158" s="6">
        <v>0</v>
      </c>
      <c r="E158" s="6">
        <v>0</v>
      </c>
      <c r="F158" s="6">
        <v>0</v>
      </c>
      <c r="G158" s="6">
        <v>0</v>
      </c>
      <c r="H158" s="6">
        <v>0</v>
      </c>
      <c r="I158" s="6">
        <v>0</v>
      </c>
      <c r="J158" s="6">
        <v>76</v>
      </c>
      <c r="K158" s="6">
        <v>43</v>
      </c>
      <c r="L158" s="6">
        <v>4</v>
      </c>
      <c r="M158" s="6">
        <v>0</v>
      </c>
      <c r="N158" s="6">
        <v>88</v>
      </c>
      <c r="O158" s="6">
        <v>45</v>
      </c>
      <c r="P158" s="6">
        <v>3</v>
      </c>
      <c r="Q158" s="6">
        <v>0</v>
      </c>
      <c r="R158" s="6">
        <v>81</v>
      </c>
      <c r="S158" s="6">
        <v>56</v>
      </c>
      <c r="T158" s="7">
        <v>1</v>
      </c>
      <c r="U158" s="7">
        <v>0</v>
      </c>
      <c r="V158" s="12">
        <f>U158/T158</f>
        <v>0</v>
      </c>
      <c r="W158" s="12">
        <f>S158/R158</f>
        <v>0.69135802469135799</v>
      </c>
      <c r="X158" s="13">
        <f>V158-W158</f>
        <v>-0.69135802469135799</v>
      </c>
      <c r="Y158" s="8">
        <f>T158*X158</f>
        <v>-0.69135802469135799</v>
      </c>
      <c r="Z158" s="12">
        <f>U158/S158</f>
        <v>0</v>
      </c>
    </row>
    <row r="159" spans="1:26" ht="11">
      <c r="A159" s="7" t="s">
        <v>55</v>
      </c>
      <c r="B159" s="6">
        <v>29</v>
      </c>
      <c r="C159" s="6">
        <v>6</v>
      </c>
      <c r="D159" s="6">
        <v>2</v>
      </c>
      <c r="E159" s="6">
        <v>0</v>
      </c>
      <c r="F159" s="6">
        <v>31</v>
      </c>
      <c r="G159" s="6">
        <v>5</v>
      </c>
      <c r="H159" s="6">
        <v>1</v>
      </c>
      <c r="I159" s="6">
        <v>0</v>
      </c>
      <c r="J159" s="6">
        <v>47</v>
      </c>
      <c r="K159" s="6">
        <v>11</v>
      </c>
      <c r="L159" s="6">
        <v>3</v>
      </c>
      <c r="M159" s="6">
        <v>1</v>
      </c>
      <c r="N159" s="6">
        <v>55</v>
      </c>
      <c r="O159" s="6">
        <v>12</v>
      </c>
      <c r="P159" s="6">
        <v>5</v>
      </c>
      <c r="Q159" s="6">
        <v>0</v>
      </c>
      <c r="R159" s="6">
        <v>59</v>
      </c>
      <c r="S159" s="6">
        <v>21</v>
      </c>
      <c r="T159" s="7">
        <v>2</v>
      </c>
      <c r="U159" s="7">
        <v>0</v>
      </c>
      <c r="V159" s="12">
        <f>U159/T159</f>
        <v>0</v>
      </c>
      <c r="W159" s="12">
        <f>S159/R159</f>
        <v>0.3559322033898305</v>
      </c>
      <c r="X159" s="13">
        <f>V159-W159</f>
        <v>-0.3559322033898305</v>
      </c>
      <c r="Y159" s="8">
        <f>T159*X159</f>
        <v>-0.71186440677966101</v>
      </c>
      <c r="Z159" s="12">
        <f>U159/S159</f>
        <v>0</v>
      </c>
    </row>
    <row r="160" spans="1:26" ht="11">
      <c r="A160" s="7" t="s">
        <v>43</v>
      </c>
      <c r="B160" s="6">
        <v>43</v>
      </c>
      <c r="C160" s="6">
        <v>13</v>
      </c>
      <c r="D160" s="6">
        <v>5</v>
      </c>
      <c r="E160" s="6">
        <v>0</v>
      </c>
      <c r="F160" s="6">
        <v>52</v>
      </c>
      <c r="G160" s="6">
        <v>14</v>
      </c>
      <c r="H160" s="6">
        <v>4</v>
      </c>
      <c r="I160" s="6">
        <v>0</v>
      </c>
      <c r="J160" s="6">
        <v>59</v>
      </c>
      <c r="K160" s="6">
        <v>18</v>
      </c>
      <c r="L160" s="6">
        <v>2</v>
      </c>
      <c r="M160" s="6">
        <v>0</v>
      </c>
      <c r="N160" s="6">
        <v>59</v>
      </c>
      <c r="O160" s="6">
        <v>19</v>
      </c>
      <c r="P160" s="6">
        <v>0</v>
      </c>
      <c r="Q160" s="6">
        <v>0</v>
      </c>
      <c r="R160" s="6">
        <v>41</v>
      </c>
      <c r="S160" s="6">
        <v>13</v>
      </c>
      <c r="T160" s="7">
        <v>1</v>
      </c>
      <c r="U160" s="7">
        <v>0</v>
      </c>
      <c r="V160" s="12">
        <f>U160/T160</f>
        <v>0</v>
      </c>
      <c r="W160" s="12">
        <f>S160/R160</f>
        <v>0.31707317073170732</v>
      </c>
      <c r="X160" s="13">
        <f>V160-W160</f>
        <v>-0.31707317073170732</v>
      </c>
      <c r="Y160" s="8">
        <f>T160*X160</f>
        <v>-0.31707317073170732</v>
      </c>
      <c r="Z160" s="12">
        <f>U160/S160</f>
        <v>0</v>
      </c>
    </row>
    <row r="161" spans="1:26" ht="11">
      <c r="A161" s="7" t="s">
        <v>42</v>
      </c>
      <c r="B161" s="6">
        <v>42</v>
      </c>
      <c r="C161" s="6">
        <v>2</v>
      </c>
      <c r="D161" s="6">
        <v>6</v>
      </c>
      <c r="E161" s="6">
        <v>0</v>
      </c>
      <c r="F161" s="6">
        <v>33</v>
      </c>
      <c r="G161" s="6">
        <v>1</v>
      </c>
      <c r="H161" s="6">
        <v>6</v>
      </c>
      <c r="I161" s="6">
        <v>0</v>
      </c>
      <c r="J161" s="6">
        <v>26</v>
      </c>
      <c r="K161" s="6">
        <v>1</v>
      </c>
      <c r="L161" s="6">
        <v>4</v>
      </c>
      <c r="M161" s="6">
        <v>0</v>
      </c>
      <c r="N161" s="6">
        <v>54</v>
      </c>
      <c r="O161" s="6">
        <v>15</v>
      </c>
      <c r="P161" s="6">
        <v>6</v>
      </c>
      <c r="Q161" s="6">
        <v>0</v>
      </c>
      <c r="R161" s="6">
        <v>48</v>
      </c>
      <c r="S161" s="6">
        <v>14</v>
      </c>
      <c r="T161" s="7">
        <v>6</v>
      </c>
      <c r="U161" s="7">
        <v>0</v>
      </c>
      <c r="V161" s="12">
        <f>U161/T161</f>
        <v>0</v>
      </c>
      <c r="W161" s="12">
        <f>S161/R161</f>
        <v>0.29166666666666669</v>
      </c>
      <c r="X161" s="13">
        <f>V161-W161</f>
        <v>-0.29166666666666669</v>
      </c>
      <c r="Y161" s="8">
        <f>T161*X161</f>
        <v>-1.75</v>
      </c>
      <c r="Z161" s="12">
        <f>U161/S161</f>
        <v>0</v>
      </c>
    </row>
    <row r="162" spans="1:26" ht="11">
      <c r="A162" s="7" t="s">
        <v>69</v>
      </c>
      <c r="B162" s="6">
        <v>0</v>
      </c>
      <c r="C162" s="6">
        <v>0</v>
      </c>
      <c r="D162" s="6">
        <v>0</v>
      </c>
      <c r="E162" s="6">
        <v>0</v>
      </c>
      <c r="F162" s="6">
        <v>15</v>
      </c>
      <c r="G162" s="6">
        <v>0</v>
      </c>
      <c r="H162" s="6">
        <v>3</v>
      </c>
      <c r="I162" s="6">
        <v>0</v>
      </c>
      <c r="J162" s="6">
        <v>11</v>
      </c>
      <c r="K162" s="6">
        <v>0</v>
      </c>
      <c r="L162" s="6">
        <v>1</v>
      </c>
      <c r="M162" s="6">
        <v>0</v>
      </c>
      <c r="N162" s="6">
        <v>5</v>
      </c>
      <c r="O162" s="6">
        <v>0</v>
      </c>
      <c r="P162" s="6">
        <v>1</v>
      </c>
      <c r="Q162" s="6">
        <v>0</v>
      </c>
      <c r="R162" s="6">
        <v>12</v>
      </c>
      <c r="S162" s="6">
        <v>3</v>
      </c>
      <c r="T162" s="7">
        <v>2</v>
      </c>
      <c r="U162" s="7">
        <v>0</v>
      </c>
      <c r="V162" s="12">
        <f>U162/T162</f>
        <v>0</v>
      </c>
      <c r="W162" s="12">
        <f>S162/R162</f>
        <v>0.25</v>
      </c>
      <c r="X162" s="13">
        <f>V162-W162</f>
        <v>-0.25</v>
      </c>
      <c r="Y162" s="8">
        <f>T162*X162</f>
        <v>-0.5</v>
      </c>
      <c r="Z162" s="12">
        <f>U162/S162</f>
        <v>0</v>
      </c>
    </row>
    <row r="163" spans="1:26" ht="11">
      <c r="A163" s="7" t="s">
        <v>68</v>
      </c>
      <c r="B163" s="6">
        <v>191</v>
      </c>
      <c r="C163" s="6">
        <v>14</v>
      </c>
      <c r="D163" s="6">
        <v>8</v>
      </c>
      <c r="E163" s="6">
        <v>1</v>
      </c>
      <c r="F163" s="6">
        <v>155</v>
      </c>
      <c r="G163" s="6">
        <v>9</v>
      </c>
      <c r="H163" s="6">
        <v>15</v>
      </c>
      <c r="I163" s="6">
        <v>1</v>
      </c>
      <c r="J163" s="6">
        <v>136</v>
      </c>
      <c r="K163" s="6">
        <v>13</v>
      </c>
      <c r="L163" s="6">
        <v>7</v>
      </c>
      <c r="M163" s="6">
        <v>0</v>
      </c>
      <c r="N163" s="6">
        <v>118</v>
      </c>
      <c r="O163" s="6">
        <v>22</v>
      </c>
      <c r="P163" s="6">
        <v>10</v>
      </c>
      <c r="Q163" s="6">
        <v>0</v>
      </c>
      <c r="R163" s="6">
        <v>121</v>
      </c>
      <c r="S163" s="6">
        <v>28</v>
      </c>
      <c r="T163" s="7">
        <v>6</v>
      </c>
      <c r="U163" s="7">
        <v>0</v>
      </c>
      <c r="V163" s="12">
        <f>U163/T163</f>
        <v>0</v>
      </c>
      <c r="W163" s="12">
        <f>S163/R163</f>
        <v>0.23140495867768596</v>
      </c>
      <c r="X163" s="13">
        <f>V163-W163</f>
        <v>-0.23140495867768596</v>
      </c>
      <c r="Y163" s="8">
        <f>T163*X163</f>
        <v>-1.3884297520661157</v>
      </c>
      <c r="Z163" s="12">
        <f>U163/S163</f>
        <v>0</v>
      </c>
    </row>
    <row r="164" spans="1:26" ht="11">
      <c r="A164" s="7" t="s">
        <v>210</v>
      </c>
      <c r="B164" s="6">
        <v>0</v>
      </c>
      <c r="C164" s="6">
        <v>0</v>
      </c>
      <c r="D164" s="6">
        <v>0</v>
      </c>
      <c r="E164" s="6">
        <v>0</v>
      </c>
      <c r="F164" s="6">
        <v>20</v>
      </c>
      <c r="G164" s="6">
        <v>2</v>
      </c>
      <c r="H164" s="6">
        <v>4</v>
      </c>
      <c r="I164" s="6">
        <v>1</v>
      </c>
      <c r="J164" s="6">
        <v>17</v>
      </c>
      <c r="K164" s="6">
        <v>0</v>
      </c>
      <c r="L164" s="6">
        <v>5</v>
      </c>
      <c r="M164" s="6">
        <v>0</v>
      </c>
      <c r="N164" s="6">
        <v>19</v>
      </c>
      <c r="O164" s="6">
        <v>4</v>
      </c>
      <c r="P164" s="6">
        <v>7</v>
      </c>
      <c r="Q164" s="6">
        <v>0</v>
      </c>
      <c r="R164" s="6">
        <v>22</v>
      </c>
      <c r="S164" s="6">
        <v>5</v>
      </c>
      <c r="T164" s="7">
        <v>11</v>
      </c>
      <c r="U164" s="7">
        <v>0</v>
      </c>
      <c r="V164" s="12">
        <f>U164/T164</f>
        <v>0</v>
      </c>
      <c r="W164" s="12">
        <f>S164/R164</f>
        <v>0.22727272727272727</v>
      </c>
      <c r="X164" s="13">
        <f>V164-W164</f>
        <v>-0.22727272727272727</v>
      </c>
      <c r="Y164" s="8">
        <f>T164*X164</f>
        <v>-2.5</v>
      </c>
      <c r="Z164" s="12">
        <f>U164/S164</f>
        <v>0</v>
      </c>
    </row>
    <row r="165" spans="1:26" ht="11">
      <c r="A165" s="7" t="s">
        <v>53</v>
      </c>
      <c r="B165" s="6">
        <v>61</v>
      </c>
      <c r="C165" s="6">
        <v>12</v>
      </c>
      <c r="D165" s="6">
        <v>1</v>
      </c>
      <c r="E165" s="6">
        <v>0</v>
      </c>
      <c r="F165" s="6">
        <v>69</v>
      </c>
      <c r="G165" s="6">
        <v>13</v>
      </c>
      <c r="H165" s="6">
        <v>2</v>
      </c>
      <c r="I165" s="6">
        <v>0</v>
      </c>
      <c r="J165" s="6">
        <v>64</v>
      </c>
      <c r="K165" s="6">
        <v>14</v>
      </c>
      <c r="L165" s="6">
        <v>4</v>
      </c>
      <c r="M165" s="6">
        <v>0</v>
      </c>
      <c r="N165" s="6">
        <v>66</v>
      </c>
      <c r="O165" s="6">
        <v>16</v>
      </c>
      <c r="P165" s="6">
        <v>5</v>
      </c>
      <c r="Q165" s="6">
        <v>0</v>
      </c>
      <c r="R165" s="6">
        <v>77</v>
      </c>
      <c r="S165" s="6">
        <v>13</v>
      </c>
      <c r="T165" s="7">
        <v>8</v>
      </c>
      <c r="U165" s="7">
        <v>0</v>
      </c>
      <c r="V165" s="12">
        <f>U165/T165</f>
        <v>0</v>
      </c>
      <c r="W165" s="12">
        <f>S165/R165</f>
        <v>0.16883116883116883</v>
      </c>
      <c r="X165" s="13">
        <f>V165-W165</f>
        <v>-0.16883116883116883</v>
      </c>
      <c r="Y165" s="8">
        <f>T165*X165</f>
        <v>-1.3506493506493507</v>
      </c>
      <c r="Z165" s="12">
        <f>U165/S165</f>
        <v>0</v>
      </c>
    </row>
    <row r="166" spans="1:26" ht="11">
      <c r="A166" s="7" t="s">
        <v>72</v>
      </c>
      <c r="B166" s="6">
        <v>0</v>
      </c>
      <c r="C166" s="6">
        <v>0</v>
      </c>
      <c r="D166" s="6">
        <v>0</v>
      </c>
      <c r="E166" s="6">
        <v>0</v>
      </c>
      <c r="F166" s="6">
        <v>46</v>
      </c>
      <c r="G166" s="6">
        <v>0</v>
      </c>
      <c r="H166" s="6">
        <v>10</v>
      </c>
      <c r="I166" s="6">
        <v>0</v>
      </c>
      <c r="J166" s="6">
        <v>27</v>
      </c>
      <c r="K166" s="6">
        <v>0</v>
      </c>
      <c r="L166" s="6">
        <v>7</v>
      </c>
      <c r="M166" s="6">
        <v>0</v>
      </c>
      <c r="N166" s="6">
        <v>25</v>
      </c>
      <c r="O166" s="6">
        <v>0</v>
      </c>
      <c r="P166" s="6">
        <v>4</v>
      </c>
      <c r="Q166" s="6">
        <v>0</v>
      </c>
      <c r="R166" s="6">
        <v>30</v>
      </c>
      <c r="S166" s="6">
        <v>5</v>
      </c>
      <c r="T166" s="7">
        <v>5</v>
      </c>
      <c r="U166" s="7">
        <v>0</v>
      </c>
      <c r="V166" s="12">
        <f>U166/T166</f>
        <v>0</v>
      </c>
      <c r="W166" s="12">
        <f>S166/R166</f>
        <v>0.16666666666666666</v>
      </c>
      <c r="X166" s="13">
        <f>V166-W166</f>
        <v>-0.16666666666666666</v>
      </c>
      <c r="Y166" s="8">
        <f>T166*X166</f>
        <v>-0.83333333333333326</v>
      </c>
      <c r="Z166" s="12">
        <f>U166/S166</f>
        <v>0</v>
      </c>
    </row>
    <row r="167" spans="1:26" ht="11">
      <c r="A167" s="7" t="s">
        <v>56</v>
      </c>
      <c r="B167" s="6">
        <v>31</v>
      </c>
      <c r="C167" s="6">
        <v>4</v>
      </c>
      <c r="D167" s="6">
        <v>4</v>
      </c>
      <c r="E167" s="6">
        <v>0</v>
      </c>
      <c r="F167" s="6">
        <v>35</v>
      </c>
      <c r="G167" s="6">
        <v>1</v>
      </c>
      <c r="H167" s="6">
        <v>4</v>
      </c>
      <c r="I167" s="6">
        <v>0</v>
      </c>
      <c r="J167" s="6">
        <v>31</v>
      </c>
      <c r="K167" s="6">
        <v>2</v>
      </c>
      <c r="L167" s="6">
        <v>5</v>
      </c>
      <c r="M167" s="6">
        <v>0</v>
      </c>
      <c r="N167" s="6">
        <v>44</v>
      </c>
      <c r="O167" s="6">
        <v>7</v>
      </c>
      <c r="P167" s="6">
        <v>9</v>
      </c>
      <c r="Q167" s="6">
        <v>1</v>
      </c>
      <c r="R167" s="6">
        <v>30</v>
      </c>
      <c r="S167" s="6">
        <v>5</v>
      </c>
      <c r="T167" s="7">
        <v>2</v>
      </c>
      <c r="U167" s="7">
        <v>0</v>
      </c>
      <c r="V167" s="12">
        <f>U167/T167</f>
        <v>0</v>
      </c>
      <c r="W167" s="12">
        <f>S167/R167</f>
        <v>0.16666666666666666</v>
      </c>
      <c r="X167" s="13">
        <f>V167-W167</f>
        <v>-0.16666666666666666</v>
      </c>
      <c r="Y167" s="8">
        <f>T167*X167</f>
        <v>-0.33333333333333331</v>
      </c>
      <c r="Z167" s="12">
        <f>U167/S167</f>
        <v>0</v>
      </c>
    </row>
    <row r="168" spans="1:26" ht="11">
      <c r="A168" s="7" t="s">
        <v>61</v>
      </c>
      <c r="B168" s="6">
        <v>18</v>
      </c>
      <c r="C168" s="6">
        <v>3</v>
      </c>
      <c r="D168" s="6">
        <v>4</v>
      </c>
      <c r="E168" s="6">
        <v>0</v>
      </c>
      <c r="F168" s="6">
        <v>22</v>
      </c>
      <c r="G168" s="6">
        <v>4</v>
      </c>
      <c r="H168" s="6">
        <v>1</v>
      </c>
      <c r="I168" s="6">
        <v>0</v>
      </c>
      <c r="J168" s="6">
        <v>27</v>
      </c>
      <c r="K168" s="6">
        <v>3</v>
      </c>
      <c r="L168" s="6">
        <v>4</v>
      </c>
      <c r="M168" s="6">
        <v>0</v>
      </c>
      <c r="N168" s="6">
        <v>19</v>
      </c>
      <c r="O168" s="6">
        <v>3</v>
      </c>
      <c r="P168" s="6">
        <v>0</v>
      </c>
      <c r="Q168" s="6">
        <v>0</v>
      </c>
      <c r="R168" s="6">
        <v>18</v>
      </c>
      <c r="S168" s="6">
        <v>3</v>
      </c>
      <c r="T168" s="7">
        <v>2</v>
      </c>
      <c r="U168" s="7">
        <v>0</v>
      </c>
      <c r="V168" s="12">
        <f>U168/T168</f>
        <v>0</v>
      </c>
      <c r="W168" s="12">
        <f>S168/R168</f>
        <v>0.16666666666666666</v>
      </c>
      <c r="X168" s="13">
        <f>V168-W168</f>
        <v>-0.16666666666666666</v>
      </c>
      <c r="Y168" s="8">
        <f>T168*X168</f>
        <v>-0.33333333333333331</v>
      </c>
      <c r="Z168" s="12">
        <f>U168/S168</f>
        <v>0</v>
      </c>
    </row>
    <row r="169" spans="1:26" ht="11">
      <c r="A169" s="7" t="s">
        <v>59</v>
      </c>
      <c r="B169" s="6">
        <v>109</v>
      </c>
      <c r="C169" s="6">
        <v>25</v>
      </c>
      <c r="D169" s="6">
        <v>12</v>
      </c>
      <c r="E169" s="6">
        <v>1</v>
      </c>
      <c r="F169" s="6">
        <v>104</v>
      </c>
      <c r="G169" s="6">
        <v>8</v>
      </c>
      <c r="H169" s="6">
        <v>7</v>
      </c>
      <c r="I169" s="6">
        <v>0</v>
      </c>
      <c r="J169" s="6">
        <v>120</v>
      </c>
      <c r="K169" s="6">
        <v>13</v>
      </c>
      <c r="L169" s="6">
        <v>19</v>
      </c>
      <c r="M169" s="6">
        <v>0</v>
      </c>
      <c r="N169" s="6">
        <v>124</v>
      </c>
      <c r="O169" s="6">
        <v>14</v>
      </c>
      <c r="P169" s="6">
        <v>19</v>
      </c>
      <c r="Q169" s="6">
        <v>0</v>
      </c>
      <c r="R169" s="6">
        <v>105</v>
      </c>
      <c r="S169" s="6">
        <v>17</v>
      </c>
      <c r="T169" s="7">
        <v>11</v>
      </c>
      <c r="U169" s="7">
        <v>0</v>
      </c>
      <c r="V169" s="12">
        <f>U169/T169</f>
        <v>0</v>
      </c>
      <c r="W169" s="12">
        <f>S169/R169</f>
        <v>0.16190476190476191</v>
      </c>
      <c r="X169" s="13">
        <f>V169-W169</f>
        <v>-0.16190476190476191</v>
      </c>
      <c r="Y169" s="8">
        <f>T169*X169</f>
        <v>-1.7809523809523811</v>
      </c>
      <c r="Z169" s="12">
        <f>U169/S169</f>
        <v>0</v>
      </c>
    </row>
    <row r="170" spans="1:26" ht="11">
      <c r="A170" s="7" t="s">
        <v>33</v>
      </c>
      <c r="B170" s="6">
        <v>21</v>
      </c>
      <c r="C170" s="6">
        <v>1</v>
      </c>
      <c r="D170" s="6">
        <v>5</v>
      </c>
      <c r="E170" s="6">
        <v>0</v>
      </c>
      <c r="F170" s="6">
        <v>15</v>
      </c>
      <c r="G170" s="6">
        <v>2</v>
      </c>
      <c r="H170" s="6">
        <v>1</v>
      </c>
      <c r="I170" s="6">
        <v>0</v>
      </c>
      <c r="J170" s="6">
        <v>33</v>
      </c>
      <c r="K170" s="6">
        <v>3</v>
      </c>
      <c r="L170" s="6">
        <v>5</v>
      </c>
      <c r="M170" s="6">
        <v>0</v>
      </c>
      <c r="N170" s="6">
        <v>29</v>
      </c>
      <c r="O170" s="6">
        <v>3</v>
      </c>
      <c r="P170" s="6">
        <v>8</v>
      </c>
      <c r="Q170" s="6">
        <v>1</v>
      </c>
      <c r="R170" s="6">
        <v>27</v>
      </c>
      <c r="S170" s="6">
        <v>4</v>
      </c>
      <c r="T170" s="7">
        <v>5</v>
      </c>
      <c r="U170" s="7">
        <v>0</v>
      </c>
      <c r="V170" s="12">
        <f>U170/T170</f>
        <v>0</v>
      </c>
      <c r="W170" s="12">
        <f>S170/R170</f>
        <v>0.14814814814814814</v>
      </c>
      <c r="X170" s="13">
        <f>V170-W170</f>
        <v>-0.14814814814814814</v>
      </c>
      <c r="Y170" s="8">
        <f>T170*X170</f>
        <v>-0.7407407407407407</v>
      </c>
      <c r="Z170" s="12">
        <f>U170/S170</f>
        <v>0</v>
      </c>
    </row>
    <row r="171" spans="1:26" ht="11">
      <c r="A171" s="7" t="s">
        <v>71</v>
      </c>
      <c r="B171" s="6">
        <v>0</v>
      </c>
      <c r="C171" s="6">
        <v>0</v>
      </c>
      <c r="D171" s="6">
        <v>0</v>
      </c>
      <c r="E171" s="6">
        <v>0</v>
      </c>
      <c r="F171" s="6">
        <v>20</v>
      </c>
      <c r="G171" s="6">
        <v>0</v>
      </c>
      <c r="H171" s="6">
        <v>5</v>
      </c>
      <c r="I171" s="6">
        <v>0</v>
      </c>
      <c r="J171" s="6">
        <v>13</v>
      </c>
      <c r="K171" s="6">
        <v>0</v>
      </c>
      <c r="L171" s="6">
        <v>4</v>
      </c>
      <c r="M171" s="6">
        <v>0</v>
      </c>
      <c r="N171" s="6">
        <v>13</v>
      </c>
      <c r="O171" s="6">
        <v>0</v>
      </c>
      <c r="P171" s="6">
        <v>6</v>
      </c>
      <c r="Q171" s="6">
        <v>0</v>
      </c>
      <c r="R171" s="6">
        <v>16</v>
      </c>
      <c r="S171" s="6">
        <v>2</v>
      </c>
      <c r="T171" s="7">
        <v>5</v>
      </c>
      <c r="U171" s="7">
        <v>0</v>
      </c>
      <c r="V171" s="12">
        <f>U171/T171</f>
        <v>0</v>
      </c>
      <c r="W171" s="12">
        <f>S171/R171</f>
        <v>0.125</v>
      </c>
      <c r="X171" s="13">
        <f>V171-W171</f>
        <v>-0.125</v>
      </c>
      <c r="Y171" s="8">
        <f>T171*X171</f>
        <v>-0.625</v>
      </c>
      <c r="Z171" s="12">
        <f>U171/S171</f>
        <v>0</v>
      </c>
    </row>
    <row r="172" spans="1:26" ht="11">
      <c r="A172" s="7" t="s">
        <v>41</v>
      </c>
      <c r="B172" s="6">
        <v>0</v>
      </c>
      <c r="C172" s="6">
        <v>0</v>
      </c>
      <c r="D172" s="6">
        <v>0</v>
      </c>
      <c r="E172" s="6">
        <v>0</v>
      </c>
      <c r="F172" s="6">
        <v>0</v>
      </c>
      <c r="G172" s="6">
        <v>0</v>
      </c>
      <c r="H172" s="6">
        <v>0</v>
      </c>
      <c r="I172" s="6">
        <v>0</v>
      </c>
      <c r="J172" s="6">
        <v>35</v>
      </c>
      <c r="K172" s="6">
        <v>6</v>
      </c>
      <c r="L172" s="6">
        <v>4</v>
      </c>
      <c r="M172" s="6">
        <v>0</v>
      </c>
      <c r="N172" s="6">
        <v>95</v>
      </c>
      <c r="O172" s="6">
        <v>11</v>
      </c>
      <c r="P172" s="6">
        <v>12</v>
      </c>
      <c r="Q172" s="6">
        <v>1</v>
      </c>
      <c r="R172" s="6">
        <v>92</v>
      </c>
      <c r="S172" s="6">
        <v>11</v>
      </c>
      <c r="T172" s="7">
        <v>4</v>
      </c>
      <c r="U172" s="7">
        <v>0</v>
      </c>
      <c r="V172" s="12">
        <f>U172/T172</f>
        <v>0</v>
      </c>
      <c r="W172" s="12">
        <f>S172/R172</f>
        <v>0.11956521739130435</v>
      </c>
      <c r="X172" s="13">
        <f>V172-W172</f>
        <v>-0.11956521739130435</v>
      </c>
      <c r="Y172" s="8">
        <f>T172*X172</f>
        <v>-0.47826086956521741</v>
      </c>
      <c r="Z172" s="12">
        <f>U172/S172</f>
        <v>0</v>
      </c>
    </row>
    <row r="173" spans="1:26" ht="11">
      <c r="A173" s="7" t="s">
        <v>73</v>
      </c>
      <c r="B173" s="6">
        <v>196</v>
      </c>
      <c r="C173" s="6">
        <v>19</v>
      </c>
      <c r="D173" s="6">
        <v>9</v>
      </c>
      <c r="E173" s="6">
        <v>0</v>
      </c>
      <c r="F173" s="6">
        <v>201</v>
      </c>
      <c r="G173" s="6">
        <v>18</v>
      </c>
      <c r="H173" s="6">
        <v>10</v>
      </c>
      <c r="I173" s="6">
        <v>0</v>
      </c>
      <c r="J173" s="6">
        <v>194</v>
      </c>
      <c r="K173" s="6">
        <v>20</v>
      </c>
      <c r="L173" s="6">
        <v>12</v>
      </c>
      <c r="M173" s="6">
        <v>1</v>
      </c>
      <c r="N173" s="6">
        <v>209</v>
      </c>
      <c r="O173" s="6">
        <v>20</v>
      </c>
      <c r="P173" s="6">
        <v>17</v>
      </c>
      <c r="Q173" s="6">
        <v>0</v>
      </c>
      <c r="R173" s="6">
        <v>190</v>
      </c>
      <c r="S173" s="6">
        <v>22</v>
      </c>
      <c r="T173" s="7">
        <v>9</v>
      </c>
      <c r="U173" s="7">
        <v>0</v>
      </c>
      <c r="V173" s="12">
        <f>U173/T173</f>
        <v>0</v>
      </c>
      <c r="W173" s="12">
        <f>S173/R173</f>
        <v>0.11578947368421053</v>
      </c>
      <c r="X173" s="13">
        <f>V173-W173</f>
        <v>-0.11578947368421053</v>
      </c>
      <c r="Y173" s="8">
        <f>T173*X173</f>
        <v>-1.0421052631578946</v>
      </c>
      <c r="Z173" s="12">
        <f>U173/S173</f>
        <v>0</v>
      </c>
    </row>
    <row r="174" spans="1:26" ht="11">
      <c r="A174" s="7" t="s">
        <v>38</v>
      </c>
      <c r="B174" s="6">
        <v>51</v>
      </c>
      <c r="C174" s="6">
        <v>9</v>
      </c>
      <c r="D174" s="6">
        <v>2</v>
      </c>
      <c r="E174" s="6">
        <v>0</v>
      </c>
      <c r="F174" s="6">
        <v>57</v>
      </c>
      <c r="G174" s="6">
        <v>6</v>
      </c>
      <c r="H174" s="6">
        <v>3</v>
      </c>
      <c r="I174" s="6">
        <v>0</v>
      </c>
      <c r="J174" s="6">
        <v>44</v>
      </c>
      <c r="K174" s="6">
        <v>9</v>
      </c>
      <c r="L174" s="6">
        <v>1</v>
      </c>
      <c r="M174" s="6">
        <v>0</v>
      </c>
      <c r="N174" s="6">
        <v>58</v>
      </c>
      <c r="O174" s="6">
        <v>8</v>
      </c>
      <c r="P174" s="6">
        <v>1</v>
      </c>
      <c r="Q174" s="6">
        <v>0</v>
      </c>
      <c r="R174" s="6">
        <v>29</v>
      </c>
      <c r="S174" s="6">
        <v>3</v>
      </c>
      <c r="T174" s="7">
        <v>1</v>
      </c>
      <c r="U174" s="7">
        <v>0</v>
      </c>
      <c r="V174" s="12">
        <f>U174/T174</f>
        <v>0</v>
      </c>
      <c r="W174" s="12">
        <f>S174/R174</f>
        <v>0.10344827586206896</v>
      </c>
      <c r="X174" s="13">
        <f>V174-W174</f>
        <v>-0.10344827586206896</v>
      </c>
      <c r="Y174" s="8">
        <f>T174*X174</f>
        <v>-0.10344827586206896</v>
      </c>
      <c r="Z174" s="12">
        <f>U174/S174</f>
        <v>0</v>
      </c>
    </row>
    <row r="175" spans="1:26" ht="11">
      <c r="A175" s="7" t="s">
        <v>62</v>
      </c>
      <c r="B175" s="6">
        <v>15</v>
      </c>
      <c r="C175" s="6">
        <v>4</v>
      </c>
      <c r="D175" s="6">
        <v>1</v>
      </c>
      <c r="E175" s="6">
        <v>0</v>
      </c>
      <c r="F175" s="6">
        <v>0</v>
      </c>
      <c r="G175" s="6">
        <v>0</v>
      </c>
      <c r="H175" s="6">
        <v>0</v>
      </c>
      <c r="I175" s="6">
        <v>0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37</v>
      </c>
      <c r="S175" s="6">
        <v>3</v>
      </c>
      <c r="T175" s="7">
        <v>8</v>
      </c>
      <c r="U175" s="7">
        <v>0</v>
      </c>
      <c r="V175" s="12">
        <f>U175/T175</f>
        <v>0</v>
      </c>
      <c r="W175" s="12">
        <f>S175/R175</f>
        <v>8.1081081081081086E-2</v>
      </c>
      <c r="X175" s="13">
        <f>V175-W175</f>
        <v>-8.1081081081081086E-2</v>
      </c>
      <c r="Y175" s="8">
        <f>T175*X175</f>
        <v>-0.64864864864864868</v>
      </c>
      <c r="Z175" s="12">
        <f>U175/S175</f>
        <v>0</v>
      </c>
    </row>
    <row r="176" spans="1:26" ht="11">
      <c r="A176" s="7" t="s">
        <v>45</v>
      </c>
      <c r="B176" s="6">
        <v>205</v>
      </c>
      <c r="C176" s="6">
        <v>8</v>
      </c>
      <c r="D176" s="6">
        <v>13</v>
      </c>
      <c r="E176" s="6">
        <v>0</v>
      </c>
      <c r="F176" s="6">
        <v>130</v>
      </c>
      <c r="G176" s="6">
        <v>13</v>
      </c>
      <c r="H176" s="6">
        <v>17</v>
      </c>
      <c r="I176" s="6">
        <v>1</v>
      </c>
      <c r="J176" s="6">
        <v>195</v>
      </c>
      <c r="K176" s="6">
        <v>11</v>
      </c>
      <c r="L176" s="6">
        <v>18</v>
      </c>
      <c r="M176" s="6">
        <v>0</v>
      </c>
      <c r="N176" s="6">
        <v>178</v>
      </c>
      <c r="O176" s="6">
        <v>11</v>
      </c>
      <c r="P176" s="6">
        <v>25</v>
      </c>
      <c r="Q176" s="6">
        <v>0</v>
      </c>
      <c r="R176" s="6">
        <v>176</v>
      </c>
      <c r="S176" s="6">
        <v>10</v>
      </c>
      <c r="T176" s="7">
        <v>14</v>
      </c>
      <c r="U176" s="7">
        <v>0</v>
      </c>
      <c r="V176" s="12">
        <f>U176/T176</f>
        <v>0</v>
      </c>
      <c r="W176" s="12">
        <f>S176/R176</f>
        <v>5.6818181818181816E-2</v>
      </c>
      <c r="X176" s="13">
        <f>V176-W176</f>
        <v>-5.6818181818181816E-2</v>
      </c>
      <c r="Y176" s="8">
        <f>T176*X176</f>
        <v>-0.79545454545454541</v>
      </c>
      <c r="Z176" s="12">
        <f>U176/S176</f>
        <v>0</v>
      </c>
    </row>
    <row r="177" spans="1:26" ht="11">
      <c r="A177" s="7" t="s">
        <v>37</v>
      </c>
      <c r="B177" s="6">
        <v>80</v>
      </c>
      <c r="C177" s="6">
        <v>4</v>
      </c>
      <c r="D177" s="6">
        <v>5</v>
      </c>
      <c r="E177" s="6">
        <v>0</v>
      </c>
      <c r="F177" s="6">
        <v>50</v>
      </c>
      <c r="G177" s="6">
        <v>4</v>
      </c>
      <c r="H177" s="6">
        <v>2</v>
      </c>
      <c r="I177" s="6">
        <v>1</v>
      </c>
      <c r="J177" s="6">
        <v>63</v>
      </c>
      <c r="K177" s="6">
        <v>6</v>
      </c>
      <c r="L177" s="6">
        <v>5</v>
      </c>
      <c r="M177" s="6">
        <v>0</v>
      </c>
      <c r="N177" s="6">
        <v>66</v>
      </c>
      <c r="O177" s="6">
        <v>4</v>
      </c>
      <c r="P177" s="6">
        <v>4</v>
      </c>
      <c r="Q177" s="6">
        <v>0</v>
      </c>
      <c r="R177" s="6">
        <v>55</v>
      </c>
      <c r="S177" s="6">
        <v>3</v>
      </c>
      <c r="T177" s="7">
        <v>4</v>
      </c>
      <c r="U177" s="7">
        <v>0</v>
      </c>
      <c r="V177" s="12">
        <f>U177/T177</f>
        <v>0</v>
      </c>
      <c r="W177" s="12">
        <f>S177/R177</f>
        <v>5.4545454545454543E-2</v>
      </c>
      <c r="X177" s="13">
        <f>V177-W177</f>
        <v>-5.4545454545454543E-2</v>
      </c>
      <c r="Y177" s="8">
        <f>T177*X177</f>
        <v>-0.21818181818181817</v>
      </c>
      <c r="Z177" s="12">
        <f>U177/S177</f>
        <v>0</v>
      </c>
    </row>
    <row r="178" spans="1:26" ht="11">
      <c r="A178" s="7" t="s">
        <v>39</v>
      </c>
      <c r="B178" s="6">
        <v>89</v>
      </c>
      <c r="C178" s="6">
        <v>9</v>
      </c>
      <c r="D178" s="6">
        <v>6</v>
      </c>
      <c r="E178" s="6">
        <v>0</v>
      </c>
      <c r="F178" s="6">
        <v>69</v>
      </c>
      <c r="G178" s="6">
        <v>8</v>
      </c>
      <c r="H178" s="6">
        <v>3</v>
      </c>
      <c r="I178" s="6">
        <v>0</v>
      </c>
      <c r="J178" s="6">
        <v>104</v>
      </c>
      <c r="K178" s="6">
        <v>9</v>
      </c>
      <c r="L178" s="6">
        <v>13</v>
      </c>
      <c r="M178" s="6">
        <v>0</v>
      </c>
      <c r="N178" s="6">
        <v>129</v>
      </c>
      <c r="O178" s="6">
        <v>8</v>
      </c>
      <c r="P178" s="6">
        <v>5</v>
      </c>
      <c r="Q178" s="6">
        <v>0</v>
      </c>
      <c r="R178" s="6">
        <v>86</v>
      </c>
      <c r="S178" s="6">
        <v>4</v>
      </c>
      <c r="T178" s="7">
        <v>3</v>
      </c>
      <c r="U178" s="7">
        <v>0</v>
      </c>
      <c r="V178" s="12">
        <f>U178/T178</f>
        <v>0</v>
      </c>
      <c r="W178" s="12">
        <f>S178/R178</f>
        <v>4.6511627906976744E-2</v>
      </c>
      <c r="X178" s="13">
        <f>V178-W178</f>
        <v>-4.6511627906976744E-2</v>
      </c>
      <c r="Y178" s="8">
        <f>T178*X178</f>
        <v>-0.13953488372093023</v>
      </c>
      <c r="Z178" s="12">
        <f>U178/S178</f>
        <v>0</v>
      </c>
    </row>
    <row r="179" spans="1:26" ht="11">
      <c r="A179" s="7" t="s">
        <v>64</v>
      </c>
      <c r="B179" s="6">
        <v>0</v>
      </c>
      <c r="C179" s="6">
        <v>0</v>
      </c>
      <c r="D179" s="6">
        <v>0</v>
      </c>
      <c r="E179" s="6">
        <v>0</v>
      </c>
      <c r="F179" s="6">
        <v>0</v>
      </c>
      <c r="G179" s="6">
        <v>0</v>
      </c>
      <c r="H179" s="6">
        <v>0</v>
      </c>
      <c r="I179" s="6"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23</v>
      </c>
      <c r="S179" s="6">
        <v>1</v>
      </c>
      <c r="T179" s="7">
        <v>3</v>
      </c>
      <c r="U179" s="7">
        <v>0</v>
      </c>
      <c r="V179" s="12">
        <f>U179/T179</f>
        <v>0</v>
      </c>
      <c r="W179" s="12">
        <f>S179/R179</f>
        <v>4.3478260869565216E-2</v>
      </c>
      <c r="X179" s="13">
        <f>V179-W179</f>
        <v>-4.3478260869565216E-2</v>
      </c>
      <c r="Y179" s="8">
        <f>T179*X179</f>
        <v>-0.13043478260869565</v>
      </c>
      <c r="Z179" s="12">
        <f>U179/S179</f>
        <v>0</v>
      </c>
    </row>
    <row r="180" spans="1:26" ht="11">
      <c r="A180" s="7" t="s">
        <v>30</v>
      </c>
      <c r="B180" s="6">
        <v>43</v>
      </c>
      <c r="C180" s="6">
        <v>1</v>
      </c>
      <c r="D180" s="6">
        <v>2</v>
      </c>
      <c r="E180" s="6">
        <v>0</v>
      </c>
      <c r="F180" s="6">
        <v>31</v>
      </c>
      <c r="G180" s="6">
        <v>1</v>
      </c>
      <c r="H180" s="6">
        <v>5</v>
      </c>
      <c r="I180" s="6">
        <v>0</v>
      </c>
      <c r="J180" s="6">
        <v>46</v>
      </c>
      <c r="K180" s="6">
        <v>5</v>
      </c>
      <c r="L180" s="6">
        <v>10</v>
      </c>
      <c r="M180" s="6">
        <v>0</v>
      </c>
      <c r="N180" s="6">
        <v>50</v>
      </c>
      <c r="O180" s="6">
        <v>2</v>
      </c>
      <c r="P180" s="6">
        <v>6</v>
      </c>
      <c r="Q180" s="6">
        <v>0</v>
      </c>
      <c r="R180" s="6">
        <v>37</v>
      </c>
      <c r="S180" s="6">
        <v>0</v>
      </c>
      <c r="T180" s="7">
        <v>3</v>
      </c>
      <c r="U180" s="7">
        <v>0</v>
      </c>
      <c r="V180" s="12">
        <f>U180/T180</f>
        <v>0</v>
      </c>
      <c r="W180" s="12">
        <f>S180/R180</f>
        <v>0</v>
      </c>
      <c r="X180" s="13">
        <f>V180-W180</f>
        <v>0</v>
      </c>
      <c r="Y180" s="8">
        <f>T180*X180</f>
        <v>0</v>
      </c>
      <c r="Z180" s="12">
        <v>0</v>
      </c>
    </row>
    <row r="181" spans="1:26" ht="11">
      <c r="A181" s="7" t="s">
        <v>75</v>
      </c>
      <c r="B181" s="6">
        <v>0</v>
      </c>
      <c r="C181" s="6">
        <v>0</v>
      </c>
      <c r="D181" s="6">
        <v>0</v>
      </c>
      <c r="E181" s="6">
        <v>0</v>
      </c>
      <c r="F181" s="6">
        <v>15</v>
      </c>
      <c r="G181" s="6">
        <v>1</v>
      </c>
      <c r="H181" s="6">
        <v>4</v>
      </c>
      <c r="I181" s="6">
        <v>0</v>
      </c>
      <c r="J181" s="6">
        <v>6</v>
      </c>
      <c r="K181" s="6">
        <v>2</v>
      </c>
      <c r="L181" s="6">
        <v>4</v>
      </c>
      <c r="M181" s="6">
        <v>2</v>
      </c>
      <c r="N181" s="6">
        <v>14</v>
      </c>
      <c r="O181" s="6">
        <v>0</v>
      </c>
      <c r="P181" s="6">
        <v>5</v>
      </c>
      <c r="Q181" s="6">
        <v>0</v>
      </c>
      <c r="R181" s="6">
        <v>11</v>
      </c>
      <c r="S181" s="6">
        <v>0</v>
      </c>
      <c r="T181" s="7">
        <v>2</v>
      </c>
      <c r="U181" s="7">
        <v>0</v>
      </c>
      <c r="V181" s="12">
        <f>U181/T181</f>
        <v>0</v>
      </c>
      <c r="W181" s="12">
        <f>S181/R181</f>
        <v>0</v>
      </c>
      <c r="X181" s="13">
        <f>V181-W181</f>
        <v>0</v>
      </c>
      <c r="Y181" s="8">
        <f>T181*X181</f>
        <v>0</v>
      </c>
      <c r="Z181" s="12">
        <v>0</v>
      </c>
    </row>
    <row r="182" spans="1:26" customFormat="1" hidden="1">
      <c r="A182" t="s">
        <v>70</v>
      </c>
      <c r="B182">
        <v>0</v>
      </c>
      <c r="C182">
        <v>0</v>
      </c>
      <c r="D182">
        <v>0</v>
      </c>
      <c r="E182">
        <v>0</v>
      </c>
      <c r="F182">
        <v>45</v>
      </c>
      <c r="G182">
        <v>1</v>
      </c>
      <c r="H182">
        <v>8</v>
      </c>
      <c r="I182">
        <v>0</v>
      </c>
      <c r="J182">
        <v>16</v>
      </c>
      <c r="K182">
        <v>0</v>
      </c>
      <c r="L182">
        <v>4</v>
      </c>
      <c r="M182">
        <v>0</v>
      </c>
      <c r="N182">
        <v>15</v>
      </c>
      <c r="O182">
        <v>0</v>
      </c>
      <c r="P182">
        <v>2</v>
      </c>
      <c r="Q182">
        <v>0</v>
      </c>
      <c r="R182">
        <v>1</v>
      </c>
      <c r="S182">
        <v>0</v>
      </c>
      <c r="T182">
        <v>0</v>
      </c>
      <c r="U182">
        <v>0</v>
      </c>
      <c r="V182" s="2" t="e">
        <f>U182/T182</f>
        <v>#DIV/0!</v>
      </c>
      <c r="W182" s="2">
        <f>S182/R182</f>
        <v>0</v>
      </c>
      <c r="X182" s="3" t="e">
        <f>V182-W182</f>
        <v>#DIV/0!</v>
      </c>
      <c r="Y182" t="e">
        <f>T182*X182</f>
        <v>#DIV/0!</v>
      </c>
      <c r="Z182" s="2" t="e">
        <f>U182/S182</f>
        <v>#DIV/0!</v>
      </c>
    </row>
    <row r="183" spans="1:26" customFormat="1" hidden="1">
      <c r="A183" t="s">
        <v>18</v>
      </c>
      <c r="B183">
        <v>2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 s="2" t="e">
        <f>U183/T183</f>
        <v>#DIV/0!</v>
      </c>
      <c r="W183" s="2" t="e">
        <f>S183/R183</f>
        <v>#DIV/0!</v>
      </c>
      <c r="X183" s="3" t="e">
        <f>V183-W183</f>
        <v>#DIV/0!</v>
      </c>
      <c r="Y183" t="e">
        <f>T183*X183</f>
        <v>#DIV/0!</v>
      </c>
      <c r="Z183" s="2" t="e">
        <f>U183/S183</f>
        <v>#DIV/0!</v>
      </c>
    </row>
    <row r="184" spans="1:26" customFormat="1" hidden="1">
      <c r="A184" t="s">
        <v>31</v>
      </c>
      <c r="B184">
        <v>0</v>
      </c>
      <c r="C184">
        <v>0</v>
      </c>
      <c r="D184">
        <v>0</v>
      </c>
      <c r="E184">
        <v>0</v>
      </c>
      <c r="F184">
        <v>29</v>
      </c>
      <c r="G184">
        <v>3</v>
      </c>
      <c r="H184">
        <v>8</v>
      </c>
      <c r="I184">
        <v>0</v>
      </c>
      <c r="J184">
        <v>43</v>
      </c>
      <c r="K184">
        <v>1</v>
      </c>
      <c r="L184">
        <v>14</v>
      </c>
      <c r="M184">
        <v>0</v>
      </c>
      <c r="N184">
        <v>46</v>
      </c>
      <c r="O184">
        <v>4</v>
      </c>
      <c r="P184">
        <v>9</v>
      </c>
      <c r="Q184">
        <v>0</v>
      </c>
      <c r="R184">
        <v>0</v>
      </c>
      <c r="S184">
        <v>0</v>
      </c>
      <c r="T184">
        <v>0</v>
      </c>
      <c r="U184">
        <v>0</v>
      </c>
      <c r="V184" s="2" t="e">
        <f>U184/T184</f>
        <v>#DIV/0!</v>
      </c>
      <c r="W184" s="2" t="e">
        <f>S184/R184</f>
        <v>#DIV/0!</v>
      </c>
      <c r="X184" s="3" t="e">
        <f>V184-W184</f>
        <v>#DIV/0!</v>
      </c>
      <c r="Y184" t="e">
        <f>T184*X184</f>
        <v>#DIV/0!</v>
      </c>
      <c r="Z184" s="2" t="e">
        <f>U184/S184</f>
        <v>#DIV/0!</v>
      </c>
    </row>
    <row r="185" spans="1:26" customFormat="1" hidden="1">
      <c r="A185" t="s">
        <v>32</v>
      </c>
      <c r="B185">
        <v>47</v>
      </c>
      <c r="C185">
        <v>2</v>
      </c>
      <c r="D185">
        <v>11</v>
      </c>
      <c r="E185">
        <v>0</v>
      </c>
      <c r="F185">
        <v>25</v>
      </c>
      <c r="G185">
        <v>3</v>
      </c>
      <c r="H185">
        <v>8</v>
      </c>
      <c r="I185">
        <v>0</v>
      </c>
      <c r="J185">
        <v>41</v>
      </c>
      <c r="K185">
        <v>1</v>
      </c>
      <c r="L185">
        <v>7</v>
      </c>
      <c r="M185">
        <v>0</v>
      </c>
      <c r="N185">
        <v>47</v>
      </c>
      <c r="O185">
        <v>1</v>
      </c>
      <c r="P185">
        <v>7</v>
      </c>
      <c r="Q185">
        <v>0</v>
      </c>
      <c r="R185">
        <v>0</v>
      </c>
      <c r="S185">
        <v>0</v>
      </c>
      <c r="T185">
        <v>0</v>
      </c>
      <c r="U185">
        <v>0</v>
      </c>
      <c r="V185" s="2" t="e">
        <f>U185/T185</f>
        <v>#DIV/0!</v>
      </c>
      <c r="W185" s="2" t="e">
        <f>S185/R185</f>
        <v>#DIV/0!</v>
      </c>
      <c r="X185" s="3" t="e">
        <f>V185-W185</f>
        <v>#DIV/0!</v>
      </c>
      <c r="Y185" t="e">
        <f>T185*X185</f>
        <v>#DIV/0!</v>
      </c>
      <c r="Z185" s="2" t="e">
        <f>U185/S185</f>
        <v>#DIV/0!</v>
      </c>
    </row>
    <row r="186" spans="1:26" customFormat="1" hidden="1">
      <c r="A186" t="s">
        <v>40</v>
      </c>
      <c r="B186">
        <v>0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23</v>
      </c>
      <c r="O186">
        <v>0</v>
      </c>
      <c r="P186">
        <v>1</v>
      </c>
      <c r="Q186">
        <v>0</v>
      </c>
      <c r="R186">
        <v>0</v>
      </c>
      <c r="S186">
        <v>0</v>
      </c>
      <c r="T186">
        <v>0</v>
      </c>
      <c r="U186">
        <v>0</v>
      </c>
      <c r="V186" s="2" t="e">
        <f>U186/T186</f>
        <v>#DIV/0!</v>
      </c>
      <c r="W186" s="2" t="e">
        <f>S186/R186</f>
        <v>#DIV/0!</v>
      </c>
      <c r="X186" s="3" t="e">
        <f>V186-W186</f>
        <v>#DIV/0!</v>
      </c>
      <c r="Y186" t="e">
        <f>T186*X186</f>
        <v>#DIV/0!</v>
      </c>
      <c r="Z186" s="2" t="e">
        <f>U186/S186</f>
        <v>#DIV/0!</v>
      </c>
    </row>
    <row r="187" spans="1:26" customFormat="1" hidden="1">
      <c r="A187" t="s">
        <v>46</v>
      </c>
      <c r="B187">
        <v>35</v>
      </c>
      <c r="C187">
        <v>0</v>
      </c>
      <c r="D187">
        <v>3</v>
      </c>
      <c r="E187">
        <v>0</v>
      </c>
      <c r="F187">
        <v>31</v>
      </c>
      <c r="G187">
        <v>2</v>
      </c>
      <c r="H187">
        <v>3</v>
      </c>
      <c r="I187">
        <v>0</v>
      </c>
      <c r="J187">
        <v>53</v>
      </c>
      <c r="K187">
        <v>0</v>
      </c>
      <c r="L187">
        <v>4</v>
      </c>
      <c r="M187">
        <v>0</v>
      </c>
      <c r="N187">
        <v>54</v>
      </c>
      <c r="O187">
        <v>1</v>
      </c>
      <c r="P187">
        <v>11</v>
      </c>
      <c r="Q187">
        <v>0</v>
      </c>
      <c r="R187">
        <v>0</v>
      </c>
      <c r="S187">
        <v>0</v>
      </c>
      <c r="T187">
        <v>0</v>
      </c>
      <c r="U187">
        <v>0</v>
      </c>
      <c r="V187" s="2" t="e">
        <f>U187/T187</f>
        <v>#DIV/0!</v>
      </c>
      <c r="W187" s="2" t="e">
        <f>S187/R187</f>
        <v>#DIV/0!</v>
      </c>
      <c r="X187" s="3" t="e">
        <f>V187-W187</f>
        <v>#DIV/0!</v>
      </c>
      <c r="Y187" t="e">
        <f>T187*X187</f>
        <v>#DIV/0!</v>
      </c>
      <c r="Z187" s="2" t="e">
        <f>U187/S187</f>
        <v>#DIV/0!</v>
      </c>
    </row>
    <row r="188" spans="1:26" customFormat="1" hidden="1">
      <c r="A188" t="s">
        <v>47</v>
      </c>
      <c r="B188">
        <v>35</v>
      </c>
      <c r="C188">
        <v>0</v>
      </c>
      <c r="D188">
        <v>9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 s="2" t="e">
        <f>U188/T188</f>
        <v>#DIV/0!</v>
      </c>
      <c r="W188" s="2" t="e">
        <f>S188/R188</f>
        <v>#DIV/0!</v>
      </c>
      <c r="X188" s="3" t="e">
        <f>V188-W188</f>
        <v>#DIV/0!</v>
      </c>
      <c r="Y188" t="e">
        <f>T188*X188</f>
        <v>#DIV/0!</v>
      </c>
      <c r="Z188" s="2" t="e">
        <f>U188/S188</f>
        <v>#DIV/0!</v>
      </c>
    </row>
    <row r="189" spans="1:26" customFormat="1" hidden="1">
      <c r="A189" t="s">
        <v>48</v>
      </c>
      <c r="B189">
        <v>31</v>
      </c>
      <c r="C189">
        <v>4</v>
      </c>
      <c r="D189">
        <v>5</v>
      </c>
      <c r="E189">
        <v>1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 s="2" t="e">
        <f>U189/T189</f>
        <v>#DIV/0!</v>
      </c>
      <c r="W189" s="2" t="e">
        <f>S189/R189</f>
        <v>#DIV/0!</v>
      </c>
      <c r="X189" s="3" t="e">
        <f>V189-W189</f>
        <v>#DIV/0!</v>
      </c>
      <c r="Y189" t="e">
        <f>T189*X189</f>
        <v>#DIV/0!</v>
      </c>
      <c r="Z189" s="2" t="e">
        <f>U189/S189</f>
        <v>#DIV/0!</v>
      </c>
    </row>
    <row r="190" spans="1:26" customFormat="1" hidden="1">
      <c r="A190" t="s">
        <v>49</v>
      </c>
      <c r="B190">
        <v>28</v>
      </c>
      <c r="C190">
        <v>2</v>
      </c>
      <c r="D190">
        <v>3</v>
      </c>
      <c r="E190">
        <v>1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 s="2" t="e">
        <f>U190/T190</f>
        <v>#DIV/0!</v>
      </c>
      <c r="W190" s="2" t="e">
        <f>S190/R190</f>
        <v>#DIV/0!</v>
      </c>
      <c r="X190" s="3" t="e">
        <f>V190-W190</f>
        <v>#DIV/0!</v>
      </c>
      <c r="Y190" t="e">
        <f>T190*X190</f>
        <v>#DIV/0!</v>
      </c>
      <c r="Z190" s="2" t="e">
        <f>U190/S190</f>
        <v>#DIV/0!</v>
      </c>
    </row>
    <row r="191" spans="1:26" customFormat="1" hidden="1">
      <c r="A191" t="s">
        <v>50</v>
      </c>
      <c r="B191">
        <v>11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 s="2" t="e">
        <f>U191/T191</f>
        <v>#DIV/0!</v>
      </c>
      <c r="W191" s="2" t="e">
        <f>S191/R191</f>
        <v>#DIV/0!</v>
      </c>
      <c r="X191" s="3" t="e">
        <f>V191-W191</f>
        <v>#DIV/0!</v>
      </c>
      <c r="Y191" t="e">
        <f>T191*X191</f>
        <v>#DIV/0!</v>
      </c>
      <c r="Z191" s="2" t="e">
        <f>U191/S191</f>
        <v>#DIV/0!</v>
      </c>
    </row>
    <row r="192" spans="1:26" customFormat="1" hidden="1">
      <c r="A192" t="s">
        <v>54</v>
      </c>
      <c r="B192">
        <v>9</v>
      </c>
      <c r="C192">
        <v>0</v>
      </c>
      <c r="D192">
        <v>0</v>
      </c>
      <c r="E192">
        <v>0</v>
      </c>
      <c r="F192">
        <v>12</v>
      </c>
      <c r="G192">
        <v>1</v>
      </c>
      <c r="H192">
        <v>0</v>
      </c>
      <c r="I192">
        <v>0</v>
      </c>
      <c r="J192">
        <v>10</v>
      </c>
      <c r="K192">
        <v>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 s="2" t="e">
        <f>U192/T192</f>
        <v>#DIV/0!</v>
      </c>
      <c r="W192" s="2" t="e">
        <f>S192/R192</f>
        <v>#DIV/0!</v>
      </c>
      <c r="X192" s="3" t="e">
        <f>V192-W192</f>
        <v>#DIV/0!</v>
      </c>
      <c r="Y192" t="e">
        <f>T192*X192</f>
        <v>#DIV/0!</v>
      </c>
      <c r="Z192" s="2" t="e">
        <f>U192/S192</f>
        <v>#DIV/0!</v>
      </c>
    </row>
    <row r="193" spans="1:26" customFormat="1" hidden="1">
      <c r="A193" t="s">
        <v>74</v>
      </c>
      <c r="B193">
        <v>0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18</v>
      </c>
      <c r="K193">
        <v>1</v>
      </c>
      <c r="L193">
        <v>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 s="2" t="e">
        <f>U193/T193</f>
        <v>#DIV/0!</v>
      </c>
      <c r="W193" s="2" t="e">
        <f>S193/R193</f>
        <v>#DIV/0!</v>
      </c>
      <c r="X193" s="3" t="e">
        <f>V193-W193</f>
        <v>#DIV/0!</v>
      </c>
      <c r="Y193" t="e">
        <f>T193*X193</f>
        <v>#DIV/0!</v>
      </c>
      <c r="Z193" s="2" t="e">
        <f>U193/S193</f>
        <v>#DIV/0!</v>
      </c>
    </row>
    <row r="194" spans="1:26" customFormat="1" hidden="1">
      <c r="A194" t="s">
        <v>79</v>
      </c>
      <c r="B194">
        <v>172</v>
      </c>
      <c r="C194">
        <v>71</v>
      </c>
      <c r="D194">
        <v>3</v>
      </c>
      <c r="E194">
        <v>2</v>
      </c>
      <c r="F194">
        <v>160</v>
      </c>
      <c r="G194">
        <v>65</v>
      </c>
      <c r="H194">
        <v>3</v>
      </c>
      <c r="I194">
        <v>0</v>
      </c>
      <c r="J194">
        <v>166</v>
      </c>
      <c r="K194">
        <v>57</v>
      </c>
      <c r="L194">
        <v>6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 s="2" t="e">
        <f>U194/T194</f>
        <v>#DIV/0!</v>
      </c>
      <c r="W194" s="2" t="e">
        <f>S194/R194</f>
        <v>#DIV/0!</v>
      </c>
      <c r="X194" s="3" t="e">
        <f>V194-W194</f>
        <v>#DIV/0!</v>
      </c>
      <c r="Y194" t="e">
        <f>T194*X194</f>
        <v>#DIV/0!</v>
      </c>
      <c r="Z194" s="2" t="e">
        <f>U194/S194</f>
        <v>#DIV/0!</v>
      </c>
    </row>
    <row r="195" spans="1:26" customFormat="1" hidden="1">
      <c r="A195" t="s">
        <v>224</v>
      </c>
      <c r="B195">
        <v>78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 s="2" t="e">
        <f>U195/T195</f>
        <v>#DIV/0!</v>
      </c>
      <c r="W195" s="2" t="e">
        <f>S195/R195</f>
        <v>#DIV/0!</v>
      </c>
      <c r="X195" s="3" t="e">
        <f>V195-W195</f>
        <v>#DIV/0!</v>
      </c>
      <c r="Y195" t="e">
        <f>T195*X195</f>
        <v>#DIV/0!</v>
      </c>
      <c r="Z195" s="2" t="e">
        <f>U195/S195</f>
        <v>#DIV/0!</v>
      </c>
    </row>
    <row r="196" spans="1:26" customFormat="1" hidden="1">
      <c r="A196" t="s">
        <v>106</v>
      </c>
      <c r="B196">
        <v>209</v>
      </c>
      <c r="C196">
        <v>97</v>
      </c>
      <c r="D196">
        <v>13</v>
      </c>
      <c r="E196">
        <v>6</v>
      </c>
      <c r="F196">
        <v>152</v>
      </c>
      <c r="G196">
        <v>81</v>
      </c>
      <c r="H196">
        <v>11</v>
      </c>
      <c r="I196">
        <v>3</v>
      </c>
      <c r="J196">
        <v>159</v>
      </c>
      <c r="K196">
        <v>77</v>
      </c>
      <c r="L196">
        <v>13</v>
      </c>
      <c r="M196">
        <v>2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 s="2" t="e">
        <f>U196/T196</f>
        <v>#DIV/0!</v>
      </c>
      <c r="W196" s="2" t="e">
        <f>S196/R196</f>
        <v>#DIV/0!</v>
      </c>
      <c r="X196" s="3" t="e">
        <f>V196-W196</f>
        <v>#DIV/0!</v>
      </c>
      <c r="Y196" t="e">
        <f>T196*X196</f>
        <v>#DIV/0!</v>
      </c>
      <c r="Z196" s="2" t="e">
        <f>U196/S196</f>
        <v>#DIV/0!</v>
      </c>
    </row>
    <row r="197" spans="1:26" customFormat="1" hidden="1">
      <c r="A197" t="s">
        <v>109</v>
      </c>
      <c r="B197">
        <v>109</v>
      </c>
      <c r="C197">
        <v>60</v>
      </c>
      <c r="D197">
        <v>8</v>
      </c>
      <c r="E197">
        <v>4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 s="2" t="e">
        <f>U197/T197</f>
        <v>#DIV/0!</v>
      </c>
      <c r="W197" s="2" t="e">
        <f>S197/R197</f>
        <v>#DIV/0!</v>
      </c>
      <c r="X197" s="3" t="e">
        <f>V197-W197</f>
        <v>#DIV/0!</v>
      </c>
      <c r="Y197" t="e">
        <f>T197*X197</f>
        <v>#DIV/0!</v>
      </c>
      <c r="Z197" s="2" t="e">
        <f>U197/S197</f>
        <v>#DIV/0!</v>
      </c>
    </row>
    <row r="198" spans="1:26" customFormat="1" hidden="1">
      <c r="A198" t="s">
        <v>124</v>
      </c>
      <c r="B198">
        <v>48</v>
      </c>
      <c r="C198">
        <v>18</v>
      </c>
      <c r="D198">
        <v>9</v>
      </c>
      <c r="E198">
        <v>4</v>
      </c>
      <c r="F198">
        <v>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 s="2" t="e">
        <f>U198/T198</f>
        <v>#DIV/0!</v>
      </c>
      <c r="W198" s="2" t="e">
        <f>S198/R198</f>
        <v>#DIV/0!</v>
      </c>
      <c r="X198" s="3" t="e">
        <f>V198-W198</f>
        <v>#DIV/0!</v>
      </c>
      <c r="Y198" t="e">
        <f>T198*X198</f>
        <v>#DIV/0!</v>
      </c>
      <c r="Z198" s="2" t="e">
        <f>U198/S198</f>
        <v>#DIV/0!</v>
      </c>
    </row>
    <row r="199" spans="1:26" customFormat="1" hidden="1">
      <c r="A199" t="s">
        <v>129</v>
      </c>
      <c r="B199">
        <v>70</v>
      </c>
      <c r="C199">
        <v>27</v>
      </c>
      <c r="D199">
        <v>12</v>
      </c>
      <c r="E199">
        <v>3</v>
      </c>
      <c r="F199">
        <v>64</v>
      </c>
      <c r="G199">
        <v>34</v>
      </c>
      <c r="H199">
        <v>14</v>
      </c>
      <c r="I199">
        <v>8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 s="2" t="e">
        <f>U199/T199</f>
        <v>#DIV/0!</v>
      </c>
      <c r="W199" s="2" t="e">
        <f>S199/R199</f>
        <v>#DIV/0!</v>
      </c>
      <c r="X199" s="3" t="e">
        <f>V199-W199</f>
        <v>#DIV/0!</v>
      </c>
      <c r="Y199" t="e">
        <f>T199*X199</f>
        <v>#DIV/0!</v>
      </c>
      <c r="Z199" s="2" t="e">
        <f>U199/S199</f>
        <v>#DIV/0!</v>
      </c>
    </row>
    <row r="200" spans="1:26" customFormat="1" hidden="1">
      <c r="A200" t="s">
        <v>145</v>
      </c>
      <c r="B200">
        <v>316</v>
      </c>
      <c r="C200">
        <v>40</v>
      </c>
      <c r="D200">
        <v>110</v>
      </c>
      <c r="E200">
        <v>4</v>
      </c>
      <c r="F200">
        <v>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 s="2" t="e">
        <f>U200/T200</f>
        <v>#DIV/0!</v>
      </c>
      <c r="W200" s="2" t="e">
        <f>S200/R200</f>
        <v>#DIV/0!</v>
      </c>
      <c r="X200" s="3" t="e">
        <f>V200-W200</f>
        <v>#DIV/0!</v>
      </c>
      <c r="Y200" t="e">
        <f>T200*X200</f>
        <v>#DIV/0!</v>
      </c>
      <c r="Z200" s="2" t="e">
        <f>U200/S200</f>
        <v>#DIV/0!</v>
      </c>
    </row>
    <row r="201" spans="1:26" customFormat="1" hidden="1">
      <c r="A201" t="s">
        <v>157</v>
      </c>
      <c r="B201">
        <v>206</v>
      </c>
      <c r="C201">
        <v>64</v>
      </c>
      <c r="D201">
        <v>110</v>
      </c>
      <c r="E201">
        <v>31</v>
      </c>
      <c r="F201">
        <v>408</v>
      </c>
      <c r="G201">
        <v>68</v>
      </c>
      <c r="H201">
        <v>239</v>
      </c>
      <c r="I201">
        <v>32</v>
      </c>
      <c r="J201">
        <v>451</v>
      </c>
      <c r="K201">
        <v>60</v>
      </c>
      <c r="L201">
        <v>295</v>
      </c>
      <c r="M201">
        <v>23</v>
      </c>
      <c r="N201">
        <v>390</v>
      </c>
      <c r="O201">
        <v>59</v>
      </c>
      <c r="P201">
        <v>254</v>
      </c>
      <c r="Q201">
        <v>21</v>
      </c>
      <c r="R201">
        <v>0</v>
      </c>
      <c r="S201">
        <v>0</v>
      </c>
      <c r="T201">
        <v>0</v>
      </c>
      <c r="U201">
        <v>0</v>
      </c>
      <c r="V201" s="2" t="e">
        <f>U201/T201</f>
        <v>#DIV/0!</v>
      </c>
      <c r="W201" s="2" t="e">
        <f>S201/R201</f>
        <v>#DIV/0!</v>
      </c>
      <c r="X201" s="3" t="e">
        <f>V201-W201</f>
        <v>#DIV/0!</v>
      </c>
      <c r="Y201" t="e">
        <f>T201*X201</f>
        <v>#DIV/0!</v>
      </c>
      <c r="Z201" s="2" t="e">
        <f>U201/S201</f>
        <v>#DIV/0!</v>
      </c>
    </row>
    <row r="202" spans="1:26" customFormat="1" hidden="1">
      <c r="A202" t="s">
        <v>158</v>
      </c>
      <c r="B202">
        <v>104</v>
      </c>
      <c r="C202">
        <v>21</v>
      </c>
      <c r="D202">
        <v>31</v>
      </c>
      <c r="E202">
        <v>2</v>
      </c>
      <c r="F202">
        <v>119</v>
      </c>
      <c r="G202">
        <v>32</v>
      </c>
      <c r="H202">
        <v>30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 s="2" t="e">
        <f>U202/T202</f>
        <v>#DIV/0!</v>
      </c>
      <c r="W202" s="2" t="e">
        <f>S202/R202</f>
        <v>#DIV/0!</v>
      </c>
      <c r="X202" s="3" t="e">
        <f>V202-W202</f>
        <v>#DIV/0!</v>
      </c>
      <c r="Y202" t="e">
        <f>T202*X202</f>
        <v>#DIV/0!</v>
      </c>
      <c r="Z202" s="2" t="e">
        <f>U202/S202</f>
        <v>#DIV/0!</v>
      </c>
    </row>
    <row r="203" spans="1:26" customFormat="1" hidden="1">
      <c r="A203" t="s">
        <v>163</v>
      </c>
      <c r="B203">
        <v>439</v>
      </c>
      <c r="C203">
        <v>83</v>
      </c>
      <c r="D203">
        <v>296</v>
      </c>
      <c r="E203">
        <v>31</v>
      </c>
      <c r="F203">
        <v>1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 s="2" t="e">
        <f>U203/T203</f>
        <v>#DIV/0!</v>
      </c>
      <c r="W203" s="2" t="e">
        <f>S203/R203</f>
        <v>#DIV/0!</v>
      </c>
      <c r="X203" s="3" t="e">
        <f>V203-W203</f>
        <v>#DIV/0!</v>
      </c>
      <c r="Y203" t="e">
        <f>T203*X203</f>
        <v>#DIV/0!</v>
      </c>
      <c r="Z203" s="2" t="e">
        <f>U203/S203</f>
        <v>#DIV/0!</v>
      </c>
    </row>
    <row r="204" spans="1:26" customFormat="1" hidden="1">
      <c r="A204" t="s">
        <v>164</v>
      </c>
      <c r="B204">
        <v>383</v>
      </c>
      <c r="C204">
        <v>82</v>
      </c>
      <c r="D204">
        <v>266</v>
      </c>
      <c r="E204">
        <v>38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 s="2" t="e">
        <f>U204/T204</f>
        <v>#DIV/0!</v>
      </c>
      <c r="W204" s="2" t="e">
        <f>S204/R204</f>
        <v>#DIV/0!</v>
      </c>
      <c r="X204" s="3" t="e">
        <f>V204-W204</f>
        <v>#DIV/0!</v>
      </c>
      <c r="Y204" t="e">
        <f>T204*X204</f>
        <v>#DIV/0!</v>
      </c>
      <c r="Z204" s="2" t="e">
        <f>U204/S204</f>
        <v>#DIV/0!</v>
      </c>
    </row>
    <row r="205" spans="1:26" customFormat="1" hidden="1">
      <c r="A205" t="s">
        <v>165</v>
      </c>
      <c r="B205">
        <v>416</v>
      </c>
      <c r="C205">
        <v>102</v>
      </c>
      <c r="D205">
        <v>131</v>
      </c>
      <c r="E205">
        <v>9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 s="2" t="e">
        <f>U205/T205</f>
        <v>#DIV/0!</v>
      </c>
      <c r="W205" s="2" t="e">
        <f>S205/R205</f>
        <v>#DIV/0!</v>
      </c>
      <c r="X205" s="3" t="e">
        <f>V205-W205</f>
        <v>#DIV/0!</v>
      </c>
      <c r="Y205" t="e">
        <f>T205*X205</f>
        <v>#DIV/0!</v>
      </c>
      <c r="Z205" s="2" t="e">
        <f>U205/S205</f>
        <v>#DIV/0!</v>
      </c>
    </row>
    <row r="206" spans="1:26" customFormat="1" hidden="1">
      <c r="A206" t="s">
        <v>184</v>
      </c>
      <c r="B206">
        <v>99</v>
      </c>
      <c r="C206">
        <v>37</v>
      </c>
      <c r="D206">
        <v>22</v>
      </c>
      <c r="E206">
        <v>2</v>
      </c>
      <c r="F206">
        <v>72</v>
      </c>
      <c r="G206">
        <v>30</v>
      </c>
      <c r="H206">
        <v>15</v>
      </c>
      <c r="I206">
        <v>3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 s="2" t="e">
        <f>U206/T206</f>
        <v>#DIV/0!</v>
      </c>
      <c r="W206" s="2" t="e">
        <f>S206/R206</f>
        <v>#DIV/0!</v>
      </c>
      <c r="X206" s="3" t="e">
        <f>V206-W206</f>
        <v>#DIV/0!</v>
      </c>
      <c r="Y206" t="e">
        <f>T206*X206</f>
        <v>#DIV/0!</v>
      </c>
      <c r="Z206" s="2" t="e">
        <f>U206/S206</f>
        <v>#DIV/0!</v>
      </c>
    </row>
    <row r="207" spans="1:26" customFormat="1" hidden="1">
      <c r="A207" t="s">
        <v>187</v>
      </c>
      <c r="B207">
        <v>453</v>
      </c>
      <c r="C207">
        <v>74</v>
      </c>
      <c r="D207">
        <v>88</v>
      </c>
      <c r="E207">
        <v>5</v>
      </c>
      <c r="F207">
        <v>2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 s="2" t="e">
        <f>U207/T207</f>
        <v>#DIV/0!</v>
      </c>
      <c r="W207" s="2" t="e">
        <f>S207/R207</f>
        <v>#DIV/0!</v>
      </c>
      <c r="X207" s="3" t="e">
        <f>V207-W207</f>
        <v>#DIV/0!</v>
      </c>
      <c r="Y207" t="e">
        <f>T207*X207</f>
        <v>#DIV/0!</v>
      </c>
      <c r="Z207" s="2" t="e">
        <f>U207/S207</f>
        <v>#DIV/0!</v>
      </c>
    </row>
    <row r="208" spans="1:26" customFormat="1" hidden="1">
      <c r="A208" t="s">
        <v>197</v>
      </c>
      <c r="B208">
        <v>0</v>
      </c>
      <c r="C208">
        <v>0</v>
      </c>
      <c r="D208">
        <v>0</v>
      </c>
      <c r="E208">
        <v>0</v>
      </c>
      <c r="F208">
        <v>17</v>
      </c>
      <c r="G208">
        <v>8</v>
      </c>
      <c r="H208">
        <v>6</v>
      </c>
      <c r="I208">
        <v>1</v>
      </c>
      <c r="J208">
        <v>19</v>
      </c>
      <c r="K208">
        <v>5</v>
      </c>
      <c r="L208">
        <v>8</v>
      </c>
      <c r="M208">
        <v>1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 s="2" t="e">
        <f>U208/T208</f>
        <v>#DIV/0!</v>
      </c>
      <c r="W208" s="2" t="e">
        <f>S208/R208</f>
        <v>#DIV/0!</v>
      </c>
      <c r="X208" s="3" t="e">
        <f>V208-W208</f>
        <v>#DIV/0!</v>
      </c>
      <c r="Y208" t="e">
        <f>T208*X208</f>
        <v>#DIV/0!</v>
      </c>
      <c r="Z208" s="2" t="e">
        <f>U208/S208</f>
        <v>#DIV/0!</v>
      </c>
    </row>
    <row r="209" spans="1:26" customFormat="1" hidden="1">
      <c r="A209" t="s">
        <v>199</v>
      </c>
      <c r="B209">
        <v>66</v>
      </c>
      <c r="C209">
        <v>26</v>
      </c>
      <c r="D209">
        <v>9</v>
      </c>
      <c r="E209">
        <v>0</v>
      </c>
      <c r="F209">
        <v>66</v>
      </c>
      <c r="G209">
        <v>27</v>
      </c>
      <c r="H209">
        <v>5</v>
      </c>
      <c r="I209">
        <v>2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 s="2" t="e">
        <f>U209/T209</f>
        <v>#DIV/0!</v>
      </c>
      <c r="W209" s="2" t="e">
        <f>S209/R209</f>
        <v>#DIV/0!</v>
      </c>
      <c r="X209" s="3" t="e">
        <f>V209-W209</f>
        <v>#DIV/0!</v>
      </c>
      <c r="Y209" t="e">
        <f>T209*X209</f>
        <v>#DIV/0!</v>
      </c>
      <c r="Z209" s="2" t="e">
        <f>U209/S209</f>
        <v>#DIV/0!</v>
      </c>
    </row>
    <row r="210" spans="1:26" customFormat="1" hidden="1">
      <c r="A210" t="s">
        <v>200</v>
      </c>
      <c r="B210">
        <v>161</v>
      </c>
      <c r="C210">
        <v>67</v>
      </c>
      <c r="D210">
        <v>42</v>
      </c>
      <c r="E210">
        <v>9</v>
      </c>
      <c r="F210">
        <v>257</v>
      </c>
      <c r="G210">
        <v>78</v>
      </c>
      <c r="H210">
        <v>62</v>
      </c>
      <c r="I210">
        <v>5</v>
      </c>
      <c r="J210">
        <v>3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 s="2" t="e">
        <f>U210/T210</f>
        <v>#DIV/0!</v>
      </c>
      <c r="W210" s="2" t="e">
        <f>S210/R210</f>
        <v>#DIV/0!</v>
      </c>
      <c r="X210" s="3" t="e">
        <f>V210-W210</f>
        <v>#DIV/0!</v>
      </c>
      <c r="Y210" t="e">
        <f>T210*X210</f>
        <v>#DIV/0!</v>
      </c>
      <c r="Z210" s="2" t="e">
        <f>U210/S210</f>
        <v>#DIV/0!</v>
      </c>
    </row>
    <row r="211" spans="1:26" customFormat="1" hidden="1">
      <c r="A211" t="s">
        <v>203</v>
      </c>
      <c r="B211">
        <v>48</v>
      </c>
      <c r="C211">
        <v>8</v>
      </c>
      <c r="D211">
        <v>14</v>
      </c>
      <c r="E211">
        <v>0</v>
      </c>
      <c r="F211">
        <v>33</v>
      </c>
      <c r="G211">
        <v>4</v>
      </c>
      <c r="H211">
        <v>11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 s="2" t="e">
        <f>U211/T211</f>
        <v>#DIV/0!</v>
      </c>
      <c r="W211" s="2" t="e">
        <f>S211/R211</f>
        <v>#DIV/0!</v>
      </c>
      <c r="X211" s="3" t="e">
        <f>V211-W211</f>
        <v>#DIV/0!</v>
      </c>
      <c r="Y211" t="e">
        <f>T211*X211</f>
        <v>#DIV/0!</v>
      </c>
      <c r="Z211" s="2" t="e">
        <f>U211/S211</f>
        <v>#DIV/0!</v>
      </c>
    </row>
    <row r="212" spans="1:26" customFormat="1" hidden="1">
      <c r="A212" t="s">
        <v>204</v>
      </c>
      <c r="B212">
        <v>22</v>
      </c>
      <c r="C212">
        <v>9</v>
      </c>
      <c r="D212">
        <v>6</v>
      </c>
      <c r="E212">
        <v>4</v>
      </c>
      <c r="F212">
        <v>37</v>
      </c>
      <c r="G212">
        <v>12</v>
      </c>
      <c r="H212">
        <v>15</v>
      </c>
      <c r="I212">
        <v>7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 s="2" t="e">
        <f>U212/T212</f>
        <v>#DIV/0!</v>
      </c>
      <c r="W212" s="2" t="e">
        <f>S212/R212</f>
        <v>#DIV/0!</v>
      </c>
      <c r="X212" s="3" t="e">
        <f>V212-W212</f>
        <v>#DIV/0!</v>
      </c>
      <c r="Y212" t="e">
        <f>T212*X212</f>
        <v>#DIV/0!</v>
      </c>
      <c r="Z212" s="2" t="e">
        <f>U212/S212</f>
        <v>#DIV/0!</v>
      </c>
    </row>
    <row r="213" spans="1:26" customFormat="1" hidden="1">
      <c r="A213" t="s">
        <v>25</v>
      </c>
      <c r="B213">
        <v>42</v>
      </c>
      <c r="C213">
        <v>7</v>
      </c>
      <c r="D213">
        <v>1</v>
      </c>
      <c r="E213">
        <v>0</v>
      </c>
      <c r="F213">
        <v>59</v>
      </c>
      <c r="G213">
        <v>2</v>
      </c>
      <c r="H213">
        <v>1</v>
      </c>
      <c r="I213">
        <v>0</v>
      </c>
      <c r="J213">
        <v>26</v>
      </c>
      <c r="K213">
        <v>1</v>
      </c>
      <c r="L213">
        <v>2</v>
      </c>
      <c r="M213">
        <v>0</v>
      </c>
      <c r="N213">
        <v>32</v>
      </c>
      <c r="O213">
        <v>1</v>
      </c>
      <c r="P213">
        <v>1</v>
      </c>
      <c r="Q213">
        <v>0</v>
      </c>
      <c r="R213">
        <v>22</v>
      </c>
      <c r="S213">
        <v>2</v>
      </c>
      <c r="T213">
        <v>0</v>
      </c>
      <c r="U213">
        <v>0</v>
      </c>
      <c r="V213" s="2" t="e">
        <f>U213/T213</f>
        <v>#DIV/0!</v>
      </c>
      <c r="W213" s="2">
        <f>S213/R213</f>
        <v>9.0909090909090912E-2</v>
      </c>
      <c r="X213" s="3" t="e">
        <f>V213-W213</f>
        <v>#DIV/0!</v>
      </c>
      <c r="Y213" t="e">
        <f>T213*X213</f>
        <v>#DIV/0!</v>
      </c>
      <c r="Z213" s="2">
        <f>U213/S213</f>
        <v>0</v>
      </c>
    </row>
    <row r="214" spans="1:26" customFormat="1" hidden="1">
      <c r="A214" t="s">
        <v>28</v>
      </c>
      <c r="B214">
        <v>91</v>
      </c>
      <c r="C214">
        <v>87</v>
      </c>
      <c r="D214">
        <v>0</v>
      </c>
      <c r="E214">
        <v>0</v>
      </c>
      <c r="F214">
        <v>87</v>
      </c>
      <c r="G214">
        <v>87</v>
      </c>
      <c r="H214">
        <v>0</v>
      </c>
      <c r="I214">
        <v>0</v>
      </c>
      <c r="J214">
        <v>119</v>
      </c>
      <c r="K214">
        <v>116</v>
      </c>
      <c r="L214">
        <v>1</v>
      </c>
      <c r="M214">
        <v>1</v>
      </c>
      <c r="N214">
        <v>104</v>
      </c>
      <c r="O214">
        <v>79</v>
      </c>
      <c r="P214">
        <v>0</v>
      </c>
      <c r="Q214">
        <v>0</v>
      </c>
      <c r="R214">
        <v>80</v>
      </c>
      <c r="S214">
        <v>42</v>
      </c>
      <c r="T214">
        <v>0</v>
      </c>
      <c r="U214">
        <v>0</v>
      </c>
      <c r="V214" s="2" t="e">
        <f>U214/T214</f>
        <v>#DIV/0!</v>
      </c>
      <c r="W214" s="2">
        <f>S214/R214</f>
        <v>0.52500000000000002</v>
      </c>
      <c r="X214" s="3" t="e">
        <f>V214-W214</f>
        <v>#DIV/0!</v>
      </c>
      <c r="Y214" t="e">
        <f>T214*X214</f>
        <v>#DIV/0!</v>
      </c>
      <c r="Z214" s="2">
        <f>U214/S214</f>
        <v>0</v>
      </c>
    </row>
    <row r="215" spans="1:26" customFormat="1" hidden="1">
      <c r="A215" t="s">
        <v>6</v>
      </c>
      <c r="B215">
        <v>0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47</v>
      </c>
      <c r="K215">
        <v>37</v>
      </c>
      <c r="L215">
        <v>0</v>
      </c>
      <c r="M215">
        <v>0</v>
      </c>
      <c r="N215">
        <v>36</v>
      </c>
      <c r="O215">
        <v>31</v>
      </c>
      <c r="P215">
        <v>2</v>
      </c>
      <c r="Q215">
        <v>0</v>
      </c>
      <c r="R215">
        <v>22</v>
      </c>
      <c r="S215">
        <v>13</v>
      </c>
      <c r="T215">
        <v>0</v>
      </c>
      <c r="U215">
        <v>0</v>
      </c>
      <c r="V215" s="2" t="e">
        <f>U215/T215</f>
        <v>#DIV/0!</v>
      </c>
      <c r="W215" s="2">
        <f>S215/R215</f>
        <v>0.59090909090909094</v>
      </c>
      <c r="X215" s="3" t="e">
        <f>V215-W215</f>
        <v>#DIV/0!</v>
      </c>
      <c r="Y215" t="e">
        <f>T215*X215</f>
        <v>#DIV/0!</v>
      </c>
      <c r="Z215" s="2">
        <f>U215/S215</f>
        <v>0</v>
      </c>
    </row>
    <row r="216" spans="1:26" customFormat="1" hidden="1">
      <c r="A216" t="s">
        <v>10</v>
      </c>
      <c r="B216">
        <v>82</v>
      </c>
      <c r="C216">
        <v>52</v>
      </c>
      <c r="D216">
        <v>2</v>
      </c>
      <c r="E216">
        <v>1</v>
      </c>
      <c r="F216">
        <v>94</v>
      </c>
      <c r="G216">
        <v>52</v>
      </c>
      <c r="H216">
        <v>2</v>
      </c>
      <c r="I216">
        <v>2</v>
      </c>
      <c r="J216">
        <v>82</v>
      </c>
      <c r="K216">
        <v>54</v>
      </c>
      <c r="L216">
        <v>2</v>
      </c>
      <c r="M216">
        <v>0</v>
      </c>
      <c r="N216">
        <v>100</v>
      </c>
      <c r="O216">
        <v>64</v>
      </c>
      <c r="P216">
        <v>0</v>
      </c>
      <c r="Q216">
        <v>0</v>
      </c>
      <c r="R216">
        <v>83</v>
      </c>
      <c r="S216">
        <v>66</v>
      </c>
      <c r="T216">
        <v>0</v>
      </c>
      <c r="U216">
        <v>0</v>
      </c>
      <c r="V216" s="2" t="e">
        <f>U216/T216</f>
        <v>#DIV/0!</v>
      </c>
      <c r="W216" s="2">
        <f>S216/R216</f>
        <v>0.79518072289156627</v>
      </c>
      <c r="X216" s="3" t="e">
        <f>V216-W216</f>
        <v>#DIV/0!</v>
      </c>
      <c r="Y216" t="e">
        <f>T216*X216</f>
        <v>#DIV/0!</v>
      </c>
      <c r="Z216" s="2">
        <f>U216/S216</f>
        <v>0</v>
      </c>
    </row>
    <row r="217" spans="1:26" customFormat="1" hidden="1">
      <c r="A217" t="s">
        <v>178</v>
      </c>
      <c r="B217">
        <v>24</v>
      </c>
      <c r="C217">
        <v>15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5</v>
      </c>
      <c r="O217">
        <v>3</v>
      </c>
      <c r="P217">
        <v>0</v>
      </c>
      <c r="Q217">
        <v>0</v>
      </c>
      <c r="R217">
        <v>5</v>
      </c>
      <c r="S217">
        <v>4</v>
      </c>
      <c r="T217">
        <v>0</v>
      </c>
      <c r="U217">
        <v>0</v>
      </c>
      <c r="V217" s="2" t="e">
        <f>U217/T217</f>
        <v>#DIV/0!</v>
      </c>
      <c r="W217" s="2">
        <f>S217/R217</f>
        <v>0.8</v>
      </c>
      <c r="X217" s="3" t="e">
        <f>V217-W217</f>
        <v>#DIV/0!</v>
      </c>
      <c r="Y217" t="e">
        <f>T217*X217</f>
        <v>#DIV/0!</v>
      </c>
      <c r="Z217" s="2">
        <f>U217/S217</f>
        <v>0</v>
      </c>
    </row>
    <row r="218" spans="1:26" customFormat="1" hidden="1">
      <c r="A218" t="s">
        <v>15</v>
      </c>
      <c r="B218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29</v>
      </c>
      <c r="O218">
        <v>3</v>
      </c>
      <c r="P218">
        <v>0</v>
      </c>
      <c r="Q218">
        <v>0</v>
      </c>
      <c r="R218">
        <v>40</v>
      </c>
      <c r="S218">
        <v>33</v>
      </c>
      <c r="T218">
        <v>0</v>
      </c>
      <c r="U218">
        <v>0</v>
      </c>
      <c r="V218" s="2" t="e">
        <f>U218/T218</f>
        <v>#DIV/0!</v>
      </c>
      <c r="W218" s="2">
        <f>S218/R218</f>
        <v>0.82499999999999996</v>
      </c>
      <c r="X218" s="3" t="e">
        <f>V218-W218</f>
        <v>#DIV/0!</v>
      </c>
      <c r="Y218" t="e">
        <f>T218*X218</f>
        <v>#DIV/0!</v>
      </c>
      <c r="Z218" s="2">
        <f>U218/S218</f>
        <v>0</v>
      </c>
    </row>
    <row r="219" spans="1:26" customFormat="1" hidden="1">
      <c r="A219" t="s">
        <v>16</v>
      </c>
      <c r="B219">
        <v>150</v>
      </c>
      <c r="C219">
        <v>116</v>
      </c>
      <c r="D219">
        <v>1</v>
      </c>
      <c r="E219">
        <v>1</v>
      </c>
      <c r="F219">
        <v>95</v>
      </c>
      <c r="G219">
        <v>85</v>
      </c>
      <c r="H219">
        <v>0</v>
      </c>
      <c r="I219">
        <v>0</v>
      </c>
      <c r="J219">
        <v>74</v>
      </c>
      <c r="K219">
        <v>62</v>
      </c>
      <c r="L219">
        <v>1</v>
      </c>
      <c r="M219">
        <v>1</v>
      </c>
      <c r="N219">
        <v>71</v>
      </c>
      <c r="O219">
        <v>56</v>
      </c>
      <c r="P219">
        <v>2</v>
      </c>
      <c r="Q219">
        <v>2</v>
      </c>
      <c r="R219">
        <v>60</v>
      </c>
      <c r="S219">
        <v>51</v>
      </c>
      <c r="T219">
        <v>0</v>
      </c>
      <c r="U219">
        <v>0</v>
      </c>
      <c r="V219" s="2" t="e">
        <f>U219/T219</f>
        <v>#DIV/0!</v>
      </c>
      <c r="W219" s="2">
        <f>S219/R219</f>
        <v>0.85</v>
      </c>
      <c r="X219" s="3" t="e">
        <f>V219-W219</f>
        <v>#DIV/0!</v>
      </c>
      <c r="Y219" t="e">
        <f>T219*X219</f>
        <v>#DIV/0!</v>
      </c>
      <c r="Z219" s="2">
        <f>U219/S219</f>
        <v>0</v>
      </c>
    </row>
    <row r="220" spans="1:26" customFormat="1" hidden="1">
      <c r="A220" t="s">
        <v>14</v>
      </c>
      <c r="B220">
        <v>47</v>
      </c>
      <c r="C220">
        <v>33</v>
      </c>
      <c r="D220">
        <v>1</v>
      </c>
      <c r="E220">
        <v>0</v>
      </c>
      <c r="F220">
        <v>52</v>
      </c>
      <c r="G220">
        <v>38</v>
      </c>
      <c r="H220">
        <v>0</v>
      </c>
      <c r="I220">
        <v>0</v>
      </c>
      <c r="J220">
        <v>41</v>
      </c>
      <c r="K220">
        <v>29</v>
      </c>
      <c r="L220">
        <v>0</v>
      </c>
      <c r="M220">
        <v>0</v>
      </c>
      <c r="N220">
        <v>46</v>
      </c>
      <c r="O220">
        <v>41</v>
      </c>
      <c r="P220">
        <v>0</v>
      </c>
      <c r="Q220">
        <v>0</v>
      </c>
      <c r="R220">
        <v>61</v>
      </c>
      <c r="S220">
        <v>53</v>
      </c>
      <c r="T220">
        <v>0</v>
      </c>
      <c r="U220">
        <v>0</v>
      </c>
      <c r="V220" s="2" t="e">
        <f>U220/T220</f>
        <v>#DIV/0!</v>
      </c>
      <c r="W220" s="2">
        <f>S220/R220</f>
        <v>0.86885245901639341</v>
      </c>
      <c r="X220" s="3" t="e">
        <f>V220-W220</f>
        <v>#DIV/0!</v>
      </c>
      <c r="Y220" t="e">
        <f>T220*X220</f>
        <v>#DIV/0!</v>
      </c>
      <c r="Z220" s="2">
        <f>U220/S220</f>
        <v>0</v>
      </c>
    </row>
    <row r="221" spans="1:26" customFormat="1" hidden="1">
      <c r="A221" t="s">
        <v>11</v>
      </c>
      <c r="B221">
        <v>31</v>
      </c>
      <c r="C221">
        <v>30</v>
      </c>
      <c r="D221">
        <v>0</v>
      </c>
      <c r="E221">
        <v>0</v>
      </c>
      <c r="F221">
        <v>32</v>
      </c>
      <c r="G221">
        <v>31</v>
      </c>
      <c r="H221">
        <v>0</v>
      </c>
      <c r="I221">
        <v>0</v>
      </c>
      <c r="J221">
        <v>26</v>
      </c>
      <c r="K221">
        <v>26</v>
      </c>
      <c r="L221">
        <v>0</v>
      </c>
      <c r="M221">
        <v>0</v>
      </c>
      <c r="N221">
        <v>34</v>
      </c>
      <c r="O221">
        <v>34</v>
      </c>
      <c r="P221">
        <v>0</v>
      </c>
      <c r="Q221">
        <v>0</v>
      </c>
      <c r="R221">
        <v>32</v>
      </c>
      <c r="S221">
        <v>32</v>
      </c>
      <c r="T221">
        <v>0</v>
      </c>
      <c r="U221">
        <v>0</v>
      </c>
      <c r="V221" s="2" t="e">
        <f>U221/T221</f>
        <v>#DIV/0!</v>
      </c>
      <c r="W221" s="2">
        <f>S221/R221</f>
        <v>1</v>
      </c>
      <c r="X221" s="3" t="e">
        <f>V221-W221</f>
        <v>#DIV/0!</v>
      </c>
      <c r="Y221" t="e">
        <f>T221*X221</f>
        <v>#DIV/0!</v>
      </c>
      <c r="Z221" s="2">
        <f>U221/S221</f>
        <v>0</v>
      </c>
    </row>
    <row r="222" spans="1:26" customFormat="1" hidden="1">
      <c r="A222" t="s">
        <v>29</v>
      </c>
      <c r="B222">
        <v>13</v>
      </c>
      <c r="C222">
        <v>9</v>
      </c>
      <c r="D222">
        <v>0</v>
      </c>
      <c r="E222">
        <v>0</v>
      </c>
      <c r="F222">
        <v>9</v>
      </c>
      <c r="G222">
        <v>9</v>
      </c>
      <c r="H222">
        <v>0</v>
      </c>
      <c r="I222">
        <v>0</v>
      </c>
      <c r="J222">
        <v>11</v>
      </c>
      <c r="K222">
        <v>11</v>
      </c>
      <c r="L222">
        <v>0</v>
      </c>
      <c r="M222">
        <v>0</v>
      </c>
      <c r="N222">
        <v>10</v>
      </c>
      <c r="O222">
        <v>9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0</v>
      </c>
      <c r="V222" s="2" t="e">
        <f>U222/T222</f>
        <v>#DIV/0!</v>
      </c>
      <c r="W222" s="2">
        <f>S222/R222</f>
        <v>1</v>
      </c>
      <c r="X222" s="3" t="e">
        <f>V222-W222</f>
        <v>#DIV/0!</v>
      </c>
      <c r="Y222" t="e">
        <f>T222*X222</f>
        <v>#DIV/0!</v>
      </c>
      <c r="Z222" s="2">
        <f>U222/S222</f>
        <v>0</v>
      </c>
    </row>
    <row r="223" spans="1:26" customFormat="1" hidden="1">
      <c r="A223" t="s">
        <v>213</v>
      </c>
      <c r="B223">
        <v>14</v>
      </c>
      <c r="C223">
        <v>14</v>
      </c>
      <c r="D223">
        <v>0</v>
      </c>
      <c r="E223">
        <v>0</v>
      </c>
      <c r="F223">
        <v>19</v>
      </c>
      <c r="G223">
        <v>17</v>
      </c>
      <c r="H223">
        <v>0</v>
      </c>
      <c r="I223">
        <v>0</v>
      </c>
      <c r="J223">
        <v>26</v>
      </c>
      <c r="K223">
        <v>24</v>
      </c>
      <c r="L223">
        <v>0</v>
      </c>
      <c r="M223">
        <v>0</v>
      </c>
      <c r="N223">
        <v>9</v>
      </c>
      <c r="O223">
        <v>9</v>
      </c>
      <c r="P223">
        <v>0</v>
      </c>
      <c r="Q223">
        <v>0</v>
      </c>
      <c r="R223">
        <v>8</v>
      </c>
      <c r="S223">
        <v>8</v>
      </c>
      <c r="T223">
        <v>0</v>
      </c>
      <c r="U223">
        <v>0</v>
      </c>
      <c r="V223" s="2" t="e">
        <f>U223/T223</f>
        <v>#DIV/0!</v>
      </c>
      <c r="W223" s="2">
        <f>S223/R223</f>
        <v>1</v>
      </c>
      <c r="X223" s="3" t="e">
        <f>V223-W223</f>
        <v>#DIV/0!</v>
      </c>
      <c r="Y223" t="e">
        <f>T223*X223</f>
        <v>#DIV/0!</v>
      </c>
      <c r="Z223" s="2">
        <f>U223/S223</f>
        <v>0</v>
      </c>
    </row>
  </sheetData>
  <autoFilter ref="A8:Z223" xr:uid="{E2A685DA-182A-44C2-926E-43EF27AAE033}">
    <filterColumn colId="19">
      <filters>
        <filter val="1"/>
        <filter val="10"/>
        <filter val="100"/>
        <filter val="101"/>
        <filter val="106"/>
        <filter val="108"/>
        <filter val="11"/>
        <filter val="12"/>
        <filter val="123"/>
        <filter val="124"/>
        <filter val="128"/>
        <filter val="13"/>
        <filter val="130"/>
        <filter val="132"/>
        <filter val="133"/>
        <filter val="135"/>
        <filter val="137"/>
        <filter val="14"/>
        <filter val="143"/>
        <filter val="15"/>
        <filter val="16"/>
        <filter val="160"/>
        <filter val="167"/>
        <filter val="168"/>
        <filter val="17"/>
        <filter val="170"/>
        <filter val="178"/>
        <filter val="18"/>
        <filter val="180"/>
        <filter val="186"/>
        <filter val="19"/>
        <filter val="192"/>
        <filter val="197"/>
        <filter val="2"/>
        <filter val="200"/>
        <filter val="206"/>
        <filter val="208"/>
        <filter val="21"/>
        <filter val="212"/>
        <filter val="22"/>
        <filter val="225"/>
        <filter val="23"/>
        <filter val="24"/>
        <filter val="247"/>
        <filter val="25"/>
        <filter val="26"/>
        <filter val="27"/>
        <filter val="274"/>
        <filter val="28"/>
        <filter val="29"/>
        <filter val="295"/>
        <filter val="3"/>
        <filter val="30"/>
        <filter val="31"/>
        <filter val="318"/>
        <filter val="325"/>
        <filter val="328"/>
        <filter val="33"/>
        <filter val="35"/>
        <filter val="36"/>
        <filter val="360"/>
        <filter val="362"/>
        <filter val="37"/>
        <filter val="370"/>
        <filter val="38"/>
        <filter val="4"/>
        <filter val="408"/>
        <filter val="41"/>
        <filter val="428"/>
        <filter val="438"/>
        <filter val="45"/>
        <filter val="478"/>
        <filter val="49"/>
        <filter val="499"/>
        <filter val="5"/>
        <filter val="50"/>
        <filter val="519"/>
        <filter val="52"/>
        <filter val="53"/>
        <filter val="54"/>
        <filter val="540"/>
        <filter val="542"/>
        <filter val="56"/>
        <filter val="572"/>
        <filter val="6"/>
        <filter val="60"/>
        <filter val="62"/>
        <filter val="620"/>
        <filter val="631"/>
        <filter val="68"/>
        <filter val="7"/>
        <filter val="71"/>
        <filter val="76"/>
        <filter val="77"/>
        <filter val="8"/>
        <filter val="82"/>
        <filter val="86"/>
        <filter val="88"/>
        <filter val="9"/>
        <filter val="90"/>
        <filter val="95"/>
        <filter val="97"/>
        <filter val="99"/>
      </filters>
    </filterColumn>
    <sortState xmlns:xlrd2="http://schemas.microsoft.com/office/spreadsheetml/2017/richdata2" ref="A9:Z181">
      <sortCondition descending="1" ref="Z8:Z223"/>
    </sortState>
  </autoFilter>
  <conditionalFormatting sqref="X1:X1048576">
    <cfRule type="colorScale" priority="1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Y9:Y223">
    <cfRule type="colorScale" priority="18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W1:W6 W8:W1048576">
    <cfRule type="colorScale" priority="13">
      <colorScale>
        <cfvo type="min"/>
        <cfvo type="max"/>
        <color rgb="FFF8696B"/>
        <color rgb="FFFCFCFF"/>
      </colorScale>
    </cfRule>
    <cfRule type="colorScale" priority="16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V8:V1048576 V1">
    <cfRule type="colorScale" priority="12">
      <colorScale>
        <cfvo type="min"/>
        <cfvo type="max"/>
        <color rgb="FFF8696B"/>
        <color rgb="FFFCFCFF"/>
      </colorScale>
    </cfRule>
  </conditionalFormatting>
  <conditionalFormatting sqref="Z9:Z223">
    <cfRule type="colorScale" priority="11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G1">
    <cfRule type="colorScale" priority="10">
      <colorScale>
        <cfvo type="min"/>
        <cfvo type="percentile" val="50"/>
        <cfvo type="max"/>
        <color rgb="FFF8696B"/>
        <color rgb="FFFCFCFF"/>
        <color rgb="FF5A8AC6"/>
      </colorScale>
    </cfRule>
  </conditionalFormatting>
  <conditionalFormatting sqref="F1">
    <cfRule type="colorScale" priority="8">
      <colorScale>
        <cfvo type="min"/>
        <cfvo type="max"/>
        <color rgb="FFF8696B"/>
        <color rgb="FFFCFCFF"/>
      </colorScale>
    </cfRule>
    <cfRule type="colorScale" priority="9">
      <colorScale>
        <cfvo type="min"/>
        <cfvo type="percentile" val="50"/>
        <cfvo type="max"/>
        <color rgb="FF5A8AC6"/>
        <color rgb="FFFCFCFF"/>
        <color rgb="FFF8696B"/>
      </colorScale>
    </cfRule>
  </conditionalFormatting>
  <conditionalFormatting sqref="E1">
    <cfRule type="colorScale" priority="7">
      <colorScale>
        <cfvo type="min"/>
        <cfvo type="max"/>
        <color rgb="FFF8696B"/>
        <color rgb="FFFCFCFF"/>
      </colorScale>
    </cfRule>
  </conditionalFormatting>
  <conditionalFormatting sqref="V1:V1048576">
    <cfRule type="colorScale" priority="4">
      <colorScale>
        <cfvo type="min"/>
        <cfvo type="percentile" val="50"/>
        <cfvo type="max"/>
        <color rgb="FF5A8AC6"/>
        <color rgb="FFFCFCFF"/>
        <color rgb="FFF8696B"/>
      </colorScale>
    </cfRule>
    <cfRule type="colorScale" priority="3">
      <colorScale>
        <cfvo type="min"/>
        <cfvo type="max"/>
        <color rgb="FFF8696B"/>
        <color rgb="FFFCFCFF"/>
      </colorScale>
    </cfRule>
  </conditionalFormatting>
  <conditionalFormatting sqref="Y1:Y1048576">
    <cfRule type="colorScale" priority="2">
      <colorScale>
        <cfvo type="min"/>
        <cfvo type="percentile" val="50"/>
        <cfvo type="max"/>
        <color rgb="FFF8696B"/>
        <color rgb="FFFCFCFF"/>
        <color rgb="FF63BE7B"/>
      </colorScale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Pilkington,BJ</dc:creator>
  <cp:lastModifiedBy>Microsoft Office User</cp:lastModifiedBy>
  <dcterms:created xsi:type="dcterms:W3CDTF">2021-06-22T11:00:31Z</dcterms:created>
  <dcterms:modified xsi:type="dcterms:W3CDTF">2021-12-14T12:22:32Z</dcterms:modified>
</cp:coreProperties>
</file>