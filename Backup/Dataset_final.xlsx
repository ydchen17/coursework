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
    </mc:Choice>
  </mc:AlternateContent>
  <xr:revisionPtr revIDLastSave="0" documentId="8_{C10C8214-621F-BF43-A5FC-F49CEE094D3F}" xr6:coauthVersionLast="47" xr6:coauthVersionMax="47" xr10:uidLastSave="{00000000-0000-0000-0000-000000000000}"/>
  <bookViews>
    <workbookView xWindow="640" yWindow="760" windowWidth="34180" windowHeight="21580" activeTab="3" xr2:uid="{00000000-000D-0000-FFFF-FFFF00000000}"/>
  </bookViews>
  <sheets>
    <sheet name="Previous studies" sheetId="1" r:id="rId1"/>
    <sheet name="New studies" sheetId="3" r:id="rId2"/>
    <sheet name="Sheet3" sheetId="11" r:id="rId3"/>
    <sheet name="Combined" sheetId="5" r:id="rId4"/>
    <sheet name="Sheet1" sheetId="12" r:id="rId5"/>
  </sheets>
  <definedNames>
    <definedName name="_xlnm._FilterDatabase" localSheetId="3" hidden="1">Combined!$A$1:$BI$152</definedName>
    <definedName name="_xlnm._FilterDatabase" localSheetId="1" hidden="1">'New studies'!$A$1:$AW$45</definedName>
    <definedName name="_xlnm._FilterDatabase" localSheetId="0" hidden="1">'Previous studies'!$A$1:$AW$99</definedName>
    <definedName name="_xlnm._FilterDatabase" localSheetId="4" hidden="1">Sheet1!$A$1:$H$14</definedName>
  </definedNames>
  <calcPr calcId="191029"/>
  <pivotCaches>
    <pivotCache cacheId="13"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5" l="1"/>
  <c r="BA20" i="5"/>
  <c r="BA36" i="5"/>
  <c r="BA34" i="5"/>
  <c r="BA32" i="5"/>
  <c r="BA30" i="5"/>
  <c r="BA28" i="5"/>
  <c r="BA26" i="5"/>
  <c r="BA24" i="5"/>
  <c r="BA22" i="5"/>
  <c r="AY2" i="5"/>
  <c r="AY112" i="5"/>
  <c r="BA111" i="5"/>
  <c r="AY111" i="5"/>
  <c r="AX111" i="5"/>
  <c r="AV111" i="5"/>
  <c r="BA112" i="5"/>
  <c r="AX112" i="5"/>
  <c r="AV112" i="5"/>
  <c r="BA17" i="5"/>
  <c r="AX17" i="5"/>
  <c r="BA16" i="5"/>
  <c r="AX16" i="5"/>
  <c r="BA18" i="5"/>
  <c r="AX18" i="5"/>
  <c r="BA19" i="5"/>
  <c r="AX19" i="5"/>
  <c r="BE81" i="5"/>
  <c r="BE83" i="5"/>
  <c r="BE66" i="5"/>
  <c r="BE65" i="5"/>
  <c r="BE60" i="5"/>
  <c r="BE59" i="5"/>
  <c r="AR17" i="3"/>
  <c r="AO17" i="3"/>
  <c r="AR16" i="3"/>
  <c r="AO16" i="3"/>
  <c r="AR15" i="3"/>
  <c r="AO15" i="3"/>
  <c r="AR14" i="3"/>
  <c r="AO14" i="3"/>
  <c r="AR22" i="1"/>
  <c r="AR8" i="1"/>
  <c r="AR10" i="1"/>
  <c r="AR12" i="1"/>
  <c r="AR14" i="1"/>
  <c r="AR16" i="1"/>
  <c r="AR18" i="1"/>
  <c r="AR20" i="1"/>
  <c r="AR6" i="1"/>
  <c r="AR5" i="1"/>
  <c r="AV47" i="1"/>
  <c r="AV48" i="1"/>
  <c r="AV49" i="1"/>
  <c r="AV46" i="1"/>
  <c r="AV65" i="1"/>
  <c r="AV64" i="1"/>
</calcChain>
</file>

<file path=xl/sharedStrings.xml><?xml version="1.0" encoding="utf-8"?>
<sst xmlns="http://schemas.openxmlformats.org/spreadsheetml/2006/main" count="8529" uniqueCount="828">
  <si>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</si>
  <si>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</si>
  <si>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</si>
  <si>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</si>
  <si>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</si>
  <si>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</si>
  <si>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</si>
  <si>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</si>
  <si>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</si>
  <si>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</si>
  <si>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</si>
  <si>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Domain.1</t>
  </si>
  <si>
    <t>Domain.2</t>
  </si>
  <si>
    <t>Domain.3</t>
  </si>
  <si>
    <t>Domain.4</t>
  </si>
  <si>
    <t>Domain.5</t>
  </si>
  <si>
    <t>Overall</t>
  </si>
  <si>
    <t>Baseline.Educational.level.(indicate.how.this.was.measured)</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</si>
  <si>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</si>
  <si>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</si>
  <si>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</si>
  <si>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</si>
  <si>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</si>
  <si>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</si>
  <si>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</si>
  <si>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</si>
  <si>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</si>
  <si>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</si>
  <si>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</si>
  <si>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</si>
  <si>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</si>
  <si>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</si>
  <si>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</si>
  <si>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</si>
  <si>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</si>
  <si>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Effect.measure</t>
  </si>
  <si>
    <t>Measurement.method</t>
  </si>
  <si>
    <t>Measurement.type</t>
  </si>
  <si>
    <t>Pre_mean</t>
  </si>
  <si>
    <t>Pre_N</t>
  </si>
  <si>
    <t>Pre_SD</t>
  </si>
  <si>
    <t>Post_mean</t>
  </si>
  <si>
    <t>Post_N</t>
  </si>
  <si>
    <t>Post_SD</t>
  </si>
  <si>
    <t>95CI_lower</t>
  </si>
  <si>
    <t>95CI_upper</t>
  </si>
  <si>
    <t>Duration</t>
  </si>
  <si>
    <t>Aboulafia-Brakha 2014</t>
  </si>
  <si>
    <t>Cognitive–behavioural group therapy</t>
  </si>
  <si>
    <t>Support for carers</t>
  </si>
  <si>
    <t>Group support and therapy</t>
  </si>
  <si>
    <t>Brazil</t>
  </si>
  <si>
    <t>"The recruitment was carried out at the Cognitive Disorders Reference Center – CEREDIC of the Medical School of Universidade de S~ao Paulo – Clinical Hospital (HCFMUSP)."</t>
  </si>
  <si>
    <t>Alzheimer's Disease</t>
  </si>
  <si>
    <t>Dementia</t>
  </si>
  <si>
    <t>Moderate to severe</t>
  </si>
  <si>
    <t>Yes</t>
  </si>
  <si>
    <t>high risk</t>
  </si>
  <si>
    <t>some concerns</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</si>
  <si>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</si>
  <si>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</si>
  <si>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</si>
  <si>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</si>
  <si>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</si>
  <si>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Intervention for carers</t>
  </si>
  <si>
    <t>Caregiver burden</t>
  </si>
  <si>
    <t>ZBI</t>
  </si>
  <si>
    <t>Raw</t>
  </si>
  <si>
    <t>35.0</t>
  </si>
  <si>
    <t>11</t>
  </si>
  <si>
    <t>13.5</t>
  </si>
  <si>
    <t>38.1</t>
  </si>
  <si>
    <t>12.9</t>
  </si>
  <si>
    <t>8 weeks</t>
  </si>
  <si>
    <t>Psychoeducation group programme (Control)</t>
  </si>
  <si>
    <t>Information, education, and training to support carers</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</si>
  <si>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</si>
  <si>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</si>
  <si>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</si>
  <si>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</si>
  <si>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</si>
  <si>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31.3</t>
  </si>
  <si>
    <t>15</t>
  </si>
  <si>
    <t>11.9</t>
  </si>
  <si>
    <t>34.2</t>
  </si>
  <si>
    <t>16.3</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</si>
  <si>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</si>
  <si>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</si>
  <si>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</si>
  <si>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</si>
  <si>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</si>
  <si>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</si>
  <si>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Mild to moderate</t>
  </si>
  <si>
    <t>low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</si>
  <si>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</si>
  <si>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</si>
  <si>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</si>
  <si>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</si>
  <si>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</si>
  <si>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</si>
  <si>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</si>
  <si>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SMD</t>
  </si>
  <si>
    <t>26</t>
  </si>
  <si>
    <t>6 months</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</si>
  <si>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</si>
  <si>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</si>
  <si>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</si>
  <si>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</si>
  <si>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</si>
  <si>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</si>
  <si>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</si>
  <si>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</si>
  <si>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</si>
  <si>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-3.29</t>
  </si>
  <si>
    <t>33</t>
  </si>
  <si>
    <t>-6.78</t>
  </si>
  <si>
    <t>0.2</t>
  </si>
  <si>
    <t>Guerra 2011</t>
  </si>
  <si>
    <t>Intervention group</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</si>
  <si>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</si>
  <si>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</si>
  <si>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</si>
  <si>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</si>
  <si>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</si>
  <si>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</si>
  <si>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</si>
  <si>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</si>
  <si>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</si>
  <si>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Caregiver distress</t>
  </si>
  <si>
    <t>NPI-Q</t>
  </si>
  <si>
    <t>-0.09</t>
  </si>
  <si>
    <t>27</t>
  </si>
  <si>
    <t>-0.64</t>
  </si>
  <si>
    <t>0.48</t>
  </si>
  <si>
    <t>Waiting list control group</t>
  </si>
  <si>
    <t>37.0% completed secondary or more; 2 missing values</t>
  </si>
  <si>
    <t>69.0</t>
  </si>
  <si>
    <t>47.6</t>
  </si>
  <si>
    <t>89.7</t>
  </si>
  <si>
    <t>Waiting list</t>
  </si>
  <si>
    <t>" caregivers of people with dementia that received the intervention six months later"</t>
  </si>
  <si>
    <t>29</t>
  </si>
  <si>
    <t>Caregiver environmental quality of life</t>
  </si>
  <si>
    <t>WHO-QoL-Bref</t>
  </si>
  <si>
    <t>-0.22</t>
  </si>
  <si>
    <t>-0.75</t>
  </si>
  <si>
    <t>0.3</t>
  </si>
  <si>
    <t>Caregiver physical quality of life</t>
  </si>
  <si>
    <t>0.49</t>
  </si>
  <si>
    <t>0</t>
  </si>
  <si>
    <t>0.99</t>
  </si>
  <si>
    <t>Caregiver psychological morbidity</t>
  </si>
  <si>
    <t>SRQ-20</t>
  </si>
  <si>
    <t>-0.66</t>
  </si>
  <si>
    <t>0.4</t>
  </si>
  <si>
    <t>0.1</t>
  </si>
  <si>
    <t>-0.47</t>
  </si>
  <si>
    <t>0.68</t>
  </si>
  <si>
    <t>-1.02</t>
  </si>
  <si>
    <t>-1.53</t>
  </si>
  <si>
    <t>-0.51</t>
  </si>
  <si>
    <t>Caregiver social quality of life</t>
  </si>
  <si>
    <t>0.39</t>
  </si>
  <si>
    <t>-0.15</t>
  </si>
  <si>
    <t>0.93</t>
  </si>
  <si>
    <t>Caregiver neuropsychiatric symptoms</t>
  </si>
  <si>
    <t>NPI-Q severity</t>
  </si>
  <si>
    <t>-0.1</t>
  </si>
  <si>
    <t>Patient quality of life</t>
  </si>
  <si>
    <t>DEMQOL</t>
  </si>
  <si>
    <t>0.32</t>
  </si>
  <si>
    <t>-0.84</t>
  </si>
  <si>
    <t>1.48</t>
  </si>
  <si>
    <t>JIANG 2012</t>
  </si>
  <si>
    <t>对照组</t>
  </si>
  <si>
    <t>China</t>
  </si>
  <si>
    <t xml:space="preserve">Hospital </t>
  </si>
  <si>
    <t>No</t>
  </si>
  <si>
    <t>MMSE</t>
  </si>
  <si>
    <t>18.52</t>
  </si>
  <si>
    <t>48</t>
  </si>
  <si>
    <t>3.4</t>
  </si>
  <si>
    <t>20.33</t>
  </si>
  <si>
    <t>3.49</t>
  </si>
  <si>
    <t>54.17</t>
  </si>
  <si>
    <t>Conventional therapy with Piracetam and Donepezil</t>
  </si>
  <si>
    <t>"按医嘱进行脑复康，多奈哌齐 等药物治疗，康复护理干预期间药物剂量不变。 "</t>
  </si>
  <si>
    <t>Multicomponent (Conventional therapy + Pharmaceutical)</t>
  </si>
  <si>
    <t>Patient cognitive function</t>
  </si>
  <si>
    <t>12 months</t>
  </si>
  <si>
    <t xml:space="preserve">研究组 </t>
  </si>
  <si>
    <t>Comprehensive care interventions</t>
  </si>
  <si>
    <t>Individual-based interventions</t>
  </si>
  <si>
    <t>18.309999999999999</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</si>
  <si>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</si>
  <si>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</si>
  <si>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</si>
  <si>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</si>
  <si>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</si>
  <si>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</si>
  <si>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</si>
  <si>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</si>
  <si>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</si>
  <si>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</si>
  <si>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</si>
  <si>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</si>
  <si>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</si>
  <si>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</si>
  <si>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</si>
  <si>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</si>
  <si>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48.9</t>
  </si>
  <si>
    <t>17</t>
  </si>
  <si>
    <t>15.1</t>
  </si>
  <si>
    <t>37.1</t>
  </si>
  <si>
    <t>9.8</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</si>
  <si>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</si>
  <si>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</si>
  <si>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</si>
  <si>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</si>
  <si>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</si>
  <si>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</si>
  <si>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35.3</t>
  </si>
  <si>
    <t>20</t>
  </si>
  <si>
    <t>12.8</t>
  </si>
  <si>
    <t>24.0</t>
  </si>
  <si>
    <t>7.7</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</si>
  <si>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</si>
  <si>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</si>
  <si>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</si>
  <si>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</si>
  <si>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</si>
  <si>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</si>
  <si>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</si>
  <si>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</si>
  <si>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Unspecified</t>
  </si>
  <si>
    <t>16.10</t>
  </si>
  <si>
    <t>33.64</t>
  </si>
  <si>
    <t>15.49</t>
  </si>
  <si>
    <t>3 months</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</si>
  <si>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</si>
  <si>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</si>
  <si>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</si>
  <si>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</si>
  <si>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</si>
  <si>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</si>
  <si>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</si>
  <si>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9.18</t>
  </si>
  <si>
    <t>58.26</t>
  </si>
  <si>
    <t>10.60</t>
  </si>
  <si>
    <t>Quality of life</t>
  </si>
  <si>
    <t>7.83</t>
  </si>
  <si>
    <t>55.04</t>
  </si>
  <si>
    <t>5.88</t>
  </si>
  <si>
    <t>4.20</t>
  </si>
  <si>
    <t>46.77</t>
  </si>
  <si>
    <t>4.00</t>
  </si>
  <si>
    <t>Lök 2017</t>
  </si>
  <si>
    <t>"First You Should Get Stronger" caregiving programme</t>
  </si>
  <si>
    <t>Turkey</t>
  </si>
  <si>
    <t>Erenköy - a rural village (population circa 1500) in Turkey. Intervention delivered at carers homes</t>
  </si>
  <si>
    <t>Not specified</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</si>
  <si>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</si>
  <si>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</si>
  <si>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</si>
  <si>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</si>
  <si>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</si>
  <si>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78.3</t>
  </si>
  <si>
    <t>4.46</t>
  </si>
  <si>
    <t>67.099999999999994</t>
  </si>
  <si>
    <t>7.18</t>
  </si>
  <si>
    <t>7 weeks</t>
  </si>
  <si>
    <t>51.76</t>
  </si>
  <si>
    <t>65.0</t>
  </si>
  <si>
    <t>Appears to be no intervention</t>
  </si>
  <si>
    <t>78.45</t>
  </si>
  <si>
    <t>3.26</t>
  </si>
  <si>
    <t>3.79</t>
  </si>
  <si>
    <t>Mahdavi 2017</t>
  </si>
  <si>
    <t>Control 1</t>
  </si>
  <si>
    <t>Iran</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</si>
  <si>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</si>
  <si>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</si>
  <si>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</si>
  <si>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</si>
  <si>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Change from baseline (within group)</t>
  </si>
  <si>
    <t>36.75</t>
  </si>
  <si>
    <t>1.35</t>
  </si>
  <si>
    <t>36.64</t>
  </si>
  <si>
    <t>1.28</t>
  </si>
  <si>
    <t>Control 2</t>
  </si>
  <si>
    <t>"Control group two received no interventions, or even the chance of meeting the caregivers in the group"</t>
  </si>
  <si>
    <t>37.58</t>
  </si>
  <si>
    <t>1.64</t>
  </si>
  <si>
    <t>37.19</t>
  </si>
  <si>
    <t>1.53</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</si>
  <si>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</si>
  <si>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</si>
  <si>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</si>
  <si>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37.159999999999997</t>
  </si>
  <si>
    <t>1.26</t>
  </si>
  <si>
    <t>32.43</t>
  </si>
  <si>
    <t>2.73</t>
  </si>
  <si>
    <t>Change from baseline (between group)</t>
  </si>
  <si>
    <t>Mercedeh 2014</t>
  </si>
  <si>
    <t>Controlled group</t>
  </si>
  <si>
    <t>Precise setting not stated but members of an Alzheimers Association and took place in urban Tehran.</t>
  </si>
  <si>
    <t>100%</t>
  </si>
  <si>
    <t>25.3</t>
  </si>
  <si>
    <t>10</t>
  </si>
  <si>
    <t>7.33</t>
  </si>
  <si>
    <t>44.7</t>
  </si>
  <si>
    <t>13.71</t>
  </si>
  <si>
    <t>Experimental group</t>
  </si>
  <si>
    <t>31.6</t>
  </si>
  <si>
    <t>16.36</t>
  </si>
  <si>
    <t>24</t>
  </si>
  <si>
    <t>14.25</t>
  </si>
  <si>
    <t>Caregiver depression</t>
  </si>
  <si>
    <t>12.7</t>
  </si>
  <si>
    <t>4.57</t>
  </si>
  <si>
    <t>19.399999999999999</t>
  </si>
  <si>
    <t>9.2100000000000009</t>
  </si>
  <si>
    <t>6.16</t>
  </si>
  <si>
    <t>6.7</t>
  </si>
  <si>
    <t>2.54</t>
  </si>
  <si>
    <t>47.61</t>
  </si>
  <si>
    <t>18.32</t>
  </si>
  <si>
    <t>37.57</t>
  </si>
  <si>
    <t>58.01</t>
  </si>
  <si>
    <t>24.01</t>
  </si>
  <si>
    <t>70.98</t>
  </si>
  <si>
    <t>11.11</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</si>
  <si>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</si>
  <si>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</si>
  <si>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</si>
  <si>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</si>
  <si>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</si>
  <si>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</si>
  <si>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</si>
  <si>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</si>
  <si>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44.08</t>
  </si>
  <si>
    <t>36</t>
  </si>
  <si>
    <t>1.1299999999999999</t>
  </si>
  <si>
    <t>43.27</t>
  </si>
  <si>
    <t>2.4700000000000002</t>
  </si>
  <si>
    <t>12 weeks</t>
  </si>
  <si>
    <t>Usual care (Control Group)</t>
  </si>
  <si>
    <t>55.66</t>
  </si>
  <si>
    <t>72.2</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</si>
  <si>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</si>
  <si>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</si>
  <si>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37.75</t>
  </si>
  <si>
    <t>3.86</t>
  </si>
  <si>
    <t>37.36</t>
  </si>
  <si>
    <t>5.89</t>
  </si>
  <si>
    <t>42.58</t>
  </si>
  <si>
    <t>3.2</t>
  </si>
  <si>
    <t>39.19</t>
  </si>
  <si>
    <t>4.5199999999999996</t>
  </si>
  <si>
    <t>20 weeks</t>
  </si>
  <si>
    <t>Subjective well-being</t>
  </si>
  <si>
    <t>79.44</t>
  </si>
  <si>
    <t>11.19</t>
  </si>
  <si>
    <t>98.61</t>
  </si>
  <si>
    <t>10.8</t>
  </si>
  <si>
    <t>79.77</t>
  </si>
  <si>
    <t>11.02</t>
  </si>
  <si>
    <t>100.11</t>
  </si>
  <si>
    <t>10.49</t>
  </si>
  <si>
    <t>98.91</t>
  </si>
  <si>
    <t>10.050000000000001</t>
  </si>
  <si>
    <t>99.8</t>
  </si>
  <si>
    <t>11.25</t>
  </si>
  <si>
    <t>100.27</t>
  </si>
  <si>
    <t>9.56</t>
  </si>
  <si>
    <t>11.23</t>
  </si>
  <si>
    <t>Pahlavanzadeh 2010</t>
  </si>
  <si>
    <t>Modares Psychiatric Hospital and Shariati Psychiatric clinic in the city of Isfahan, which are the centers for elderly with dementia</t>
  </si>
  <si>
    <t>Illiterate: 16%; Primary school: 68%; Guidance school: 8%; High school diploma: 8%; Higher education: 0%</t>
  </si>
  <si>
    <t>56</t>
  </si>
  <si>
    <t>46.56</t>
  </si>
  <si>
    <t>68</t>
  </si>
  <si>
    <t>No details</t>
  </si>
  <si>
    <t>43.28</t>
  </si>
  <si>
    <t>25</t>
  </si>
  <si>
    <t>13.08</t>
  </si>
  <si>
    <t>46.8</t>
  </si>
  <si>
    <t>3.13</t>
  </si>
  <si>
    <t>Family education program</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</si>
  <si>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</si>
  <si>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</si>
  <si>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</si>
  <si>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</si>
  <si>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</si>
  <si>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</si>
  <si>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</si>
  <si>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42</t>
  </si>
  <si>
    <t>65.17</t>
  </si>
  <si>
    <t>44.35</t>
  </si>
  <si>
    <t>65.150000000000006</t>
  </si>
  <si>
    <t>64.5</t>
  </si>
  <si>
    <t>25.13</t>
  </si>
  <si>
    <t>1 month post treatment</t>
  </si>
  <si>
    <t>56.33</t>
  </si>
  <si>
    <t>54.14</t>
  </si>
  <si>
    <t>Salamizadeh 2017</t>
  </si>
  <si>
    <t>City of Rafsanjan (Iran). Participants (family caregivers) were recruited from private neurologists' offices.</t>
  </si>
  <si>
    <t>50.57</t>
  </si>
  <si>
    <t>89.3</t>
  </si>
  <si>
    <t>Housewife: 78.6%; Other: 21.4%</t>
  </si>
  <si>
    <t>"Patients in the control group received no education about spirituality."</t>
  </si>
  <si>
    <t>Caregiver self-efficacy</t>
  </si>
  <si>
    <t>28.39</t>
  </si>
  <si>
    <t>28</t>
  </si>
  <si>
    <t>6.41</t>
  </si>
  <si>
    <t>27.85</t>
  </si>
  <si>
    <t>5.98</t>
  </si>
  <si>
    <t>Spiritual care education (intervention)</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</si>
  <si>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</si>
  <si>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</si>
  <si>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</si>
  <si>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</si>
  <si>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</si>
  <si>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29.8</t>
  </si>
  <si>
    <t>4.8</t>
  </si>
  <si>
    <t>32.729999999999997</t>
  </si>
  <si>
    <t>4.75</t>
  </si>
  <si>
    <t>Shata 2017</t>
  </si>
  <si>
    <t>Control (No intervention)</t>
  </si>
  <si>
    <t>Egypt</t>
  </si>
  <si>
    <t>Psychogeriatric out‑patient clinic of Al‑Maamoura Psychiatric Hospital. Alexandria (urban setting)</t>
  </si>
  <si>
    <t>47.97</t>
  </si>
  <si>
    <t>69.5</t>
  </si>
  <si>
    <t>50</t>
  </si>
  <si>
    <t>59</t>
  </si>
  <si>
    <t>12.6</t>
  </si>
  <si>
    <t>0.74</t>
  </si>
  <si>
    <t>0.84</t>
  </si>
  <si>
    <t>3 month follow-up</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</si>
  <si>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</si>
  <si>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</si>
  <si>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</si>
  <si>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</si>
  <si>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</si>
  <si>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</si>
  <si>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</si>
  <si>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0.15</t>
  </si>
  <si>
    <t>-17.36</t>
  </si>
  <si>
    <t>8.34</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</si>
  <si>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</si>
  <si>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</si>
  <si>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</si>
  <si>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</si>
  <si>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</si>
  <si>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</si>
  <si>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</si>
  <si>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</si>
  <si>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</si>
  <si>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</si>
  <si>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Caregiver burden inventory</t>
  </si>
  <si>
    <t>38.020000000000003</t>
  </si>
  <si>
    <t>35</t>
  </si>
  <si>
    <t>21.49</t>
  </si>
  <si>
    <t>34.71</t>
  </si>
  <si>
    <t>18.82</t>
  </si>
  <si>
    <t>6 months (3 months post-intervention)</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</si>
  <si>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</si>
  <si>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</si>
  <si>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</si>
  <si>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</si>
  <si>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</si>
  <si>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</si>
  <si>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</si>
  <si>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31.19</t>
  </si>
  <si>
    <t>16.54</t>
  </si>
  <si>
    <t>35.659999999999997</t>
  </si>
  <si>
    <t>17.07</t>
  </si>
  <si>
    <t>Caregiver quality of life</t>
  </si>
  <si>
    <t>86</t>
  </si>
  <si>
    <t>9.15</t>
  </si>
  <si>
    <t>88.51</t>
  </si>
  <si>
    <t>8.2799999999999994</t>
  </si>
  <si>
    <t>87.2</t>
  </si>
  <si>
    <t>5.69</t>
  </si>
  <si>
    <t>85.23</t>
  </si>
  <si>
    <t>5.68</t>
  </si>
  <si>
    <t>SU 2012</t>
  </si>
  <si>
    <t>Comprehensive nursing intervention</t>
  </si>
  <si>
    <t xml:space="preserve">No info. </t>
  </si>
  <si>
    <t>18.36</t>
  </si>
  <si>
    <t>3.19</t>
  </si>
  <si>
    <t xml:space="preserve">9 primary school ,9 middle school and 2 bachelor degree </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</si>
  <si>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</si>
  <si>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</si>
  <si>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</si>
  <si>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19.579999999999998</t>
  </si>
  <si>
    <t>4.2</t>
  </si>
  <si>
    <t>3.67</t>
  </si>
  <si>
    <t xml:space="preserve">7 primary school ,10 middle school and 3 bachelor degree </t>
  </si>
  <si>
    <t>Routine caring for 14 days (Control)</t>
  </si>
  <si>
    <t>常规护理</t>
  </si>
  <si>
    <t>Routine caring</t>
  </si>
  <si>
    <t>18.559999999999999</t>
  </si>
  <si>
    <t>19.329999999999998</t>
  </si>
  <si>
    <t>4.1500000000000004</t>
  </si>
  <si>
    <t>SUN 2010</t>
  </si>
  <si>
    <t>control group</t>
  </si>
  <si>
    <t>Nursing College of Guangdong Medical College Hospital</t>
  </si>
  <si>
    <t>"平均受教育年限6.1年"</t>
  </si>
  <si>
    <t>52.63</t>
  </si>
  <si>
    <t>The control group received routine discharge guidance. No intervention was administered after discharge.</t>
  </si>
  <si>
    <t>"对照组进行常规出院指导，出院后不施加任何干预。"</t>
  </si>
  <si>
    <t xml:space="preserve">no treatment </t>
  </si>
  <si>
    <t>SF36</t>
  </si>
  <si>
    <t>450.1</t>
  </si>
  <si>
    <t>19</t>
  </si>
  <si>
    <t>151</t>
  </si>
  <si>
    <t>405.1</t>
  </si>
  <si>
    <t>146.4</t>
  </si>
  <si>
    <t>12 months post-intervention</t>
  </si>
  <si>
    <t>treatment group</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</si>
  <si>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</si>
  <si>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</si>
  <si>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</si>
  <si>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</si>
  <si>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Non-pharmacol</t>
  </si>
  <si>
    <t>448.1</t>
  </si>
  <si>
    <t>132.4</t>
  </si>
  <si>
    <t>570.1</t>
  </si>
  <si>
    <t>141.9</t>
  </si>
  <si>
    <t>TAN 2010</t>
  </si>
  <si>
    <t>The Third Peoplel's Hospital of Foshan City</t>
  </si>
  <si>
    <t>Yes （Intervention was implemented among carer, but outcomes were measured among patients）</t>
  </si>
  <si>
    <t>15.32</t>
  </si>
  <si>
    <t>60</t>
  </si>
  <si>
    <t>1.98</t>
  </si>
  <si>
    <t>14.07</t>
  </si>
  <si>
    <t>1.63</t>
  </si>
  <si>
    <t>no any intervention</t>
  </si>
  <si>
    <t>Intervention group (Carer training)</t>
  </si>
  <si>
    <t>2.56</t>
  </si>
  <si>
    <t>16.12</t>
  </si>
  <si>
    <t>2.84</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</si>
  <si>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</si>
  <si>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</si>
  <si>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</si>
  <si>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</si>
  <si>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Wang 2010b</t>
  </si>
  <si>
    <t>Control group</t>
  </si>
  <si>
    <t>Community</t>
  </si>
  <si>
    <t>19.48</t>
  </si>
  <si>
    <t>40</t>
  </si>
  <si>
    <t>18.5</t>
  </si>
  <si>
    <t>3.1</t>
  </si>
  <si>
    <t xml:space="preserve">Home care as usual for a year </t>
  </si>
  <si>
    <t>Home care guidance</t>
  </si>
  <si>
    <t>19.21</t>
  </si>
  <si>
    <t>3.93</t>
  </si>
  <si>
    <t>21.02</t>
  </si>
  <si>
    <t>3.88</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</si>
  <si>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</si>
  <si>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</si>
  <si>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</si>
  <si>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</si>
  <si>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</si>
  <si>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</si>
  <si>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</si>
  <si>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</si>
  <si>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</si>
  <si>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</si>
  <si>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</si>
  <si>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</si>
  <si>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</si>
  <si>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97.89</t>
  </si>
  <si>
    <t>39</t>
  </si>
  <si>
    <t>14.11</t>
  </si>
  <si>
    <t>114.02</t>
  </si>
  <si>
    <t>13.98</t>
  </si>
  <si>
    <t>1 month after 24-week intervention</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</si>
  <si>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</si>
  <si>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</si>
  <si>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</si>
  <si>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</si>
  <si>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</si>
  <si>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</si>
  <si>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103.71</t>
  </si>
  <si>
    <t>9.2799999999999994</t>
  </si>
  <si>
    <t>88.19</t>
  </si>
  <si>
    <t>7.56</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</si>
  <si>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</si>
  <si>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</si>
  <si>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</si>
  <si>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</si>
  <si>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</si>
  <si>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</si>
  <si>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</si>
  <si>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</si>
  <si>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</si>
  <si>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</si>
  <si>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</si>
  <si>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</si>
  <si>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</si>
  <si>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</si>
  <si>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</si>
  <si>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</si>
  <si>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</si>
  <si>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Wang 2017c</t>
  </si>
  <si>
    <t>Dementia-specific training</t>
  </si>
  <si>
    <t>Training and education for professional carers</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</si>
  <si>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</si>
  <si>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</si>
  <si>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</si>
  <si>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</si>
  <si>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</si>
  <si>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</si>
  <si>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</si>
  <si>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</si>
  <si>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Usual geriatric nursing training (control)</t>
  </si>
  <si>
    <t>31.9</t>
  </si>
  <si>
    <t>94.4</t>
  </si>
  <si>
    <t>66.7</t>
  </si>
  <si>
    <t>Usual geriatric training for the care of older people with disability</t>
  </si>
  <si>
    <t>"Nurses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</si>
  <si>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Wang 2017e</t>
  </si>
  <si>
    <t>14 community health centres in a province in China</t>
  </si>
  <si>
    <t>College: 69.4%, Bachelor 30.6%</t>
  </si>
  <si>
    <t>83.5</t>
  </si>
  <si>
    <t>The Dementia Education and Knowledge Translation Programme</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</si>
  <si>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</si>
  <si>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</si>
  <si>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</si>
  <si>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</si>
  <si>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Yang 2017a</t>
  </si>
  <si>
    <t xml:space="preserve">Community </t>
  </si>
  <si>
    <t xml:space="preserve">No Info. </t>
  </si>
  <si>
    <t>10.99</t>
  </si>
  <si>
    <t>54.3</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</si>
  <si>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</si>
  <si>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</si>
  <si>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</si>
  <si>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</si>
  <si>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</si>
  <si>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</si>
  <si>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</si>
  <si>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</si>
  <si>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</si>
  <si>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</si>
  <si>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ZHAO 2010</t>
  </si>
  <si>
    <t>Comprehensive nursing intervention （treatment）</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</si>
  <si>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</si>
  <si>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</si>
  <si>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</si>
  <si>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</si>
  <si>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</si>
  <si>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</si>
  <si>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</si>
  <si>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Patient activities of daily life</t>
  </si>
  <si>
    <t>IADL</t>
  </si>
  <si>
    <t xml:space="preserve">Patient activities of daily life </t>
  </si>
  <si>
    <t>13.23</t>
  </si>
  <si>
    <t>4.49</t>
  </si>
  <si>
    <t>14.29</t>
  </si>
  <si>
    <t>4.41</t>
  </si>
  <si>
    <t>34.21</t>
  </si>
  <si>
    <t>5.74</t>
  </si>
  <si>
    <t>44.53</t>
  </si>
  <si>
    <t>34.14</t>
  </si>
  <si>
    <t>5.35</t>
  </si>
  <si>
    <t>32.99</t>
  </si>
  <si>
    <t>6.35</t>
  </si>
  <si>
    <t>38.950000000000003</t>
  </si>
  <si>
    <t>6.57</t>
  </si>
  <si>
    <t>33.159999999999997</t>
  </si>
  <si>
    <t>5.29</t>
  </si>
  <si>
    <t>Not a study measuring caregiver burden or patient outcomes but rather a study of caregiver knowledge and approach of care</t>
  </si>
  <si>
    <t>Positive Aspects of Caregiving Questionnaire (PACQ)</t>
  </si>
  <si>
    <t>Caregiver's positive  experience</t>
  </si>
  <si>
    <t>Robinson's Caregiver Strain Index</t>
  </si>
  <si>
    <t>Ham-D</t>
  </si>
  <si>
    <t>8 weekly sessions</t>
  </si>
  <si>
    <t>After intervention (14 weekly sessions)</t>
  </si>
  <si>
    <t>post-intervention (5 weeks)</t>
  </si>
  <si>
    <t>post-intervention (8 weekly sessions)</t>
  </si>
  <si>
    <t>End of intervention (5 weekly sessions)</t>
  </si>
  <si>
    <t>3 weeks post-intervention (5 weekly sessions)</t>
  </si>
  <si>
    <t>6 month post-treatment (14-day hospitalisation)</t>
  </si>
  <si>
    <t>Measurement points (days from start)</t>
  </si>
  <si>
    <t xml:space="preserve">Training and education for unpaid carers, training for sleep disorder </t>
  </si>
  <si>
    <t>Unclear</t>
  </si>
  <si>
    <t>Treatment duration (days from start)</t>
  </si>
  <si>
    <t>6 months (5 weekly session intervention)</t>
  </si>
  <si>
    <t>Hinton 2020</t>
  </si>
  <si>
    <t>REACH VN</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</si>
  <si>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</si>
  <si>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</si>
  <si>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</si>
  <si>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</si>
  <si>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Enhanced control</t>
  </si>
  <si>
    <t>Chen 2020</t>
  </si>
  <si>
    <t>Observation group</t>
  </si>
  <si>
    <t>Patients with moderate and severe AD admitted to the People’s Hospital of Nanjing Medical University from February 2016 to March 2018</t>
  </si>
  <si>
    <t>Moderate to Severe Alzheimer's Disease</t>
  </si>
  <si>
    <t>Moderate to Severe</t>
  </si>
  <si>
    <t>Yes (Intervention was implemented among carer, but outcomes were measured among patients)</t>
  </si>
  <si>
    <t>Uyar 2019</t>
  </si>
  <si>
    <t>Urban, Manisa Celal Bayar University (MCBU) Hafsa Sultan Hospital Dementia Outpatient Clinic in Manisa</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</si>
  <si>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</si>
  <si>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</si>
  <si>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</si>
  <si>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</si>
  <si>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</si>
  <si>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</si>
  <si>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</si>
  <si>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</si>
  <si>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</si>
  <si>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</si>
  <si>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</si>
  <si>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</si>
  <si>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Family caregivers were recruited via resident and staff referrals from community health centers and neurological units of a tertiary hospital of a city in southeast China.</t>
  </si>
  <si>
    <t>Moderate to Severe dementia (MMSE ≤17)</t>
  </si>
  <si>
    <t>Zarepour 2020</t>
  </si>
  <si>
    <t>Geriatric clinic in Imam Reza and other neurology clinics affiliated to Shiraz University of Medical Sciences, Shiraz, Iran. The target population included family caregivers of the elderly people with dementia living in Shiraz.</t>
  </si>
  <si>
    <t>8/30 illiterate, 3/30 literate, 15/30 primary school, 1/30 middle school, 2/30 high school, 1/30 university</t>
  </si>
  <si>
    <t>4/31 illiterate, 9/31 literate, 9/31 primary school, 3/31 middle school, 3/31 high school, 3/30 university</t>
  </si>
  <si>
    <t>3/25 primary education, 8/25 high school diploma, 14/25 university education</t>
  </si>
  <si>
    <t>9/25 primary education, 11/25 high school diploma, 5/25 university education</t>
  </si>
  <si>
    <t>59.0 ± 10.4 years</t>
  </si>
  <si>
    <t>58.7 ± 13.9 years</t>
  </si>
  <si>
    <t>&gt; 53 years: 40% (12/30)</t>
  </si>
  <si>
    <t>&gt; 53 years: 58% (18/31)</t>
  </si>
  <si>
    <t>42.6 ± 6.2 years</t>
  </si>
  <si>
    <t>43.4 ± 6.3 years</t>
  </si>
  <si>
    <t>63.27 ± 11.22</t>
  </si>
  <si>
    <t>62.09 ± 10.56</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</si>
  <si>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</si>
  <si>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</si>
  <si>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</si>
  <si>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</si>
  <si>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The group received just routine hospital care. At the end of 16 weeks, the programme was provided to this group too.</t>
  </si>
  <si>
    <t>Cognitive training was given to all eligible subjects individually two sessions weekly continuously for a period of 1 month i.e. a total of 8 sessions. Each session will take approximately 1 hour.</t>
  </si>
  <si>
    <t>None stated</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</si>
  <si>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</si>
  <si>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</si>
  <si>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</si>
  <si>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</si>
  <si>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</si>
  <si>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</si>
  <si>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Vietnam</t>
  </si>
  <si>
    <t>16 weeks</t>
  </si>
  <si>
    <t>1 month</t>
  </si>
  <si>
    <t>PHQ-4</t>
  </si>
  <si>
    <t>Caregiver mental health</t>
  </si>
  <si>
    <t>MoCA</t>
  </si>
  <si>
    <t>Patient neuropsychiatric symptoms</t>
  </si>
  <si>
    <t>BEHAVE-AD</t>
  </si>
  <si>
    <t>BADL</t>
  </si>
  <si>
    <t>GHQ-28</t>
  </si>
  <si>
    <t>Caregiver anxiety/insomnia</t>
  </si>
  <si>
    <t>Overall quality of life</t>
  </si>
  <si>
    <t>SF36 Physical health</t>
  </si>
  <si>
    <t xml:space="preserve">Caregiver physical Quality of life </t>
  </si>
  <si>
    <t>NPI-D</t>
  </si>
  <si>
    <t>BDI</t>
  </si>
  <si>
    <t>BAI</t>
  </si>
  <si>
    <t>CES-D</t>
  </si>
  <si>
    <t>Caregiver anxiety</t>
  </si>
  <si>
    <t>Caregiver phychological quality of life</t>
  </si>
  <si>
    <t>QoL-Ada</t>
  </si>
  <si>
    <t>NPI-S</t>
  </si>
  <si>
    <t>Spielberger questionnaires</t>
  </si>
  <si>
    <t>1 month post intervention</t>
  </si>
  <si>
    <t>3 months post intervention</t>
  </si>
  <si>
    <t>five monthly in-home nurse-led cognitive behavioral sessions and consultation calls after each session</t>
  </si>
  <si>
    <t>2 month follow-up</t>
  </si>
  <si>
    <t>8 weekly sessions (The GHQ was completed before and 35 - 40 days after the intervention in both groups)</t>
  </si>
  <si>
    <t>Caregiver positive experience</t>
  </si>
  <si>
    <t>NPI-Q distress</t>
  </si>
  <si>
    <t>General Self Efficacy scale (GSE-10)</t>
  </si>
  <si>
    <t>SF36 mental health</t>
  </si>
  <si>
    <t>Row Labels</t>
  </si>
  <si>
    <t>Grand Total</t>
  </si>
  <si>
    <t>Column Labels</t>
  </si>
  <si>
    <t>Sum of Post_N</t>
  </si>
  <si>
    <t>(blank)</t>
  </si>
  <si>
    <t>Y</t>
  </si>
  <si>
    <t>Source</t>
  </si>
  <si>
    <t>2022 search</t>
  </si>
  <si>
    <t>2019 meta-analysis</t>
  </si>
  <si>
    <t>Caregiver subjective wellbeing</t>
  </si>
  <si>
    <t>Thai Subjective well-being Scale</t>
  </si>
  <si>
    <t>Caregiver.intervention.subgroups</t>
  </si>
  <si>
    <t>General support</t>
  </si>
  <si>
    <t>Multi-component intervention</t>
  </si>
  <si>
    <t>PEI, CBT</t>
  </si>
  <si>
    <t>PEI, CBT, CCM, CFT</t>
  </si>
  <si>
    <t>PEI, CCM, GS</t>
  </si>
  <si>
    <t>PEI, CBT, GS</t>
  </si>
  <si>
    <t>PEI, CCM</t>
  </si>
  <si>
    <t>PEI, GS</t>
  </si>
  <si>
    <t>Cognitive and functional training</t>
  </si>
  <si>
    <t>Cognitive-behavioural intervention</t>
  </si>
  <si>
    <t>Psychoeducational intervention</t>
  </si>
  <si>
    <t>Miscellaneous</t>
  </si>
  <si>
    <t>Caregiver.intervention.type</t>
  </si>
  <si>
    <t>CBT</t>
  </si>
  <si>
    <t>MISC</t>
  </si>
  <si>
    <t>PEI</t>
  </si>
  <si>
    <t>NULL</t>
  </si>
  <si>
    <t>Unspecified.0</t>
  </si>
  <si>
    <t>Unspecified.1</t>
  </si>
  <si>
    <t>CFT</t>
  </si>
  <si>
    <t>GS</t>
  </si>
  <si>
    <t>effect.measure</t>
  </si>
  <si>
    <t>pred</t>
  </si>
  <si>
    <t>se</t>
  </si>
  <si>
    <t>ci.lb</t>
  </si>
  <si>
    <t>ci.ub</t>
  </si>
  <si>
    <t>pi.lb</t>
  </si>
  <si>
    <t>pi.ub</t>
  </si>
  <si>
    <t>I2%</t>
  </si>
  <si>
    <t>Regression</t>
  </si>
  <si>
    <t>1 year later</t>
  </si>
  <si>
    <t>Domain.1.unmodified</t>
  </si>
  <si>
    <t>Domain.2.unmodified</t>
  </si>
  <si>
    <t>Domain.3.unmodified</t>
  </si>
  <si>
    <t>Domain.4.unmodified</t>
  </si>
  <si>
    <t>Domain.5.unmodified</t>
  </si>
  <si>
    <t>Overall.unmodified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</si>
</sst>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rgb="FF000000"/>
      <name val="Calibri"/>
      <family val="2"/>
      <scheme val="minor"/>
    </font>
    <font>
      <sz val="8"/>
      <name val="Calibri"/>
      <family val="2"/>
      <scheme val="minor"/>
    </font>
    <font>
      <sz val="11"/>
      <color rgb="FFFF0000"/>
      <name val="Calibri"/>
      <family val="2"/>
      <scheme val="minor"/>
    </font>
    <font>
      <sz val="11"/>
      <name val="Calibri (Body)"/>
    </font>
    <font>
      <sz val="11"/>
      <name val="Calibri"/>
      <family val="2"/>
      <scheme val="minor"/>
    </font>
    <font>
      <sz val="11"/>
      <color rgb="FF000000"/>
      <name val="Calibri"/>
      <family val="2"/>
      <scheme val="minor"/>
    </font>
    <font>
      <sz val="9"/>
      <color rgb="FF000000"/>
      <name val="Arial"/>
      <family val="2"/>
    </font>
    <font>
      <b/>
      <sz val="12"/>
      <color rgb="FF000000"/>
      <name val="Arial"/>
      <family val="2"/>
    </font>
    <font>
      <sz val="12"/>
      <color rgb="FF000000"/>
      <name val="Arial"/>
      <family val="2"/>
    </font>
  </fonts>
  <fills count="13">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DCE6F1"/>
        <bgColor rgb="FF000000"/>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54">
    <xf numFmtId="0" fontId="0" fillId="0" borderId="0" xfId="0"/>
    <xf numFmtId="0" fontId="0" fillId="2" borderId="0" xfId="0" applyFill="1"/>
    <xf numFmtId="0" fontId="0" fillId="3" borderId="0" xfId="0" applyFill="1"/>
    <xf numFmtId="0" fontId="0" fillId="4" borderId="0" xfId="0" applyFill="1"/>
    <xf numFmtId="2" fontId="0" fillId="2" borderId="0" xfId="0" applyNumberFormat="1" applyFill="1"/>
    <xf numFmtId="2" fontId="0" fillId="3" borderId="0" xfId="0" applyNumberFormat="1" applyFill="1"/>
    <xf numFmtId="2" fontId="0" fillId="0" borderId="0" xfId="0" applyNumberFormat="1"/>
    <xf numFmtId="0" fontId="2" fillId="2" borderId="0" xfId="0" applyFont="1" applyFill="1"/>
    <xf numFmtId="0" fontId="3" fillId="0" borderId="0" xfId="0" applyFont="1"/>
    <xf numFmtId="9" fontId="3" fillId="0" borderId="0" xfId="0" applyNumberFormat="1" applyFont="1"/>
    <xf numFmtId="10" fontId="3" fillId="0" borderId="0" xfId="0" applyNumberFormat="1" applyFont="1"/>
    <xf numFmtId="0" fontId="3" fillId="4" borderId="0" xfId="0" applyFont="1" applyFill="1"/>
    <xf numFmtId="2" fontId="3" fillId="2" borderId="0" xfId="0" applyNumberFormat="1" applyFont="1" applyFill="1"/>
    <xf numFmtId="0" fontId="3" fillId="2" borderId="0" xfId="0" applyFont="1" applyFill="1"/>
    <xf numFmtId="2" fontId="3" fillId="3" borderId="0" xfId="0" applyNumberFormat="1" applyFont="1" applyFill="1"/>
    <xf numFmtId="0" fontId="3" fillId="3" borderId="0" xfId="0" applyFont="1" applyFill="1"/>
    <xf numFmtId="0" fontId="2" fillId="5" borderId="0" xfId="0" applyFont="1" applyFill="1"/>
    <xf numFmtId="0" fontId="4" fillId="0" borderId="0" xfId="0" applyFont="1"/>
    <xf numFmtId="0" fontId="0" fillId="0" borderId="0" xfId="0" pivotButton="1"/>
    <xf numFmtId="0" fontId="0" fillId="0" borderId="0" xfId="0" applyAlignment="1">
      <alignment horizontal="left"/>
    </xf>
    <xf numFmtId="0" fontId="4" fillId="2" borderId="0" xfId="0" applyFont="1" applyFill="1"/>
    <xf numFmtId="0" fontId="0" fillId="0" borderId="0" xfId="0" applyAlignment="1">
      <alignment horizontal="left" indent="1"/>
    </xf>
    <xf numFmtId="0" fontId="4" fillId="6" borderId="0" xfId="0" applyFont="1" applyFill="1"/>
    <xf numFmtId="0" fontId="0" fillId="6" borderId="0" xfId="0" applyFill="1"/>
    <xf numFmtId="2" fontId="4" fillId="7" borderId="0" xfId="1" applyNumberFormat="1" applyFont="1" applyFill="1"/>
    <xf numFmtId="1" fontId="4" fillId="7" borderId="0" xfId="0" applyNumberFormat="1" applyFont="1" applyFill="1"/>
    <xf numFmtId="2" fontId="0" fillId="7" borderId="0" xfId="1" applyNumberFormat="1" applyFont="1" applyFill="1"/>
    <xf numFmtId="1" fontId="0" fillId="7" borderId="0" xfId="0" applyNumberFormat="1" applyFill="1"/>
    <xf numFmtId="2" fontId="4" fillId="8" borderId="0" xfId="1" applyNumberFormat="1" applyFont="1" applyFill="1"/>
    <xf numFmtId="1" fontId="4" fillId="8" borderId="0" xfId="0" applyNumberFormat="1" applyFont="1" applyFill="1"/>
    <xf numFmtId="2" fontId="0" fillId="8" borderId="0" xfId="1" applyNumberFormat="1" applyFont="1" applyFill="1"/>
    <xf numFmtId="1" fontId="0" fillId="8" borderId="0" xfId="0" applyNumberFormat="1" applyFill="1"/>
    <xf numFmtId="0" fontId="4" fillId="9" borderId="0" xfId="0" applyFont="1" applyFill="1"/>
    <xf numFmtId="0" fontId="0" fillId="9" borderId="0" xfId="0" applyFill="1"/>
    <xf numFmtId="0" fontId="4" fillId="10" borderId="0" xfId="0" applyFont="1" applyFill="1"/>
    <xf numFmtId="0" fontId="0" fillId="10" borderId="0" xfId="0" applyFill="1"/>
    <xf numFmtId="0" fontId="3" fillId="9" borderId="0" xfId="0" applyFont="1" applyFill="1"/>
    <xf numFmtId="0" fontId="3" fillId="10" borderId="0" xfId="0" applyFont="1" applyFill="1"/>
    <xf numFmtId="10" fontId="3" fillId="9" borderId="0" xfId="0" applyNumberFormat="1" applyFont="1" applyFill="1"/>
    <xf numFmtId="9" fontId="3" fillId="9" borderId="0" xfId="0" applyNumberFormat="1" applyFont="1" applyFill="1"/>
    <xf numFmtId="2" fontId="3" fillId="8" borderId="0" xfId="1" applyNumberFormat="1" applyFont="1" applyFill="1"/>
    <xf numFmtId="1" fontId="3" fillId="8" borderId="0" xfId="0" applyNumberFormat="1" applyFont="1" applyFill="1"/>
    <xf numFmtId="2" fontId="3" fillId="7" borderId="0" xfId="1" applyNumberFormat="1" applyFont="1" applyFill="1"/>
    <xf numFmtId="1" fontId="3" fillId="7" borderId="0" xfId="0" applyNumberFormat="1" applyFont="1" applyFill="1"/>
    <xf numFmtId="0" fontId="3" fillId="6" borderId="0" xfId="0" applyFont="1" applyFill="1"/>
    <xf numFmtId="0" fontId="4" fillId="11" borderId="0" xfId="0" applyFont="1" applyFill="1"/>
    <xf numFmtId="2" fontId="4" fillId="11" borderId="0" xfId="1" applyNumberFormat="1" applyFont="1" applyFill="1"/>
    <xf numFmtId="1" fontId="4" fillId="11" borderId="0" xfId="0" applyNumberFormat="1" applyFont="1" applyFill="1"/>
    <xf numFmtId="0" fontId="6" fillId="0" borderId="0" xfId="0" applyFont="1" applyAlignment="1">
      <alignment vertical="center"/>
    </xf>
    <xf numFmtId="2" fontId="7" fillId="0" borderId="0" xfId="0" applyNumberFormat="1" applyFont="1"/>
    <xf numFmtId="2" fontId="8" fillId="0" borderId="0" xfId="0" applyNumberFormat="1" applyFont="1"/>
    <xf numFmtId="0" fontId="4" fillId="12" borderId="0" xfId="0" applyFont="1" applyFill="1"/>
    <xf numFmtId="0" fontId="0" fillId="12" borderId="0" xfId="0" applyFill="1"/>
    <xf numFmtId="0" fontId="3" fillId="12" borderId="0" xfId="0"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11.468752430555" createdVersion="8" refreshedVersion="8" minRefreshableVersion="3" recordCount="136" xr:uid="{819E170D-4D23-9745-8152-506626CF7BEC}">
  <cacheSource type="worksheet">
    <worksheetSource ref="B1:BF134" sheet="Combined"/>
  </cacheSource>
  <cacheFields count="49">
    <cacheField name="Study.Identifier" numFmtId="0">
      <sharedItems containsBlank="1" count="30">
        <s v="Amit 2008"/>
        <s v="Chen 2020"/>
        <s v="Ghaffari 2019"/>
        <s v="Govindakumari 2020"/>
        <s v="Guerra 2011"/>
        <s v="Hinton 2020"/>
        <s v="JIANG 2012"/>
        <s v="Lin 2017"/>
        <s v="Lök 2017"/>
        <s v="Mahdavi 2017"/>
        <s v="Mercedeh 2014"/>
        <s v="Orawan 2018"/>
        <s v="Pahlavanzadeh 2010"/>
        <s v="Pan 2019"/>
        <s v="Salamizadeh 2017"/>
        <s v="Shata 2017"/>
        <s v="Söylemez 2016"/>
        <s v="SU 2012"/>
        <s v="SUN 2010"/>
        <s v="TAN 2010"/>
        <s v="Uyar 2019"/>
        <s v="Wang 2010b"/>
        <s v="Wang 2012e"/>
        <s v="Wang 2014a"/>
        <s v="Yang 2017a"/>
        <s v="Zarepour 2020"/>
        <s v="ZHAO 2010"/>
        <m/>
        <s v="Kamkhagi 2015" u="1"/>
        <s v="ub" u="1"/>
      </sharedItems>
    </cacheField>
    <cacheField name="Year" numFmtId="0">
      <sharedItems containsString="0" containsBlank="1" containsNumber="1" containsInteger="1" minValue="2008" maxValue="2020"/>
    </cacheField>
    <cacheField name="Intervention" numFmtId="0">
      <sharedItems containsBlank="1"/>
    </cacheField>
    <cacheField name="Intervention.types" numFmtId="0">
      <sharedItems containsBlank="1" count="5">
        <s v="No intervention"/>
        <s v="Training and education for carers"/>
        <s v="Support for carers"/>
        <s v="Comprehensive care interventions"/>
        <m/>
      </sharedItems>
    </cacheField>
    <cacheField name="Intervention.subgroups" numFmtId="0">
      <sharedItems containsBlank="1"/>
    </cacheField>
    <cacheField name="Country" numFmtId="0">
      <sharedItems containsBlank="1"/>
    </cacheField>
    <cacheField name="Setting" numFmtId="0">
      <sharedItems containsBlank="1" longText="1"/>
    </cacheField>
    <cacheField name="Types.of.disease_clean" numFmtId="0">
      <sharedItems containsBlank="1"/>
    </cacheField>
    <cacheField name="Type.of.disease.in.two.categories.(dementia.and.MCI)" numFmtId="0">
      <sharedItems containsBlank="1"/>
    </cacheField>
    <cacheField name="Updated.Dementia.Severity" numFmtId="0">
      <sharedItems containsBlank="1"/>
    </cacheField>
    <cacheField name="Is.this.a.study.focusing.on.carers.of.people.living.with.dementia.or.mild.cognitive.impairment?" numFmtId="0">
      <sharedItems containsBlank="1"/>
    </cacheField>
    <cacheField name="Domain.1" numFmtId="0">
      <sharedItems containsBlank="1"/>
    </cacheField>
    <cacheField name="Domain.2" numFmtId="0">
      <sharedItems containsBlank="1"/>
    </cacheField>
    <cacheField name="Domain.3" numFmtId="0">
      <sharedItems containsBlank="1"/>
    </cacheField>
    <cacheField name="Domain.4" numFmtId="0">
      <sharedItems containsBlank="1"/>
    </cacheField>
    <cacheField name="Domain.5" numFmtId="0">
      <sharedItems containsBlank="1"/>
    </cacheField>
    <cacheField name="Overall" numFmtId="0">
      <sharedItems containsBlank="1"/>
    </cacheField>
    <cacheField name="Baseline.Educational.level.(indicate.how.this.was.measured)" numFmtId="0">
      <sharedItems containsBlank="1"/>
    </cacheField>
    <cacheField name="Baseline.Female.(percent)" numFmtId="0">
      <sharedItems containsBlank="1" containsMixedTypes="1" containsNumber="1" minValue="0.52800000000000002" maxValue="0.76900000000000002"/>
    </cacheField>
    <cacheField name="Baseline.For.studies.in.carers.only:.Caregiver.age.in.years.(mean)" numFmtId="0">
      <sharedItems containsBlank="1"/>
    </cacheField>
    <cacheField name="Baseline.For.studies.in.carers.only:.Caregiver.female.(percent)" numFmtId="0">
      <sharedItems containsBlank="1" containsMixedTypes="1" containsNumber="1" minValue="0.55359999999999998" maxValue="0.92"/>
    </cacheField>
    <cacheField name="Baseline.For.studies.in.carers.only:.Full-time.working.(percent)" numFmtId="0">
      <sharedItems containsBlank="1"/>
    </cacheField>
    <cacheField name="Baseline.For.studies.in.carers.only:.Part-time.working.(percent)" numFmtId="0">
      <sharedItems containsBlank="1"/>
    </cacheField>
    <cacheField name="Intervention.Brief.description.of.intervention" numFmtId="0">
      <sharedItems containsBlank="1" longText="1"/>
    </cacheField>
    <cacheField name="Intervention.Brief.description.ofi.ntervention" numFmtId="0">
      <sharedItems containsNonDate="0" containsString="0" containsBlank="1"/>
    </cacheField>
    <cacheField name="Intervention.Brief.intervention.description" numFmtId="0">
      <sharedItems containsNonDate="0" containsString="0" containsBlank="1"/>
    </cacheField>
    <cacheField name="Intervention.Brief.introduction.to.the.intervention" numFmtId="0">
      <sharedItems containsBlank="1"/>
    </cacheField>
    <cacheField name="Intervention.Intervention.details" numFmtId="0">
      <sharedItems containsBlank="1" longText="1"/>
    </cacheField>
    <cacheField name="Intervention.Intervention.details.1" numFmtId="0">
      <sharedItems containsBlank="1" longText="1"/>
    </cacheField>
    <cacheField name="Intervention.Intervention.details.(duration.and.intensity.of.the.intervention,.dosage.of.drugs,.existence.of.a.protocol.or.manual.for.psychosocial,.training.or.education.interventions)" numFmtId="0">
      <sharedItems containsNonDate="0" containsString="0" containsBlank="1"/>
    </cacheField>
    <cacheField name="Intervention.intervention.type" numFmtId="0">
      <sharedItems containsNonDate="0" containsString="0" containsBlank="1"/>
    </cacheField>
    <cacheField name="Intervention.Intervention.type.1" numFmtId="0">
      <sharedItems containsNonDate="0" containsString="0" containsBlank="1"/>
    </cacheField>
    <cacheField name="Intervention.Interv..Type:" numFmtId="0">
      <sharedItems containsNonDate="0" containsString="0" containsBlank="1"/>
    </cacheField>
    <cacheField name="Intervention.Interv..type.[SELECT:.Pharmaceutical;.Traditional.Chinese.Medicine;.Other.trad..medicines;.Non-pharmacol.;.Multicomponent.(record.each.component);.Interv..for.carers;.End.of.life.care;.Treatment/prevention.of.co-morbidities;.Technology;.Diagn" numFmtId="0">
      <sharedItems containsBlank="1"/>
    </cacheField>
    <cacheField name="Intervention.Interv..type.[SELECT:.Pharmaceutical;.Traditional.Chinese.Medicine;.Other.trad..medicines;.Non-pharmacol.;.Multicomponent.(record.each.component);.Interv..for.carers;.End.of.life.care;.Treatment/preventioo-morbidities;.Technology;.Diagnostic;" numFmtId="0">
      <sharedItems containsNonDate="0" containsString="0" containsBlank="1"/>
    </cacheField>
    <cacheField name="Effect.measure" numFmtId="0">
      <sharedItems containsBlank="1" count="18">
        <s v="Caregiver burden"/>
        <s v="Patient activities of daily life"/>
        <s v="Patient cognitive function"/>
        <s v="Patient neuropsychiatric symptoms"/>
        <s v="Caregiver anxiety"/>
        <s v="Caregiver depression"/>
        <s v="Caregiver mental health"/>
        <s v="Patient quality of life"/>
        <s v="Caregiver environmental quality of life"/>
        <s v="Caregiver neuropsychiatric symptoms"/>
        <s v="Caregiver physical quality of life"/>
        <s v="Caregiver quality of life"/>
        <s v="Caregiver positive experience"/>
        <s v="Caregiver self-efficacy"/>
        <s v="Caregiver phychological quality of life"/>
        <s v="Patient activities of daily life "/>
        <m/>
        <s v="Caregiver physical Quality of life " u="1"/>
      </sharedItems>
    </cacheField>
    <cacheField name="Measurement.method" numFmtId="0">
      <sharedItems containsBlank="1" count="29">
        <s v="ZBI"/>
        <s v="BADL"/>
        <s v="MoCA"/>
        <s v="BEHAVE-AD"/>
        <s v="GHQ-28"/>
        <s v="Unspecified"/>
        <s v="WHO-QoL-Bref"/>
        <s v="NPI-Q distress"/>
        <s v="NPI-Q severity"/>
        <s v="SRQ-20"/>
        <s v="DEMQOL"/>
        <s v="PHQ-4"/>
        <s v="MMSE"/>
        <s v="Caregiver burden inventory"/>
        <s v="Robinson's Caregiver Strain Index"/>
        <s v="Ham-D"/>
        <s v="SF36"/>
        <s v="Positive Aspects of Caregiving Questionnaire (PACQ)"/>
        <s v="Subjective well-being"/>
        <s v="CES-D"/>
        <s v="General Self Efficacy scale (GSE-10)"/>
        <s v="BAI"/>
        <s v="BDI"/>
        <s v="SF36 mental health"/>
        <s v="SF36 Physical health"/>
        <s v="QoL-Ada"/>
        <s v="IADL"/>
        <s v="Spielberger questionnaires"/>
        <m/>
      </sharedItems>
    </cacheField>
    <cacheField name="Measurement.type" numFmtId="0">
      <sharedItems containsBlank="1" count="5">
        <s v="SMD"/>
        <s v="Raw"/>
        <s v="Change from baseline (within group)"/>
        <s v="Change from baseline (between group)"/>
        <m/>
      </sharedItems>
    </cacheField>
    <cacheField name="Pre_mean" numFmtId="2">
      <sharedItems containsString="0" containsBlank="1" containsNumber="1" minValue="4.0999999999999996" maxValue="450.1"/>
    </cacheField>
    <cacheField name="Pre_N" numFmtId="1">
      <sharedItems containsString="0" containsBlank="1" containsNumber="1" containsInteger="1" minValue="10" maxValue="157"/>
    </cacheField>
    <cacheField name="Pre_SD" numFmtId="2">
      <sharedItems containsString="0" containsBlank="1" containsNumber="1" minValue="1.1299999999999899" maxValue="151"/>
    </cacheField>
    <cacheField name="Post_mean" numFmtId="2">
      <sharedItems containsString="0" containsBlank="1" containsNumber="1" minValue="-17.399999999999999" maxValue="570.1"/>
    </cacheField>
    <cacheField name="Post_N" numFmtId="1">
      <sharedItems containsString="0" containsBlank="1" containsNumber="1" containsInteger="1" minValue="10" maxValue="157"/>
    </cacheField>
    <cacheField name="Post_SD" numFmtId="2">
      <sharedItems containsString="0" containsBlank="1" containsNumber="1" minValue="0.4" maxValue="146.4"/>
    </cacheField>
    <cacheField name="95CI_lower" numFmtId="2">
      <sharedItems containsString="0" containsBlank="1" containsNumber="1" minValue="-6.78" maxValue="0"/>
    </cacheField>
    <cacheField name="95CI_upper" numFmtId="2">
      <sharedItems containsString="0" containsBlank="1" containsNumber="1" minValue="-0.51" maxValue="1.48"/>
    </cacheField>
    <cacheField name="Duration" numFmtId="0">
      <sharedItems containsBlank="1" count="28">
        <s v="6 months"/>
        <s v="12 months"/>
        <s v="8 weekly sessions (The GHQ was completed before and 35 - 40 days after the intervention in both groups)"/>
        <s v="1 month"/>
        <s v="6 months (5 weekly session intervention)"/>
        <s v="3 months"/>
        <s v="7 weeks"/>
        <s v="post-intervention (5 weeks)"/>
        <s v="12 weeks"/>
        <s v="20 weeks"/>
        <s v="8 weeks"/>
        <s v="1 month post treatment"/>
        <s v="End of intervention (5 weekly sessions)"/>
        <s v="2 month follow-up"/>
        <s v="five monthly in-home nurse-led cognitive behavioral sessions and consultation calls after each session"/>
        <s v="3 weeks post-intervention (5 weekly sessions)"/>
        <s v="3 month follow-up"/>
        <s v="post-intervention (8 weekly sessions)"/>
        <s v="6 months (3 months post-intervention)"/>
        <s v="6 month post-treatment (14-day hospitalisation)"/>
        <s v="12 months post-intervention"/>
        <s v="Unclear"/>
        <s v="16 weeks"/>
        <s v="1 month after 24-week intervention"/>
        <s v="1 month post intervention"/>
        <s v="3 months post intervention"/>
        <m/>
        <s v="After intervention (14 weekly sessions)" u="1"/>
      </sharedItems>
    </cacheField>
    <cacheField name="Measurement points (days from start)" numFmtId="0">
      <sharedItems containsString="0" containsBlank="1" containsNumber="1" containsInteger="1" minValue="30" maxValue="365"/>
    </cacheField>
    <cacheField name="Treatment duration (days from start)" numFmtId="0">
      <sharedItems containsBlank="1" containsMixedTypes="1" containsNumber="1" containsInteger="1" minValue="14" maxValue="3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n v="2008"/>
    <s v="Control"/>
    <x v="0"/>
    <s v="No intervention"/>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9%"/>
    <s v="32.5"/>
    <s v="53.8"/>
    <s v="85"/>
    <m/>
    <m/>
    <s v="Education and information (wait list for intervention)"/>
    <m/>
    <m/>
    <m/>
    <s v="“The control arm dyads received only education and information regarding dementia and were then placed in a waiting list to receive the intervention after 6 months. They were free to utilize the existing health services during this time.”"/>
    <m/>
    <m/>
    <m/>
    <m/>
    <m/>
    <s v="N/A"/>
    <m/>
    <x v="0"/>
    <x v="0"/>
    <x v="0"/>
    <m/>
    <m/>
    <m/>
    <m/>
    <n v="26"/>
    <m/>
    <m/>
    <m/>
    <x v="0"/>
    <n v="180"/>
    <n v="180"/>
  </r>
  <r>
    <x v="0"/>
    <n v="2008"/>
    <s v="Home care program"/>
    <x v="1"/>
    <s v="Training and education for unpaid carers"/>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6%"/>
    <s v="36.6"/>
    <s v="53.2"/>
    <s v="90.2"/>
    <m/>
    <m/>
    <s v="Flexible home-care program tailored to needs of the individual with dementia and their family, delivered by a team of home care advisors, specialist doctor, and counsellor, over 6 months."/>
    <m/>
    <m/>
    <m/>
    <s v="“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
    <m/>
    <m/>
    <m/>
    <m/>
    <m/>
    <s v="Intervention for carers"/>
    <m/>
    <x v="0"/>
    <x v="0"/>
    <x v="0"/>
    <m/>
    <m/>
    <m/>
    <n v="-3.29"/>
    <n v="33"/>
    <n v="13.39209897120349"/>
    <n v="-6.78"/>
    <n v="0.2"/>
    <x v="0"/>
    <n v="180"/>
    <n v="180"/>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4.53"/>
    <n v="51"/>
    <n v="1.77"/>
    <n v="11.41"/>
    <n v="51"/>
    <n v="1.0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5.02"/>
    <n v="51"/>
    <n v="1.82"/>
    <n v="9.31"/>
    <n v="51"/>
    <n v="1.52"/>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760000000000002"/>
    <n v="51"/>
    <n v="3.68"/>
    <n v="14.64"/>
    <n v="51"/>
    <n v="2.3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04"/>
    <n v="51"/>
    <n v="3.52"/>
    <n v="12.59"/>
    <n v="51"/>
    <n v="2.7"/>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32"/>
    <n v="51"/>
    <n v="3.53"/>
    <n v="7.21"/>
    <n v="51"/>
    <n v="2.8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47"/>
    <n v="51"/>
    <n v="3.37"/>
    <n v="10.37"/>
    <n v="51"/>
    <n v="2.17"/>
    <m/>
    <m/>
    <x v="1"/>
    <n v="365"/>
    <n v="365"/>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4"/>
    <x v="4"/>
    <x v="1"/>
    <n v="11.6"/>
    <n v="27"/>
    <n v="2.8"/>
    <n v="3.4"/>
    <n v="25"/>
    <n v="1.5"/>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4"/>
    <x v="4"/>
    <x v="1"/>
    <n v="10.039999999999999"/>
    <n v="27"/>
    <n v="4.0199999999999996"/>
    <n v="10.5"/>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5"/>
    <x v="4"/>
    <x v="1"/>
    <n v="4.5"/>
    <n v="27"/>
    <n v="3.04"/>
    <n v="0.4"/>
    <n v="25"/>
    <n v="0.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5"/>
    <x v="4"/>
    <x v="1"/>
    <n v="4.8"/>
    <n v="27"/>
    <n v="3.6"/>
    <n v="5.08"/>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6"/>
    <x v="4"/>
    <x v="1"/>
    <n v="39.9"/>
    <n v="27"/>
    <n v="8.4"/>
    <n v="16.079999999999998"/>
    <n v="25"/>
    <n v="3.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6"/>
    <x v="4"/>
    <x v="1"/>
    <n v="32.04"/>
    <n v="27"/>
    <n v="7.02"/>
    <n v="32.9"/>
    <n v="25"/>
    <n v="7.2"/>
    <m/>
    <m/>
    <x v="2"/>
    <n v="91"/>
    <n v="56"/>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0"/>
    <x v="5"/>
    <x v="1"/>
    <n v="55.36"/>
    <n v="157"/>
    <n v="5.6384838387637508"/>
    <n v="53.87"/>
    <n v="157"/>
    <n v="6.139682402209417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0"/>
    <x v="5"/>
    <x v="1"/>
    <n v="54.14"/>
    <n v="157"/>
    <n v="5.6384838387637508"/>
    <n v="19.61"/>
    <n v="157"/>
    <n v="6.1396824022094174"/>
    <m/>
    <m/>
    <x v="3"/>
    <n v="30"/>
    <n v="30"/>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7"/>
    <x v="5"/>
    <x v="1"/>
    <n v="180.88"/>
    <n v="157"/>
    <n v="20.925040023856585"/>
    <n v="182.36"/>
    <n v="157"/>
    <n v="22.80453463677783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7"/>
    <x v="5"/>
    <x v="1"/>
    <n v="180.24"/>
    <n v="157"/>
    <n v="20.925040023856585"/>
    <n v="279.73"/>
    <n v="157"/>
    <n v="22.804534636777834"/>
    <m/>
    <m/>
    <x v="3"/>
    <n v="30"/>
    <n v="30"/>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0"/>
    <x v="0"/>
    <x v="0"/>
    <m/>
    <m/>
    <m/>
    <n v="-1.02"/>
    <n v="27"/>
    <n v="1.9043938370706426"/>
    <n v="-1.53"/>
    <n v="-0.51"/>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0"/>
    <x v="0"/>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8"/>
    <x v="6"/>
    <x v="0"/>
    <m/>
    <m/>
    <m/>
    <n v="-0.22"/>
    <n v="27"/>
    <n v="1.9604054205138968"/>
    <n v="-0.75"/>
    <n v="0.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8"/>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7"/>
    <x v="0"/>
    <m/>
    <m/>
    <m/>
    <n v="-0.09"/>
    <n v="27"/>
    <n v="2.0910991152148237"/>
    <n v="-0.64"/>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7"/>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8"/>
    <x v="0"/>
    <m/>
    <m/>
    <m/>
    <n v="-0.1"/>
    <n v="27"/>
    <n v="2.12844017084366"/>
    <n v="-0.66"/>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8"/>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4000000000000001"/>
    <n v="27"/>
    <n v="1.9790759483283149"/>
    <n v="-0.66"/>
    <n v="0.4"/>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
    <n v="27"/>
    <n v="2.1471106986580772"/>
    <n v="-0.47"/>
    <n v="0.6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0"/>
    <x v="6"/>
    <x v="0"/>
    <m/>
    <m/>
    <m/>
    <n v="0.49"/>
    <n v="27"/>
    <n v="1.8483822536273884"/>
    <n v="0"/>
    <n v="0.99"/>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0"/>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1"/>
    <x v="6"/>
    <x v="0"/>
    <m/>
    <m/>
    <m/>
    <n v="0.39"/>
    <n v="27"/>
    <n v="2.0164170039571512"/>
    <n v="-0.15"/>
    <n v="0.9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1"/>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7"/>
    <x v="10"/>
    <x v="0"/>
    <m/>
    <m/>
    <m/>
    <n v="0.32"/>
    <n v="27"/>
    <n v="4.3315624529449908"/>
    <n v="-0.84"/>
    <n v="1.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7"/>
    <x v="10"/>
    <x v="0"/>
    <m/>
    <m/>
    <m/>
    <m/>
    <n v="29"/>
    <m/>
    <m/>
    <m/>
    <x v="4"/>
    <n v="18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7"/>
    <n v="25"/>
    <n v="2.1"/>
    <n v="2.9"/>
    <n v="25"/>
    <n v="2.4"/>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8"/>
    <n v="26"/>
    <n v="2.2999999999999998"/>
    <n v="5.5"/>
    <n v="26"/>
    <n v="3.4"/>
    <m/>
    <m/>
    <x v="5"/>
    <n v="9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0999999999999996"/>
    <n v="25"/>
    <n v="3"/>
    <n v="0.9"/>
    <n v="25"/>
    <n v="1"/>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5999999999999996"/>
    <n v="26"/>
    <n v="2.8"/>
    <n v="2.9"/>
    <n v="26"/>
    <n v="2.8"/>
    <m/>
    <m/>
    <x v="5"/>
    <n v="90"/>
    <n v="35"/>
  </r>
  <r>
    <x v="6"/>
    <n v="2012"/>
    <s v="对照组"/>
    <x v="0"/>
    <s v="No intervention"/>
    <s v="China"/>
    <s v="Hospital "/>
    <s v="Alzheimer's Disease"/>
    <s v="Dementia"/>
    <s v="Mild to moderate"/>
    <s v="No"/>
    <s v="Some concerns"/>
    <s v="some concerns"/>
    <s v="low risk"/>
    <s v="some concerns"/>
    <s v="some concerns"/>
    <s v="some concerns"/>
    <m/>
    <s v="54.17"/>
    <m/>
    <m/>
    <m/>
    <m/>
    <s v="Conventional therapy with Piracetam and Donepezil"/>
    <m/>
    <m/>
    <m/>
    <s v="&quot;按医嘱进行脑复康，多奈哌齐 等药物治疗，康复护理干预期间药物剂量不变。 &quot;"/>
    <m/>
    <m/>
    <m/>
    <m/>
    <m/>
    <s v="Multicomponent (Conventional therapy + Pharmaceutical)"/>
    <m/>
    <x v="2"/>
    <x v="12"/>
    <x v="1"/>
    <n v="18.52"/>
    <n v="48"/>
    <n v="3.4"/>
    <n v="20.329999999999998"/>
    <n v="48"/>
    <n v="3.49"/>
    <m/>
    <m/>
    <x v="1"/>
    <n v="365"/>
    <n v="365"/>
  </r>
  <r>
    <x v="6"/>
    <n v="2012"/>
    <s v="研究组 "/>
    <x v="3"/>
    <s v="Individual-based interventions"/>
    <s v="China"/>
    <s v="Hospital "/>
    <s v="Alzheimer's Disease"/>
    <s v="Dementia"/>
    <s v="Mild to moderate"/>
    <s v="No"/>
    <s v="Some concerns"/>
    <s v="some concerns"/>
    <s v="low risk"/>
    <s v="some concerns"/>
    <s v="some concerns"/>
    <s v="some concerns"/>
    <m/>
    <s v="58.33"/>
    <m/>
    <m/>
    <m/>
    <m/>
    <s v="Conventional therapy with Piracetam and Donepezil + whole course rehabilitafion nursing intervention including cognitive intervention，memory intervention，behaviour intervention，psychological intervention，safety intervention，community family nursing intervention，etc"/>
    <m/>
    <m/>
    <m/>
    <s v="&quot;按医嘱进行脑复康，多奈哌齐 等药物治疗，康复护理干预期间药物剂量不变。 &quot;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quot;"/>
    <m/>
    <m/>
    <m/>
    <m/>
    <m/>
    <s v="Multicomponent intervention (Conventional therapy +  non-pharmacological)"/>
    <m/>
    <x v="2"/>
    <x v="12"/>
    <x v="1"/>
    <n v="18.309999999999899"/>
    <n v="48"/>
    <n v="3.63"/>
    <n v="22.08"/>
    <n v="48"/>
    <n v="6.15"/>
    <m/>
    <m/>
    <x v="1"/>
    <n v="365"/>
    <n v="365"/>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0"/>
    <x v="13"/>
    <x v="1"/>
    <n v="53.51"/>
    <n v="39"/>
    <n v="16.100000000000001"/>
    <n v="33.64"/>
    <n v="39"/>
    <n v="15.49"/>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0"/>
    <x v="13"/>
    <x v="1"/>
    <n v="56.46"/>
    <n v="39"/>
    <n v="9.18"/>
    <n v="58.26"/>
    <n v="39"/>
    <n v="10.6"/>
    <m/>
    <m/>
    <x v="5"/>
    <n v="90"/>
    <n v="90"/>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11"/>
    <x v="6"/>
    <x v="1"/>
    <n v="48.82"/>
    <n v="39"/>
    <n v="7.83"/>
    <n v="55.04"/>
    <n v="39"/>
    <n v="5.88"/>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11"/>
    <x v="6"/>
    <x v="1"/>
    <n v="48.67"/>
    <n v="39"/>
    <n v="4.2"/>
    <n v="46.77"/>
    <n v="39"/>
    <n v="4"/>
    <m/>
    <m/>
    <x v="5"/>
    <n v="90"/>
    <n v="90"/>
  </r>
  <r>
    <x v="8"/>
    <n v="2017"/>
    <s v="&quot;First You Should Get Stronger&quot; caregiving programme"/>
    <x v="2"/>
    <s v="Information, education, and training to support carers"/>
    <s v="Turkey"/>
    <s v="Erenköy - a rural village (population circa 1500) in Turkey. Intervention delivered at carers homes"/>
    <s v="Dementia (general/unspecified)"/>
    <s v="Dementia"/>
    <s v="Not specified"/>
    <s v="Yes"/>
    <s v="Some concerns"/>
    <s v="high risk"/>
    <s v="high risk"/>
    <s v="high risk"/>
    <s v="some concerns"/>
    <s v="high risk"/>
    <m/>
    <s v="45.0"/>
    <s v="52.97"/>
    <s v="70.0"/>
    <m/>
    <m/>
    <s v="7 session home delivered bespoke caregiver information programme focused on for strengthening the caregiver, decreasing the caregiving burden and developing healthy life style behaviours"/>
    <m/>
    <m/>
    <m/>
    <s v="&quot;Visits were carried_x000a_out by the researcher once every week with each session lasting_x000a_45 min. [...] The content of the program was designed in accordance with_x000a_the relevant literature before the study was implemented entia_x000a_(Alves, Teixeira, Azevedo, Duarte, &amp; Paúl, 2015; Arango-Lasprilla_x000a_et al., 2014; Ducharme et al., 2015; Hou et al., 2013; Pinquar and_x000a_Sörensen, 2006). We sought expert opinions from four faculty_x000a_members in the psychiatric nursing department (1), public health_x000a_nursing department (2), internal medical nursing department(1)_x000a_who were specialized in working with the families of patients with_x000a_dementia. Final revisions were made in the program in accordance_x000a_with the opinions of experts. The program consists of seven_x000a_sessions for strengthening the caregiver, decreasing the caregiving_x000a_burden and developing healthy life style behaviors (Table 1). [...] Session 1 Introduction, learning about dementia and the_x000a_individual for whom care is given_x000a_Session 2 Communication with individuals with dementia_x000a_(caregiving without being derogatory)_x000a_Session 3 Defining the difficulties experienced by the_x000a_individual with dementia_x000a_Session 4 Carrying out the systematics of daily works_x000a_Session 5 Determining social support systems_x000a_Session 6 Carrying out activities for enhancing and developing_x000a_the health of the caregiver_x000a_Session 7 General evaluation and closure&quot;"/>
    <m/>
    <m/>
    <m/>
    <m/>
    <m/>
    <s v="Intervention for carers"/>
    <m/>
    <x v="0"/>
    <x v="0"/>
    <x v="1"/>
    <n v="78.3"/>
    <n v="20"/>
    <n v="4.46"/>
    <n v="67.099999999999895"/>
    <n v="20"/>
    <n v="7.18"/>
    <m/>
    <m/>
    <x v="6"/>
    <n v="49"/>
    <n v="49"/>
  </r>
  <r>
    <x v="8"/>
    <n v="2017"/>
    <s v="Control"/>
    <x v="0"/>
    <s v="No intervention"/>
    <s v="Turkey"/>
    <s v="Erenköy - a rural village (population circa 1500) in Turkey. Intervention delivered at carers homes"/>
    <s v="Dementia (general/unspecified)"/>
    <s v="Dementia"/>
    <s v="Not specified"/>
    <s v="Yes"/>
    <s v="Some concerns"/>
    <s v="high risk"/>
    <s v="high risk"/>
    <s v="high risk"/>
    <s v="some concerns"/>
    <s v="high risk"/>
    <m/>
    <s v="35.0"/>
    <s v="51.76"/>
    <s v="65.0"/>
    <m/>
    <m/>
    <s v="Control"/>
    <m/>
    <m/>
    <m/>
    <s v="Appears to be no intervention"/>
    <m/>
    <m/>
    <m/>
    <m/>
    <m/>
    <s v="Appears to be no intervention"/>
    <m/>
    <x v="0"/>
    <x v="0"/>
    <x v="1"/>
    <n v="78.45"/>
    <n v="20"/>
    <n v="3.26"/>
    <n v="79.3"/>
    <n v="20"/>
    <n v="3.79"/>
    <m/>
    <m/>
    <x v="6"/>
    <n v="49"/>
    <n v="49"/>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2"/>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2"/>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2"/>
    <n v="37.159999999999897"/>
    <n v="33"/>
    <n v="1.26"/>
    <n v="32.43"/>
    <n v="30"/>
    <n v="2.73"/>
    <m/>
    <m/>
    <x v="7"/>
    <n v="35"/>
    <n v="35"/>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3"/>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3"/>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3"/>
    <n v="37.159999999999897"/>
    <n v="33"/>
    <n v="1.26"/>
    <n v="32.43"/>
    <n v="30"/>
    <n v="2.73"/>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25.3"/>
    <n v="10"/>
    <n v="7.33"/>
    <n v="44.7"/>
    <n v="10"/>
    <n v="13.71"/>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31.6"/>
    <n v="10"/>
    <n v="16.36"/>
    <n v="24"/>
    <n v="10"/>
    <n v="14.25"/>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12.7"/>
    <n v="10"/>
    <n v="4.57"/>
    <n v="19.399999999999899"/>
    <n v="10"/>
    <n v="9.2100000000000009"/>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20"/>
    <n v="10"/>
    <n v="6.16"/>
    <n v="6.7"/>
    <n v="10"/>
    <n v="2.54"/>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47.61"/>
    <n v="10"/>
    <n v="18.32"/>
    <n v="37.57"/>
    <n v="10"/>
    <n v="12.8"/>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58.01"/>
    <n v="10"/>
    <n v="24.01"/>
    <n v="70.98"/>
    <n v="10"/>
    <n v="11.11"/>
    <m/>
    <m/>
    <x v="7"/>
    <n v="35"/>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3.27"/>
    <n v="36"/>
    <n v="2.4700000000000002"/>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36"/>
    <n v="36"/>
    <n v="5.89"/>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4.08"/>
    <n v="36"/>
    <n v="1.1299999999999899"/>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75"/>
    <n v="36"/>
    <n v="3.86"/>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2.58"/>
    <n v="36"/>
    <n v="3.2"/>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9.19"/>
    <n v="36"/>
    <n v="4.5199999999999898"/>
    <m/>
    <m/>
    <x v="10"/>
    <n v="56"/>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91"/>
    <n v="36"/>
    <n v="10.050000000000001"/>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9.8"/>
    <n v="36"/>
    <n v="11.25"/>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100.27"/>
    <n v="36"/>
    <n v="9.56"/>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8.91"/>
    <n v="36"/>
    <n v="11.23"/>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61"/>
    <n v="36"/>
    <n v="10.8"/>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100.11"/>
    <n v="36"/>
    <n v="10.49"/>
    <m/>
    <m/>
    <x v="10"/>
    <n v="56"/>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64.5"/>
    <n v="25"/>
    <n v="25.13"/>
    <m/>
    <m/>
    <x v="11"/>
    <n v="6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56.33"/>
    <n v="25"/>
    <n v="54.14"/>
    <m/>
    <m/>
    <x v="11"/>
    <n v="65"/>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46.8"/>
    <n v="25"/>
    <n v="3.13"/>
    <m/>
    <m/>
    <x v="12"/>
    <n v="3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44.35"/>
    <n v="25"/>
    <n v="65.150000000000006"/>
    <m/>
    <m/>
    <x v="12"/>
    <n v="35"/>
    <n v="35"/>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10.19"/>
    <n v="47"/>
    <n v="2.78"/>
    <m/>
    <m/>
    <x v="13"/>
    <n v="21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2.21"/>
    <n v="35"/>
    <n v="3.56"/>
    <m/>
    <m/>
    <x v="13"/>
    <n v="210"/>
    <n v="150"/>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9.4"/>
    <n v="54"/>
    <n v="3.39"/>
    <m/>
    <m/>
    <x v="14"/>
    <n v="15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1.96"/>
    <n v="45"/>
    <n v="3.4"/>
    <m/>
    <m/>
    <x v="14"/>
    <n v="150"/>
    <n v="150"/>
  </r>
  <r>
    <x v="14"/>
    <n v="2017"/>
    <s v="Control"/>
    <x v="0"/>
    <s v="No intervention"/>
    <s v="Iran"/>
    <s v="City of Rafsanjan (Iran). Participants (family caregivers) were recruited from private neurologists' offices."/>
    <s v="Alzheimer's Disease"/>
    <s v="Dementia"/>
    <s v="Not specified"/>
    <s v="Yes"/>
    <s v="Some concerns"/>
    <s v="high risk"/>
    <s v="high risk"/>
    <s v="high risk"/>
    <s v="some concerns"/>
    <s v="high risk"/>
    <m/>
    <m/>
    <s v="50.57"/>
    <s v="89.3"/>
    <s v="Housewife: 78.6%; Other: 21.4%"/>
    <m/>
    <s v="Control"/>
    <m/>
    <m/>
    <m/>
    <s v="&quot;Patients in the control group received no education about spirituality.&quot;"/>
    <m/>
    <m/>
    <m/>
    <m/>
    <m/>
    <s v="N/A"/>
    <m/>
    <x v="13"/>
    <x v="20"/>
    <x v="1"/>
    <n v="28.39"/>
    <n v="28"/>
    <n v="6.41"/>
    <n v="27.85"/>
    <n v="28"/>
    <n v="5.98"/>
    <m/>
    <m/>
    <x v="15"/>
    <n v="56"/>
    <n v="35"/>
  </r>
  <r>
    <x v="14"/>
    <n v="2017"/>
    <s v="Spiritual care education (intervention)"/>
    <x v="2"/>
    <s v="Information, education, and training to support carers"/>
    <s v="Iran"/>
    <s v="City of Rafsanjan (Iran). Participants (family caregivers) were recruited from private neurologists' offices."/>
    <s v="Alzheimer's Disease"/>
    <s v="Dementia"/>
    <s v="Not specified"/>
    <s v="Yes"/>
    <s v="Some concerns"/>
    <s v="high risk"/>
    <s v="high risk"/>
    <s v="high risk"/>
    <s v="some concerns"/>
    <s v="high risk"/>
    <m/>
    <m/>
    <s v="47.38"/>
    <s v="80.8"/>
    <s v="Housewife: 61.5%; Other: 38.5%"/>
    <m/>
    <s v="Spiritual care education sessions, 1x per week for 5 weeks"/>
    <m/>
    <m/>
    <m/>
    <s v="&quo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quot;"/>
    <m/>
    <m/>
    <m/>
    <m/>
    <m/>
    <s v="Intervention for carers"/>
    <m/>
    <x v="13"/>
    <x v="20"/>
    <x v="1"/>
    <n v="29.8"/>
    <n v="26"/>
    <n v="4.8"/>
    <n v="32.729999999999897"/>
    <n v="26"/>
    <n v="4.75"/>
    <m/>
    <m/>
    <x v="15"/>
    <n v="56"/>
    <n v="35"/>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74"/>
    <n v="59"/>
    <n v="0.84"/>
    <m/>
    <m/>
    <x v="16"/>
    <n v="14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99999999999999"/>
    <n v="55"/>
    <n v="8.3800000000000008"/>
    <m/>
    <m/>
    <x v="16"/>
    <n v="146"/>
    <n v="56"/>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15"/>
    <n v="59"/>
    <n v="0.4"/>
    <m/>
    <m/>
    <x v="17"/>
    <n v="5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6"/>
    <n v="55"/>
    <n v="8.34"/>
    <m/>
    <m/>
    <x v="17"/>
    <n v="56"/>
    <n v="56"/>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0"/>
    <x v="13"/>
    <x v="1"/>
    <n v="38.020000000000003"/>
    <n v="35"/>
    <n v="21.49"/>
    <n v="34.71"/>
    <n v="35"/>
    <n v="18.82"/>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0"/>
    <x v="13"/>
    <x v="1"/>
    <n v="31.19"/>
    <n v="35"/>
    <n v="16.54"/>
    <n v="35.659999999999897"/>
    <n v="35"/>
    <n v="17.07"/>
    <m/>
    <m/>
    <x v="18"/>
    <n v="180"/>
    <n v="90"/>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11"/>
    <x v="6"/>
    <x v="1"/>
    <n v="86"/>
    <n v="35"/>
    <n v="9.15"/>
    <n v="88.51"/>
    <n v="35"/>
    <n v="8.2799999999999905"/>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11"/>
    <x v="6"/>
    <x v="1"/>
    <n v="87.2"/>
    <n v="35"/>
    <n v="5.69"/>
    <n v="85.23"/>
    <n v="35"/>
    <n v="5.68"/>
    <m/>
    <m/>
    <x v="18"/>
    <n v="180"/>
    <n v="90"/>
  </r>
  <r>
    <x v="17"/>
    <n v="2012"/>
    <s v="Comprehensive nursing intervention"/>
    <x v="3"/>
    <s v="Individual-based interventions"/>
    <s v="China"/>
    <s v="Hospital "/>
    <s v="Alzheimer's Disease"/>
    <s v="Dementia"/>
    <s v="Not specified"/>
    <s v="No info. "/>
    <s v="Some concerns"/>
    <s v="some concerns"/>
    <s v="low risk"/>
    <s v="high risk"/>
    <s v="some concerns"/>
    <s v="high risk"/>
    <s v="9 primary school ,9 middle school and 2 bachelor degree "/>
    <s v="50"/>
    <m/>
    <m/>
    <m/>
    <m/>
    <m/>
    <m/>
    <m/>
    <s v="Psychological care, emotional care cognitive care, daily care, home safety  and care after the discharge from hospital for 14 days"/>
    <m/>
    <s v="&quot;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quot;_x000a_"/>
    <m/>
    <m/>
    <m/>
    <m/>
    <s v="Multicomponent (心理护理, 情感护理, 认知护理,  生活护理, 安全护理, 出院健康指导)"/>
    <m/>
    <x v="2"/>
    <x v="12"/>
    <x v="1"/>
    <n v="18.36"/>
    <n v="20"/>
    <n v="3.19"/>
    <n v="19.579999999999899"/>
    <n v="20"/>
    <n v="4.2"/>
    <m/>
    <m/>
    <x v="19"/>
    <n v="194"/>
    <n v="14"/>
  </r>
  <r>
    <x v="17"/>
    <n v="2012"/>
    <s v="Control"/>
    <x v="0"/>
    <s v="No intervention"/>
    <s v="China"/>
    <s v="Hospital "/>
    <s v="Alzheimer's Disease"/>
    <s v="Dementia"/>
    <s v="Not specified"/>
    <s v="No info. "/>
    <s v="Some concerns"/>
    <s v="some concerns"/>
    <s v="low risk"/>
    <s v="high risk"/>
    <s v="some concerns"/>
    <s v="high risk"/>
    <s v="7 primary school ,10 middle school and 3 bachelor degree "/>
    <s v="55"/>
    <m/>
    <m/>
    <m/>
    <m/>
    <m/>
    <m/>
    <m/>
    <s v="Routine caring for 14 days (Control)"/>
    <m/>
    <s v="常规护理"/>
    <m/>
    <m/>
    <m/>
    <m/>
    <s v="Routine caring"/>
    <m/>
    <x v="2"/>
    <x v="12"/>
    <x v="1"/>
    <n v="18.559999999999899"/>
    <n v="20"/>
    <n v="3.67"/>
    <n v="19.329999999999899"/>
    <n v="20"/>
    <n v="4.1500000000000004"/>
    <m/>
    <m/>
    <x v="19"/>
    <n v="194"/>
    <n v="14"/>
  </r>
  <r>
    <x v="18"/>
    <n v="2010"/>
    <s v="Control group"/>
    <x v="0"/>
    <s v="No intervention"/>
    <s v="China"/>
    <s v="Nursing College of Guangdong Medical College Hospital"/>
    <s v="Alzheimer's Disease"/>
    <s v="Dementia"/>
    <s v="Mild to moderate"/>
    <s v="No"/>
    <s v="Some concerns"/>
    <s v="some concerns"/>
    <s v="low risk"/>
    <s v="some concerns"/>
    <s v="some concerns"/>
    <s v="some concerns"/>
    <s v="&quot;平均受教育年限6.1年&quot;"/>
    <s v="52.63"/>
    <m/>
    <m/>
    <m/>
    <m/>
    <s v="The control group received routine discharge guidance. No intervention was administered after discharge."/>
    <m/>
    <m/>
    <m/>
    <s v="&quot;对照组进行常规出院指导，出院后不施加任何干预。&quot;"/>
    <m/>
    <m/>
    <m/>
    <m/>
    <m/>
    <s v="no treatment "/>
    <m/>
    <x v="7"/>
    <x v="16"/>
    <x v="1"/>
    <n v="450.1"/>
    <n v="19"/>
    <n v="151"/>
    <n v="405.1"/>
    <n v="19"/>
    <n v="146.4"/>
    <m/>
    <m/>
    <x v="20"/>
    <n v="365"/>
    <n v="365"/>
  </r>
  <r>
    <x v="18"/>
    <n v="2010"/>
    <s v="treatment group"/>
    <x v="3"/>
    <s v="Individual-based interventions"/>
    <s v="China"/>
    <s v="Nursing College of Guangdong Medical College Hospital"/>
    <s v="Alzheimer's Disease"/>
    <s v="Dementia"/>
    <s v="Mild to moderate"/>
    <s v="No"/>
    <s v="Some concerns"/>
    <s v="some concerns"/>
    <s v="low risk"/>
    <s v="some concerns"/>
    <s v="some concerns"/>
    <s v="some concerns"/>
    <s v="&quot;平均受教育年限6.3年&quot;"/>
    <s v="47.37"/>
    <m/>
    <m/>
    <m/>
    <m/>
    <s v="The experimental group received one-year nursing intervention on the basis of routine discharge guidance."/>
    <m/>
    <m/>
    <m/>
    <s v="&quot;试验组除常规出院指导外，护士每周电话访问1次；每2周安排1次免费门诊护理咨询；每4周进行1次家访；每3个月举办AD病人及家属座谈会1次。干预时间为1年。干预内容包括：①对病人家属进行AD疾病及护理知识的宣教，并根据_x000a_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_x000a_忆}思维训练，通过排列数字、物品分类，数字计算等，训练病人_x000a_综合分析、判断、推理和计算能力；逻辑思维与表达能力训练，如对病人密切相关问题的提问，并进行简单的数字计算；体能训_x000a_练．根据病人的身体状况，选择合适的体能训练，如公园散步、做老人体操、跳舞等，活动量循序渐进，以无不适为度。⑤遵医行为指导，指导和督促病人按医嘱定时、定量以正确的方式服药，告知用药的注意事项，保证用药安全。&quot;"/>
    <m/>
    <m/>
    <m/>
    <m/>
    <m/>
    <s v="Non-pharmacol"/>
    <m/>
    <x v="7"/>
    <x v="16"/>
    <x v="1"/>
    <n v="448.1"/>
    <n v="19"/>
    <n v="132.4"/>
    <n v="570.1"/>
    <n v="19"/>
    <n v="141.9"/>
    <m/>
    <m/>
    <x v="20"/>
    <n v="365"/>
    <n v="365"/>
  </r>
  <r>
    <x v="19"/>
    <n v="2010"/>
    <s v="Control group"/>
    <x v="0"/>
    <s v="No intervention"/>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m/>
    <m/>
    <m/>
    <m/>
    <m/>
    <m/>
    <s v="no any intervention"/>
    <m/>
    <m/>
    <m/>
    <m/>
    <m/>
    <m/>
    <m/>
    <m/>
    <m/>
    <m/>
    <m/>
    <x v="2"/>
    <x v="12"/>
    <x v="1"/>
    <n v="15.32"/>
    <n v="60"/>
    <n v="1.98"/>
    <n v="14.07"/>
    <n v="60"/>
    <n v="1.63"/>
    <m/>
    <m/>
    <x v="21"/>
    <m/>
    <s v="Unclear"/>
  </r>
  <r>
    <x v="19"/>
    <n v="2010"/>
    <s v="Intervention group (Carer training)"/>
    <x v="1"/>
    <s v="Training and education for unpaid carers, training for sleep disorder "/>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s v="&quot;文盲1l例，小学22例，初中18例，高中以上9例&quot;"/>
    <s v="53.33"/>
    <m/>
    <m/>
    <m/>
    <m/>
    <s v="The caregivers of observation groups were taught of AD disease nowledge，daily care，_x000a_safe care knowledge，training and rehabilitation training guidance to improve their nursing skills"/>
    <m/>
    <m/>
    <m/>
    <s v="1．2．1对观察组照顾者的干预_x000a_1．2．1．1 对照顾者进行AD相关护理知识和技巧的训练，内容_x000a_包括：①AD患者的分期和常见的表现，让照顾者了解AD患者_x000a_病情的发展。②日常生活护理。③AD患者安全护理，针对患者常_x000a_见的走失、跌倒、自我伤害、意外受伤等安全问题对照顾者进行相_x000a_关知识指导。④训练AD患者的康复技巧，根据AD患者的分期进_x000a_行认图、物品分类、计算力、理解力和记忆力等方面的训练。⑤照_x000a_顾者心理指导。尊重AD患者的人格、隐私，接纳痴呆老人的怪异_x000a_言行，鼓励照顾者寻求邻居、朋友、同事的帮助和心理支持，主动_x000a_利用社会支持，缓解照顾压力。_x000a_1．2．1．2 课题组护士电话随访1次／周，家访2次／月。我们给_x000a_照顾者留下咨询电话，随时帮助照顾者解决AD患者出现的问_x000a_题。每季度去社区举办健康教育讲座1次，并现场指导照顾者对_x000a_AD患者的康复训练，了解照顾者反馈的信息、有针对性调整讲_x000a_课内容，提高培训效果。_x000a_"/>
    <m/>
    <m/>
    <m/>
    <m/>
    <m/>
    <s v="Non-pharmacol"/>
    <m/>
    <x v="2"/>
    <x v="12"/>
    <x v="1"/>
    <n v="15.1"/>
    <n v="60"/>
    <n v="2.56"/>
    <n v="16.12"/>
    <n v="60"/>
    <n v="2.84"/>
    <m/>
    <m/>
    <x v="21"/>
    <m/>
    <s v="Unclear"/>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4"/>
    <x v="21"/>
    <x v="1"/>
    <n v="10.06"/>
    <n v="30"/>
    <n v="8.89"/>
    <n v="6.18"/>
    <n v="26"/>
    <n v="7.26"/>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4"/>
    <x v="21"/>
    <x v="1"/>
    <n v="12.23"/>
    <n v="31"/>
    <n v="8.0500000000000007"/>
    <n v="15.47"/>
    <n v="28"/>
    <n v="9.27999999999999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0"/>
    <x v="0"/>
    <x v="1"/>
    <n v="31.43"/>
    <n v="30"/>
    <n v="18.18"/>
    <n v="27.87"/>
    <n v="26"/>
    <n v="18.3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0"/>
    <x v="0"/>
    <x v="1"/>
    <n v="40.17"/>
    <n v="31"/>
    <n v="18.100000000000001"/>
    <n v="40.700000000000003"/>
    <n v="28"/>
    <n v="17.6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5"/>
    <x v="22"/>
    <x v="1"/>
    <n v="11.62"/>
    <n v="30"/>
    <n v="8.34"/>
    <n v="9.68"/>
    <n v="26"/>
    <n v="8.44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5"/>
    <x v="22"/>
    <x v="1"/>
    <n v="15.23"/>
    <n v="31"/>
    <n v="7.7"/>
    <n v="20.64"/>
    <n v="28"/>
    <n v="8.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9"/>
    <x v="7"/>
    <x v="1"/>
    <n v="11.87"/>
    <n v="30"/>
    <n v="9.73"/>
    <n v="10.5"/>
    <n v="26"/>
    <n v="8.69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9"/>
    <x v="7"/>
    <x v="1"/>
    <n v="9.35"/>
    <n v="31"/>
    <n v="8.06"/>
    <n v="14.64"/>
    <n v="28"/>
    <n v="10.0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4"/>
    <x v="23"/>
    <x v="1"/>
    <n v="41.79"/>
    <n v="30"/>
    <n v="9.0239999999999991"/>
    <n v="44.87"/>
    <n v="26"/>
    <n v="8.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4"/>
    <x v="23"/>
    <x v="1"/>
    <n v="42.18"/>
    <n v="31"/>
    <n v="10.52"/>
    <n v="39.47"/>
    <n v="28"/>
    <n v="9.39"/>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0"/>
    <x v="24"/>
    <x v="1"/>
    <n v="41.75"/>
    <n v="30"/>
    <n v="10"/>
    <n v="45.41"/>
    <n v="26"/>
    <n v="7.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0"/>
    <x v="24"/>
    <x v="1"/>
    <n v="41.59"/>
    <n v="31"/>
    <n v="9.7799999999999994"/>
    <n v="37.74"/>
    <n v="28"/>
    <n v="10.77"/>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3"/>
    <x v="8"/>
    <x v="1"/>
    <n v="31.18"/>
    <n v="30"/>
    <n v="23.79"/>
    <n v="26.5"/>
    <n v="26"/>
    <n v="21.9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3"/>
    <x v="8"/>
    <x v="1"/>
    <n v="19.41"/>
    <n v="31"/>
    <n v="16.09"/>
    <n v="30.7"/>
    <n v="28"/>
    <n v="23.78"/>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7"/>
    <x v="25"/>
    <x v="1"/>
    <n v="31.18"/>
    <n v="22"/>
    <n v="6.14"/>
    <n v="31.79"/>
    <n v="17"/>
    <n v="5.41"/>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7"/>
    <x v="25"/>
    <x v="1"/>
    <n v="33.29"/>
    <n v="20"/>
    <n v="4.96"/>
    <n v="32.39"/>
    <n v="17"/>
    <n v="4.33"/>
    <m/>
    <m/>
    <x v="22"/>
    <n v="112"/>
    <n v="112"/>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1"/>
    <x v="26"/>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1"/>
    <x v="26"/>
    <x v="1"/>
    <n v="19.21"/>
    <n v="40"/>
    <n v="3.93"/>
    <n v="21.02"/>
    <n v="40"/>
    <n v="3.88"/>
    <m/>
    <m/>
    <x v="1"/>
    <n v="365"/>
    <n v="365"/>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2"/>
    <x v="12"/>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2"/>
    <x v="12"/>
    <x v="1"/>
    <n v="19.21"/>
    <n v="40"/>
    <n v="3.93"/>
    <n v="21.02"/>
    <n v="40"/>
    <n v="3.88"/>
    <m/>
    <m/>
    <x v="1"/>
    <n v="365"/>
    <n v="365"/>
  </r>
  <r>
    <x v="22"/>
    <n v="2012"/>
    <s v="Mutual support group"/>
    <x v="2"/>
    <s v="Group support and therapy"/>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1.3"/>
    <s v="35.9% (18-30yr);   41% (31-50yr);      23.1% (51-70yr)"/>
    <s v="59.0"/>
    <s v="33.3"/>
    <s v="25.7"/>
    <s v="Peer-led mutual support group sessions, 1.5 hours every two weeks over a 24-week period, in addition to usual care"/>
    <m/>
    <m/>
    <m/>
    <s v="&quo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quot;"/>
    <m/>
    <m/>
    <m/>
    <m/>
    <m/>
    <s v="Intervention for carers"/>
    <m/>
    <x v="11"/>
    <x v="6"/>
    <x v="1"/>
    <n v="97.89"/>
    <n v="39"/>
    <n v="14.11"/>
    <n v="114.02"/>
    <n v="39"/>
    <n v="13.98"/>
    <m/>
    <m/>
    <x v="23"/>
    <n v="198"/>
    <n v="168"/>
  </r>
  <r>
    <x v="22"/>
    <n v="2012"/>
    <s v="Routine care group (control)"/>
    <x v="0"/>
    <s v="No intervention"/>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3.8"/>
    <s v="33.3% (18-30yr);    43.6% (31-50yr);    23.1% (51.70yr)"/>
    <s v="64.1"/>
    <s v="25.6"/>
    <s v="25.7"/>
    <s v="Conventional family services provided by dementia centers, including medical consultation, financial and social services advice, educational talks on dementia care, and referals and advice on medical and social services"/>
    <m/>
    <m/>
    <m/>
    <s v="&quo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quot;"/>
    <m/>
    <m/>
    <m/>
    <m/>
    <m/>
    <s v="N/A"/>
    <m/>
    <x v="11"/>
    <x v="6"/>
    <x v="1"/>
    <n v="103.71"/>
    <n v="39"/>
    <n v="9.2799999999999905"/>
    <n v="88.19"/>
    <n v="39"/>
    <n v="7.56"/>
    <m/>
    <m/>
    <x v="23"/>
    <n v="198"/>
    <n v="168"/>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38.950000000000003"/>
    <n v="61"/>
    <n v="6.57"/>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3.159999999999897"/>
    <n v="62"/>
    <n v="5.29"/>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44.53"/>
    <n v="61"/>
    <n v="7.56"/>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2.99"/>
    <n v="62"/>
    <n v="6.35"/>
    <m/>
    <m/>
    <x v="1"/>
    <n v="365"/>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3.23"/>
    <n v="61"/>
    <n v="4.49"/>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4.29"/>
    <n v="62"/>
    <n v="4.41"/>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1.99"/>
    <n v="61"/>
    <n v="6.39"/>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5.98"/>
    <n v="62"/>
    <n v="5.49"/>
    <m/>
    <m/>
    <x v="1"/>
    <n v="365"/>
    <n v="365"/>
  </r>
  <r>
    <x v="24"/>
    <n v="2017"/>
    <s v="对照组"/>
    <x v="0"/>
    <s v="No intervention"/>
    <s v="China"/>
    <s v="Community "/>
    <s v="Dementia (general/unspecified)"/>
    <s v="Dementia"/>
    <s v="Moderate to Severe"/>
    <s v="No info. "/>
    <s v="Some concerns"/>
    <s v="high risk"/>
    <s v="high risk"/>
    <s v="high risk"/>
    <s v="some concerns"/>
    <s v="high risk"/>
    <s v="10.99"/>
    <s v="54.3"/>
    <m/>
    <m/>
    <m/>
    <m/>
    <s v="Regular medicine and Psychological Health Promotion for 12 months"/>
    <m/>
    <m/>
    <m/>
    <s v="&quot;只给予药物治疗 和一般的心理健康知识宣传（即指通过各类媒体、各种方 式开展的心理健康知识宣传，如心理健康知识的宣传板 报、宣传册、进社区的心理卫生知识讲座、心理健康义 诊等） &quot;"/>
    <m/>
    <m/>
    <m/>
    <m/>
    <m/>
    <s v="Medicine + Psychological Health Promotion"/>
    <m/>
    <x v="2"/>
    <x v="12"/>
    <x v="1"/>
    <n v="9.85"/>
    <n v="70"/>
    <n v="1.89"/>
    <n v="13.27"/>
    <n v="70"/>
    <n v="3.02"/>
    <m/>
    <m/>
    <x v="1"/>
    <n v="365"/>
    <n v="365"/>
  </r>
  <r>
    <x v="24"/>
    <n v="2017"/>
    <s v="干预组"/>
    <x v="3"/>
    <s v="Community-based interventions"/>
    <s v="China"/>
    <s v="Community "/>
    <s v="Dementia (general/unspecified)"/>
    <s v="Dementia"/>
    <s v="Moderate to Severe"/>
    <s v="No info. "/>
    <s v="Some concerns"/>
    <s v="high risk"/>
    <s v="high risk"/>
    <s v="high risk"/>
    <s v="some concerns"/>
    <s v="high risk"/>
    <s v="Mean: 11.06 year; SD: 6.30 years"/>
    <s v="56.3"/>
    <m/>
    <m/>
    <m/>
    <m/>
    <s v="Medicine, Psychosocial and non-pharmacy in-home intervention for 12 months "/>
    <m/>
    <m/>
    <m/>
    <s v="&quot;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quot;_x000a_"/>
    <m/>
    <m/>
    <m/>
    <m/>
    <m/>
    <s v="Medicine +Psychosocial intervention"/>
    <m/>
    <x v="2"/>
    <x v="12"/>
    <x v="1"/>
    <n v="9.8800000000000008"/>
    <n v="71"/>
    <n v="2.33"/>
    <n v="14.97"/>
    <n v="71"/>
    <n v="3.03"/>
    <m/>
    <m/>
    <x v="1"/>
    <n v="365"/>
    <n v="365"/>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510000000000005"/>
    <n v="35"/>
    <n v="3.78"/>
    <m/>
    <m/>
    <x v="24"/>
    <n v="5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45"/>
    <n v="35"/>
    <n v="3.45"/>
    <m/>
    <m/>
    <x v="24"/>
    <n v="58"/>
    <n v="28"/>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31"/>
    <n v="35"/>
    <n v="3.78"/>
    <m/>
    <m/>
    <x v="25"/>
    <n v="11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22"/>
    <n v="35"/>
    <n v="5.08"/>
    <m/>
    <m/>
    <x v="25"/>
    <n v="118"/>
    <n v="28"/>
  </r>
  <r>
    <x v="26"/>
    <n v="2010"/>
    <s v="Nursing visit （control）"/>
    <x v="0"/>
    <s v="No intervention"/>
    <s v="China"/>
    <s v="Hospital "/>
    <s v="Alzheimer's Disease"/>
    <s v="Dementia"/>
    <s v="Not specified"/>
    <s v="No info. "/>
    <s v="Some concerns"/>
    <s v="some concerns"/>
    <s v="low risk"/>
    <s v="some concerns"/>
    <s v="some concerns"/>
    <s v="some concerns"/>
    <m/>
    <m/>
    <m/>
    <m/>
    <m/>
    <m/>
    <s v="Routine Nursing Assistant for a year."/>
    <m/>
    <m/>
    <m/>
    <s v="常规出院指导，并解答患者和家属的疑问，出院后不进行任何 护理干预"/>
    <m/>
    <m/>
    <m/>
    <m/>
    <m/>
    <s v="Routine Nursing Assistant"/>
    <m/>
    <x v="7"/>
    <x v="16"/>
    <x v="1"/>
    <n v="415.3"/>
    <n v="25"/>
    <n v="140.80000000000001"/>
    <n v="370.8"/>
    <n v="25"/>
    <n v="132.6"/>
    <m/>
    <m/>
    <x v="1"/>
    <n v="365"/>
    <n v="365"/>
  </r>
  <r>
    <x v="26"/>
    <n v="2010"/>
    <s v="Comprehensive nursing intervention （treatment）"/>
    <x v="3"/>
    <s v="Individual-based interventions"/>
    <s v="China"/>
    <s v="Hospital "/>
    <s v="Alzheimer's Disease"/>
    <s v="Dementia"/>
    <s v="Not specified"/>
    <s v="No info. "/>
    <s v="Some concerns"/>
    <s v="some concerns"/>
    <s v="low risk"/>
    <s v="some concerns"/>
    <s v="some concerns"/>
    <s v="some concerns"/>
    <m/>
    <m/>
    <m/>
    <m/>
    <m/>
    <m/>
    <s v="Comprehensive nursing intervention (home visit and health education)for a year."/>
    <m/>
    <m/>
    <m/>
    <s v="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_x000a_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_x000a__x000a_"/>
    <m/>
    <m/>
    <m/>
    <m/>
    <m/>
    <s v="Multicomponent"/>
    <m/>
    <x v="7"/>
    <x v="16"/>
    <x v="1"/>
    <n v="431.4"/>
    <n v="25"/>
    <n v="126.5"/>
    <n v="524.70000000000005"/>
    <n v="25"/>
    <n v="128.4"/>
    <m/>
    <m/>
    <x v="1"/>
    <n v="365"/>
    <n v="365"/>
  </r>
  <r>
    <x v="27"/>
    <m/>
    <m/>
    <x v="4"/>
    <m/>
    <m/>
    <m/>
    <m/>
    <m/>
    <m/>
    <m/>
    <m/>
    <m/>
    <m/>
    <m/>
    <m/>
    <m/>
    <m/>
    <m/>
    <m/>
    <m/>
    <m/>
    <m/>
    <m/>
    <m/>
    <m/>
    <m/>
    <m/>
    <m/>
    <m/>
    <m/>
    <m/>
    <m/>
    <m/>
    <m/>
    <x v="16"/>
    <x v="28"/>
    <x v="4"/>
    <m/>
    <m/>
    <m/>
    <m/>
    <m/>
    <m/>
    <m/>
    <m/>
    <x v="26"/>
    <m/>
    <m/>
  </r>
  <r>
    <x v="27"/>
    <m/>
    <m/>
    <x v="4"/>
    <m/>
    <m/>
    <m/>
    <m/>
    <m/>
    <m/>
    <m/>
    <m/>
    <m/>
    <m/>
    <m/>
    <m/>
    <m/>
    <m/>
    <m/>
    <m/>
    <m/>
    <m/>
    <m/>
    <m/>
    <m/>
    <m/>
    <m/>
    <m/>
    <m/>
    <m/>
    <m/>
    <m/>
    <m/>
    <m/>
    <m/>
    <x v="16"/>
    <x v="28"/>
    <x v="4"/>
    <m/>
    <m/>
    <m/>
    <m/>
    <m/>
    <m/>
    <m/>
    <m/>
    <x v="2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FA918-1E7D-EE47-8BA1-4FAE74DEAA1A}"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34" firstHeaderRow="1" firstDataRow="2" firstDataCol="1"/>
  <pivotFields count="49">
    <pivotField axis="axisRow" showAll="0">
      <items count="31">
        <item sd="0" x="0"/>
        <item sd="0" x="1"/>
        <item sd="0" x="2"/>
        <item sd="0" x="3"/>
        <item sd="0" x="4"/>
        <item sd="0" x="5"/>
        <item sd="0" x="6"/>
        <item m="1" x="28"/>
        <item sd="0" x="7"/>
        <item sd="0" x="8"/>
        <item sd="0" x="9"/>
        <item sd="0" x="10"/>
        <item sd="0" x="11"/>
        <item sd="0" x="12"/>
        <item sd="0" x="13"/>
        <item sd="0" x="14"/>
        <item sd="0" x="15"/>
        <item sd="0" x="16"/>
        <item sd="0" x="17"/>
        <item sd="0" x="18"/>
        <item sd="0" x="19"/>
        <item sd="0" m="1" x="29"/>
        <item sd="0" x="20"/>
        <item sd="0" x="21"/>
        <item sd="0" x="22"/>
        <item sd="0" x="23"/>
        <item sd="0" x="24"/>
        <item sd="0" x="25"/>
        <item sd="0" x="26"/>
        <item x="27"/>
        <item t="default" sd="0"/>
      </items>
    </pivotField>
    <pivotField showAll="0"/>
    <pivotField showAll="0"/>
    <pivotField axis="axisCol"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sd="0" x="4"/>
        <item x="0"/>
        <item sd="0" x="5"/>
        <item sd="0" x="8"/>
        <item sd="0" x="6"/>
        <item sd="0" x="9"/>
        <item sd="0" x="14"/>
        <item sd="0" x="10"/>
        <item m="1" x="17"/>
        <item sd="0" x="12"/>
        <item sd="0" x="11"/>
        <item sd="0" x="13"/>
        <item sd="0" x="1"/>
        <item sd="0" x="15"/>
        <item sd="0" x="2"/>
        <item sd="0" x="3"/>
        <item sd="0" x="7"/>
        <item sd="0" x="16"/>
        <item t="default" sd="0"/>
      </items>
    </pivotField>
    <pivotField axis="axisRow" showAll="0">
      <items count="30">
        <item sd="0" x="1"/>
        <item x="21"/>
        <item sd="0" x="22"/>
        <item sd="0" x="3"/>
        <item x="13"/>
        <item sd="0" x="19"/>
        <item sd="0" x="10"/>
        <item sd="0" x="20"/>
        <item x="4"/>
        <item sd="0" x="15"/>
        <item sd="0" x="26"/>
        <item sd="0" x="12"/>
        <item sd="0" x="2"/>
        <item sd="0" x="7"/>
        <item sd="0" x="8"/>
        <item sd="0" x="11"/>
        <item sd="0" x="17"/>
        <item sd="0" x="25"/>
        <item x="14"/>
        <item sd="0" x="16"/>
        <item sd="0" x="23"/>
        <item sd="0" x="24"/>
        <item x="27"/>
        <item sd="0" x="9"/>
        <item sd="0" x="18"/>
        <item x="5"/>
        <item sd="0" x="6"/>
        <item sd="0" x="0"/>
        <item x="28"/>
        <item t="default" sd="0"/>
      </items>
    </pivotField>
    <pivotField axis="axisRow" showAll="0">
      <items count="6">
        <item x="3"/>
        <item x="2"/>
        <item x="1"/>
        <item x="0"/>
        <item x="4"/>
        <item t="default"/>
      </items>
    </pivotField>
    <pivotField showAll="0"/>
    <pivotField showAll="0"/>
    <pivotField showAll="0"/>
    <pivotField showAll="0"/>
    <pivotField dataField="1" showAll="0"/>
    <pivotField showAll="0"/>
    <pivotField showAll="0"/>
    <pivotField showAll="0"/>
    <pivotField axis="axisRow" showAll="0">
      <items count="29">
        <item x="3"/>
        <item x="23"/>
        <item x="24"/>
        <item sd="0" x="11"/>
        <item x="1"/>
        <item x="20"/>
        <item x="8"/>
        <item x="22"/>
        <item sd="0" x="13"/>
        <item x="9"/>
        <item sd="0" x="16"/>
        <item x="5"/>
        <item x="25"/>
        <item x="15"/>
        <item x="19"/>
        <item x="0"/>
        <item x="18"/>
        <item x="4"/>
        <item x="6"/>
        <item x="2"/>
        <item x="10"/>
        <item m="1" x="27"/>
        <item sd="0" x="12"/>
        <item sd="0" x="14"/>
        <item x="7"/>
        <item x="17"/>
        <item x="21"/>
        <item x="26"/>
        <item t="default"/>
      </items>
    </pivotField>
    <pivotField showAll="0"/>
    <pivotField showAll="0"/>
  </pivotFields>
  <rowFields count="5">
    <field x="35"/>
    <field x="0"/>
    <field x="46"/>
    <field x="36"/>
    <field x="37"/>
  </rowFields>
  <rowItems count="30">
    <i>
      <x/>
    </i>
    <i>
      <x v="1"/>
    </i>
    <i r="1">
      <x/>
    </i>
    <i r="1">
      <x v="3"/>
    </i>
    <i r="1">
      <x v="4"/>
    </i>
    <i r="1">
      <x v="5"/>
    </i>
    <i r="1">
      <x v="8"/>
    </i>
    <i r="1">
      <x v="9"/>
    </i>
    <i r="1">
      <x v="10"/>
    </i>
    <i r="1">
      <x v="11"/>
    </i>
    <i r="1">
      <x v="13"/>
    </i>
    <i r="1">
      <x v="16"/>
    </i>
    <i r="1">
      <x v="17"/>
    </i>
    <i r="1">
      <x v="22"/>
    </i>
    <i>
      <x v="2"/>
    </i>
    <i>
      <x v="3"/>
    </i>
    <i>
      <x v="4"/>
    </i>
    <i>
      <x v="5"/>
    </i>
    <i>
      <x v="6"/>
    </i>
    <i>
      <x v="7"/>
    </i>
    <i>
      <x v="9"/>
    </i>
    <i>
      <x v="10"/>
    </i>
    <i>
      <x v="11"/>
    </i>
    <i>
      <x v="12"/>
    </i>
    <i>
      <x v="13"/>
    </i>
    <i>
      <x v="14"/>
    </i>
    <i>
      <x v="15"/>
    </i>
    <i>
      <x v="16"/>
    </i>
    <i>
      <x v="17"/>
    </i>
    <i t="grand">
      <x/>
    </i>
  </rowItems>
  <colFields count="1">
    <field x="3"/>
  </colFields>
  <colItems count="6">
    <i>
      <x/>
    </i>
    <i>
      <x v="1"/>
    </i>
    <i>
      <x v="2"/>
    </i>
    <i>
      <x v="3"/>
    </i>
    <i>
      <x v="4"/>
    </i>
    <i t="grand">
      <x/>
    </i>
  </colItems>
  <dataFields count="1">
    <dataField name="Sum of Post_N" fld="4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99"/>
  <sheetViews>
    <sheetView workbookViewId="0">
      <pane xSplit="5" ySplit="1" topLeftCell="Z92" activePane="bottomRight" state="frozen"/>
      <selection pane="topRight" activeCell="F1" sqref="F1"/>
      <selection pane="bottomLeft" activeCell="A2" sqref="A2"/>
      <selection pane="bottomRight" activeCell="A95" sqref="A95"/>
    </sheetView>
  </sheetViews>
  <sheetFormatPr baseColWidth="10" defaultRowHeight="15" x14ac:dyDescent="0.2"/>
  <cols>
    <col min="5" max="5" width="24.1640625" customWidth="1"/>
    <col min="36" max="38" width="10.83203125" style="3"/>
    <col min="39" max="41" width="10.83203125" style="4"/>
    <col min="42" max="44" width="10.83203125" style="5"/>
    <col min="47" max="47" width="10.83203125" style="3"/>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3" t="s">
        <v>35</v>
      </c>
      <c r="AK1" s="3" t="s">
        <v>36</v>
      </c>
      <c r="AL1" s="3" t="s">
        <v>37</v>
      </c>
      <c r="AM1" s="4" t="s">
        <v>38</v>
      </c>
      <c r="AN1" s="4" t="s">
        <v>39</v>
      </c>
      <c r="AO1" s="4" t="s">
        <v>40</v>
      </c>
      <c r="AP1" s="5" t="s">
        <v>41</v>
      </c>
      <c r="AQ1" s="5" t="s">
        <v>42</v>
      </c>
      <c r="AR1" s="5" t="s">
        <v>43</v>
      </c>
      <c r="AS1" t="s">
        <v>44</v>
      </c>
      <c r="AT1" t="s">
        <v>45</v>
      </c>
      <c r="AU1" s="3" t="s">
        <v>46</v>
      </c>
      <c r="AV1" t="s">
        <v>686</v>
      </c>
      <c r="AW1" t="s">
        <v>689</v>
      </c>
    </row>
    <row r="2" spans="1:49" hidden="1" x14ac:dyDescent="0.2">
      <c r="A2" t="s">
        <v>47</v>
      </c>
      <c r="B2">
        <v>2014</v>
      </c>
      <c r="C2" t="s">
        <v>48</v>
      </c>
      <c r="D2" t="s">
        <v>49</v>
      </c>
      <c r="E2" t="s">
        <v>50</v>
      </c>
      <c r="F2" t="s">
        <v>51</v>
      </c>
      <c r="G2" t="s">
        <v>52</v>
      </c>
      <c r="H2" t="s">
        <v>53</v>
      </c>
      <c r="I2" t="s">
        <v>54</v>
      </c>
      <c r="J2" t="s">
        <v>55</v>
      </c>
      <c r="K2" t="s">
        <v>56</v>
      </c>
      <c r="L2" t="s">
        <v>57</v>
      </c>
      <c r="M2" t="s">
        <v>58</v>
      </c>
      <c r="N2" t="s">
        <v>57</v>
      </c>
      <c r="O2" t="s">
        <v>57</v>
      </c>
      <c r="P2" t="s">
        <v>58</v>
      </c>
      <c r="Q2" t="s">
        <v>57</v>
      </c>
      <c r="T2" t="s">
        <v>59</v>
      </c>
      <c r="U2" t="s">
        <v>60</v>
      </c>
      <c r="V2" t="s">
        <v>61</v>
      </c>
      <c r="X2" t="s">
        <v>62</v>
      </c>
      <c r="AD2" t="s">
        <v>63</v>
      </c>
      <c r="AH2" t="s">
        <v>64</v>
      </c>
      <c r="AJ2" s="3" t="s">
        <v>65</v>
      </c>
      <c r="AK2" s="3" t="s">
        <v>66</v>
      </c>
      <c r="AL2" s="3" t="s">
        <v>67</v>
      </c>
      <c r="AM2" s="4" t="s">
        <v>68</v>
      </c>
      <c r="AN2" s="4" t="s">
        <v>69</v>
      </c>
      <c r="AO2" s="4" t="s">
        <v>70</v>
      </c>
      <c r="AP2" s="5" t="s">
        <v>71</v>
      </c>
      <c r="AQ2" s="5" t="s">
        <v>69</v>
      </c>
      <c r="AR2" s="5" t="s">
        <v>72</v>
      </c>
      <c r="AU2" s="3" t="s">
        <v>679</v>
      </c>
      <c r="AV2">
        <v>56</v>
      </c>
      <c r="AW2">
        <v>56</v>
      </c>
    </row>
    <row r="3" spans="1:49" hidden="1" x14ac:dyDescent="0.2">
      <c r="A3" t="s">
        <v>47</v>
      </c>
      <c r="B3">
        <v>2014</v>
      </c>
      <c r="C3" t="s">
        <v>74</v>
      </c>
      <c r="D3" t="s">
        <v>49</v>
      </c>
      <c r="E3" t="s">
        <v>75</v>
      </c>
      <c r="F3" t="s">
        <v>51</v>
      </c>
      <c r="G3" t="s">
        <v>52</v>
      </c>
      <c r="H3" t="s">
        <v>53</v>
      </c>
      <c r="I3" t="s">
        <v>54</v>
      </c>
      <c r="J3" t="s">
        <v>55</v>
      </c>
      <c r="K3" t="s">
        <v>56</v>
      </c>
      <c r="L3" t="s">
        <v>57</v>
      </c>
      <c r="M3" t="s">
        <v>58</v>
      </c>
      <c r="N3" t="s">
        <v>57</v>
      </c>
      <c r="O3" t="s">
        <v>57</v>
      </c>
      <c r="P3" t="s">
        <v>58</v>
      </c>
      <c r="Q3" t="s">
        <v>57</v>
      </c>
      <c r="T3" t="s">
        <v>76</v>
      </c>
      <c r="U3" t="s">
        <v>77</v>
      </c>
      <c r="V3" t="s">
        <v>78</v>
      </c>
      <c r="X3" t="s">
        <v>79</v>
      </c>
      <c r="AD3" t="s">
        <v>80</v>
      </c>
      <c r="AH3" t="s">
        <v>64</v>
      </c>
      <c r="AJ3" s="3" t="s">
        <v>65</v>
      </c>
      <c r="AK3" s="3" t="s">
        <v>66</v>
      </c>
      <c r="AL3" s="3" t="s">
        <v>67</v>
      </c>
      <c r="AM3" s="4" t="s">
        <v>81</v>
      </c>
      <c r="AN3" s="4" t="s">
        <v>82</v>
      </c>
      <c r="AO3" s="4" t="s">
        <v>83</v>
      </c>
      <c r="AP3" s="5" t="s">
        <v>84</v>
      </c>
      <c r="AQ3" s="5" t="s">
        <v>82</v>
      </c>
      <c r="AR3" s="5" t="s">
        <v>85</v>
      </c>
      <c r="AU3" s="3" t="s">
        <v>679</v>
      </c>
      <c r="AV3">
        <v>56</v>
      </c>
      <c r="AW3">
        <v>56</v>
      </c>
    </row>
    <row r="4" spans="1:49" hidden="1" x14ac:dyDescent="0.2">
      <c r="A4" t="s">
        <v>86</v>
      </c>
      <c r="B4">
        <v>2008</v>
      </c>
      <c r="C4" t="s">
        <v>87</v>
      </c>
      <c r="D4" t="s">
        <v>88</v>
      </c>
      <c r="E4" t="s">
        <v>88</v>
      </c>
      <c r="F4" t="s">
        <v>89</v>
      </c>
      <c r="G4" t="s">
        <v>90</v>
      </c>
      <c r="H4" t="s">
        <v>91</v>
      </c>
      <c r="I4" t="s">
        <v>54</v>
      </c>
      <c r="J4" t="s">
        <v>92</v>
      </c>
      <c r="K4" t="s">
        <v>56</v>
      </c>
      <c r="L4" t="s">
        <v>93</v>
      </c>
      <c r="M4" t="s">
        <v>58</v>
      </c>
      <c r="N4" t="s">
        <v>93</v>
      </c>
      <c r="O4" t="s">
        <v>57</v>
      </c>
      <c r="P4" t="s">
        <v>58</v>
      </c>
      <c r="Q4" t="s">
        <v>57</v>
      </c>
      <c r="R4" t="s">
        <v>94</v>
      </c>
      <c r="S4" t="s">
        <v>95</v>
      </c>
      <c r="T4" t="s">
        <v>96</v>
      </c>
      <c r="U4" t="s">
        <v>97</v>
      </c>
      <c r="X4" t="s">
        <v>98</v>
      </c>
      <c r="AB4" t="s">
        <v>99</v>
      </c>
      <c r="AH4" t="s">
        <v>100</v>
      </c>
      <c r="AJ4" s="3" t="s">
        <v>65</v>
      </c>
      <c r="AK4" s="3" t="s">
        <v>66</v>
      </c>
      <c r="AL4" s="3" t="s">
        <v>101</v>
      </c>
      <c r="AQ4" s="5" t="s">
        <v>102</v>
      </c>
      <c r="AU4" s="3" t="s">
        <v>103</v>
      </c>
      <c r="AV4">
        <v>180</v>
      </c>
      <c r="AW4">
        <v>180</v>
      </c>
    </row>
    <row r="5" spans="1:49" hidden="1" x14ac:dyDescent="0.2">
      <c r="A5" t="s">
        <v>86</v>
      </c>
      <c r="B5">
        <v>2008</v>
      </c>
      <c r="C5" t="s">
        <v>104</v>
      </c>
      <c r="D5" t="s">
        <v>105</v>
      </c>
      <c r="E5" t="s">
        <v>106</v>
      </c>
      <c r="F5" t="s">
        <v>89</v>
      </c>
      <c r="G5" t="s">
        <v>90</v>
      </c>
      <c r="H5" t="s">
        <v>91</v>
      </c>
      <c r="I5" t="s">
        <v>54</v>
      </c>
      <c r="J5" t="s">
        <v>92</v>
      </c>
      <c r="K5" t="s">
        <v>56</v>
      </c>
      <c r="L5" t="s">
        <v>93</v>
      </c>
      <c r="M5" t="s">
        <v>58</v>
      </c>
      <c r="N5" t="s">
        <v>93</v>
      </c>
      <c r="O5" t="s">
        <v>57</v>
      </c>
      <c r="P5" t="s">
        <v>58</v>
      </c>
      <c r="Q5" t="s">
        <v>57</v>
      </c>
      <c r="R5" t="s">
        <v>107</v>
      </c>
      <c r="S5" t="s">
        <v>108</v>
      </c>
      <c r="T5" t="s">
        <v>109</v>
      </c>
      <c r="U5" t="s">
        <v>110</v>
      </c>
      <c r="X5" t="s">
        <v>111</v>
      </c>
      <c r="AB5" t="s">
        <v>112</v>
      </c>
      <c r="AH5" t="s">
        <v>64</v>
      </c>
      <c r="AJ5" s="3" t="s">
        <v>65</v>
      </c>
      <c r="AK5" s="3" t="s">
        <v>66</v>
      </c>
      <c r="AL5" s="3" t="s">
        <v>101</v>
      </c>
      <c r="AP5" s="5" t="s">
        <v>113</v>
      </c>
      <c r="AQ5" s="5" t="s">
        <v>114</v>
      </c>
      <c r="AR5" s="5">
        <f>SQRT(AQ5+AQ4)*(AT5-AS5)/(2*TINV(1-0.95,AQ5+AQ4-1))</f>
        <v>13.39209897120349</v>
      </c>
      <c r="AS5" t="s">
        <v>115</v>
      </c>
      <c r="AT5" t="s">
        <v>116</v>
      </c>
      <c r="AU5" s="3" t="s">
        <v>103</v>
      </c>
      <c r="AV5">
        <v>180</v>
      </c>
      <c r="AW5">
        <v>180</v>
      </c>
    </row>
    <row r="6" spans="1:49" hidden="1" x14ac:dyDescent="0.2">
      <c r="A6" t="s">
        <v>117</v>
      </c>
      <c r="B6">
        <v>2011</v>
      </c>
      <c r="C6" t="s">
        <v>118</v>
      </c>
      <c r="D6" t="s">
        <v>105</v>
      </c>
      <c r="E6" t="s">
        <v>106</v>
      </c>
      <c r="F6" t="s">
        <v>119</v>
      </c>
      <c r="G6" t="s">
        <v>120</v>
      </c>
      <c r="H6" t="s">
        <v>91</v>
      </c>
      <c r="I6" t="s">
        <v>54</v>
      </c>
      <c r="J6" t="s">
        <v>121</v>
      </c>
      <c r="K6" t="s">
        <v>56</v>
      </c>
      <c r="L6" t="s">
        <v>93</v>
      </c>
      <c r="M6" t="s">
        <v>58</v>
      </c>
      <c r="N6" t="s">
        <v>93</v>
      </c>
      <c r="O6" t="s">
        <v>57</v>
      </c>
      <c r="P6" t="s">
        <v>58</v>
      </c>
      <c r="Q6" t="s">
        <v>57</v>
      </c>
      <c r="R6" t="s">
        <v>122</v>
      </c>
      <c r="S6" t="s">
        <v>123</v>
      </c>
      <c r="T6" t="s">
        <v>124</v>
      </c>
      <c r="U6" t="s">
        <v>125</v>
      </c>
      <c r="X6" t="s">
        <v>126</v>
      </c>
      <c r="AB6" t="s">
        <v>127</v>
      </c>
      <c r="AH6" t="s">
        <v>64</v>
      </c>
      <c r="AJ6" s="3" t="s">
        <v>65</v>
      </c>
      <c r="AK6" s="3" t="s">
        <v>66</v>
      </c>
      <c r="AL6" s="3" t="s">
        <v>101</v>
      </c>
      <c r="AP6" s="5" t="s">
        <v>158</v>
      </c>
      <c r="AQ6" s="5" t="s">
        <v>131</v>
      </c>
      <c r="AR6" s="5">
        <f>SQRT(AQ6+AQ7)*(AT6-AS6)*0.5/TINV(1-0.95,AQ6+AQ7-1)</f>
        <v>1.9043938370706426</v>
      </c>
      <c r="AS6" t="s">
        <v>159</v>
      </c>
      <c r="AT6" t="s">
        <v>160</v>
      </c>
      <c r="AU6" s="3" t="s">
        <v>690</v>
      </c>
      <c r="AV6">
        <v>180</v>
      </c>
      <c r="AW6">
        <v>35</v>
      </c>
    </row>
    <row r="7" spans="1:49" hidden="1" x14ac:dyDescent="0.2">
      <c r="A7" t="s">
        <v>117</v>
      </c>
      <c r="B7">
        <v>2011</v>
      </c>
      <c r="C7" t="s">
        <v>134</v>
      </c>
      <c r="D7" t="s">
        <v>88</v>
      </c>
      <c r="E7" t="s">
        <v>88</v>
      </c>
      <c r="F7" t="s">
        <v>119</v>
      </c>
      <c r="G7" t="s">
        <v>120</v>
      </c>
      <c r="H7" t="s">
        <v>91</v>
      </c>
      <c r="I7" t="s">
        <v>54</v>
      </c>
      <c r="J7" t="s">
        <v>121</v>
      </c>
      <c r="K7" t="s">
        <v>56</v>
      </c>
      <c r="L7" t="s">
        <v>93</v>
      </c>
      <c r="M7" t="s">
        <v>58</v>
      </c>
      <c r="N7" t="s">
        <v>93</v>
      </c>
      <c r="O7" t="s">
        <v>57</v>
      </c>
      <c r="P7" t="s">
        <v>58</v>
      </c>
      <c r="Q7" t="s">
        <v>57</v>
      </c>
      <c r="R7" t="s">
        <v>135</v>
      </c>
      <c r="S7" t="s">
        <v>136</v>
      </c>
      <c r="T7" t="s">
        <v>137</v>
      </c>
      <c r="U7" t="s">
        <v>138</v>
      </c>
      <c r="X7" t="s">
        <v>139</v>
      </c>
      <c r="AB7" t="s">
        <v>140</v>
      </c>
      <c r="AH7" t="s">
        <v>100</v>
      </c>
      <c r="AJ7" s="3" t="s">
        <v>65</v>
      </c>
      <c r="AK7" s="3" t="s">
        <v>66</v>
      </c>
      <c r="AL7" s="3" t="s">
        <v>101</v>
      </c>
      <c r="AQ7" s="5" t="s">
        <v>141</v>
      </c>
      <c r="AU7" s="3" t="s">
        <v>690</v>
      </c>
      <c r="AV7">
        <v>180</v>
      </c>
      <c r="AW7">
        <v>35</v>
      </c>
    </row>
    <row r="8" spans="1:49" hidden="1" x14ac:dyDescent="0.2">
      <c r="A8" t="s">
        <v>117</v>
      </c>
      <c r="B8">
        <v>2011</v>
      </c>
      <c r="C8" t="s">
        <v>118</v>
      </c>
      <c r="D8" t="s">
        <v>105</v>
      </c>
      <c r="E8" t="s">
        <v>106</v>
      </c>
      <c r="F8" t="s">
        <v>119</v>
      </c>
      <c r="G8" t="s">
        <v>120</v>
      </c>
      <c r="H8" t="s">
        <v>91</v>
      </c>
      <c r="I8" t="s">
        <v>54</v>
      </c>
      <c r="J8" t="s">
        <v>121</v>
      </c>
      <c r="K8" t="s">
        <v>56</v>
      </c>
      <c r="L8" t="s">
        <v>93</v>
      </c>
      <c r="M8" t="s">
        <v>58</v>
      </c>
      <c r="N8" t="s">
        <v>93</v>
      </c>
      <c r="O8" t="s">
        <v>57</v>
      </c>
      <c r="P8" t="s">
        <v>58</v>
      </c>
      <c r="Q8" t="s">
        <v>57</v>
      </c>
      <c r="R8" t="s">
        <v>122</v>
      </c>
      <c r="S8" t="s">
        <v>123</v>
      </c>
      <c r="T8" t="s">
        <v>124</v>
      </c>
      <c r="U8" t="s">
        <v>125</v>
      </c>
      <c r="X8" t="s">
        <v>126</v>
      </c>
      <c r="AB8" t="s">
        <v>127</v>
      </c>
      <c r="AH8" t="s">
        <v>64</v>
      </c>
      <c r="AJ8" s="3" t="s">
        <v>128</v>
      </c>
      <c r="AK8" s="3" t="s">
        <v>129</v>
      </c>
      <c r="AL8" s="3" t="s">
        <v>101</v>
      </c>
      <c r="AP8" s="5" t="s">
        <v>130</v>
      </c>
      <c r="AQ8" s="5" t="s">
        <v>131</v>
      </c>
      <c r="AR8" s="5">
        <f t="shared" ref="AR8" si="0">SQRT(AQ8+AQ9)*(AT8-AS8)*0.5/TINV(1-0.95,AQ8+AQ9-1)</f>
        <v>2.0910991152148237</v>
      </c>
      <c r="AS8" t="s">
        <v>132</v>
      </c>
      <c r="AT8" t="s">
        <v>133</v>
      </c>
      <c r="AU8" s="3" t="s">
        <v>690</v>
      </c>
      <c r="AV8">
        <v>180</v>
      </c>
      <c r="AW8">
        <v>35</v>
      </c>
    </row>
    <row r="9" spans="1:49" hidden="1" x14ac:dyDescent="0.2">
      <c r="A9" t="s">
        <v>117</v>
      </c>
      <c r="B9">
        <v>2011</v>
      </c>
      <c r="C9" t="s">
        <v>134</v>
      </c>
      <c r="D9" t="s">
        <v>88</v>
      </c>
      <c r="E9" t="s">
        <v>88</v>
      </c>
      <c r="F9" t="s">
        <v>119</v>
      </c>
      <c r="G9" t="s">
        <v>120</v>
      </c>
      <c r="H9" t="s">
        <v>91</v>
      </c>
      <c r="I9" t="s">
        <v>54</v>
      </c>
      <c r="J9" t="s">
        <v>121</v>
      </c>
      <c r="K9" t="s">
        <v>56</v>
      </c>
      <c r="L9" t="s">
        <v>93</v>
      </c>
      <c r="M9" t="s">
        <v>58</v>
      </c>
      <c r="N9" t="s">
        <v>93</v>
      </c>
      <c r="O9" t="s">
        <v>57</v>
      </c>
      <c r="P9" t="s">
        <v>58</v>
      </c>
      <c r="Q9" t="s">
        <v>57</v>
      </c>
      <c r="R9" t="s">
        <v>135</v>
      </c>
      <c r="S9" t="s">
        <v>136</v>
      </c>
      <c r="T9" t="s">
        <v>137</v>
      </c>
      <c r="U9" t="s">
        <v>138</v>
      </c>
      <c r="X9" t="s">
        <v>139</v>
      </c>
      <c r="AB9" t="s">
        <v>140</v>
      </c>
      <c r="AH9" t="s">
        <v>100</v>
      </c>
      <c r="AJ9" s="3" t="s">
        <v>128</v>
      </c>
      <c r="AK9" s="3" t="s">
        <v>129</v>
      </c>
      <c r="AL9" s="3" t="s">
        <v>101</v>
      </c>
      <c r="AQ9" s="5" t="s">
        <v>141</v>
      </c>
      <c r="AU9" s="3" t="s">
        <v>690</v>
      </c>
      <c r="AV9">
        <v>180</v>
      </c>
      <c r="AW9">
        <v>35</v>
      </c>
    </row>
    <row r="10" spans="1:49" hidden="1" x14ac:dyDescent="0.2">
      <c r="A10" t="s">
        <v>117</v>
      </c>
      <c r="B10">
        <v>2011</v>
      </c>
      <c r="C10" t="s">
        <v>118</v>
      </c>
      <c r="D10" t="s">
        <v>105</v>
      </c>
      <c r="E10" t="s">
        <v>106</v>
      </c>
      <c r="F10" t="s">
        <v>119</v>
      </c>
      <c r="G10" t="s">
        <v>120</v>
      </c>
      <c r="H10" t="s">
        <v>91</v>
      </c>
      <c r="I10" t="s">
        <v>54</v>
      </c>
      <c r="J10" t="s">
        <v>121</v>
      </c>
      <c r="K10" t="s">
        <v>56</v>
      </c>
      <c r="L10" t="s">
        <v>93</v>
      </c>
      <c r="M10" t="s">
        <v>58</v>
      </c>
      <c r="N10" t="s">
        <v>93</v>
      </c>
      <c r="O10" t="s">
        <v>57</v>
      </c>
      <c r="P10" t="s">
        <v>58</v>
      </c>
      <c r="Q10" t="s">
        <v>57</v>
      </c>
      <c r="R10" t="s">
        <v>122</v>
      </c>
      <c r="S10" t="s">
        <v>123</v>
      </c>
      <c r="T10" t="s">
        <v>124</v>
      </c>
      <c r="U10" t="s">
        <v>125</v>
      </c>
      <c r="X10" t="s">
        <v>126</v>
      </c>
      <c r="AB10" t="s">
        <v>127</v>
      </c>
      <c r="AH10" t="s">
        <v>64</v>
      </c>
      <c r="AJ10" s="3" t="s">
        <v>142</v>
      </c>
      <c r="AK10" s="3" t="s">
        <v>143</v>
      </c>
      <c r="AL10" s="3" t="s">
        <v>101</v>
      </c>
      <c r="AP10" s="5" t="s">
        <v>144</v>
      </c>
      <c r="AQ10" s="5" t="s">
        <v>131</v>
      </c>
      <c r="AR10" s="5">
        <f t="shared" ref="AR10" si="1">SQRT(AQ10+AQ11)*(AT10-AS10)*0.5/TINV(1-0.95,AQ10+AQ11-1)</f>
        <v>1.9604054205138968</v>
      </c>
      <c r="AS10" t="s">
        <v>145</v>
      </c>
      <c r="AT10" t="s">
        <v>146</v>
      </c>
      <c r="AU10" s="3" t="s">
        <v>690</v>
      </c>
      <c r="AV10">
        <v>180</v>
      </c>
      <c r="AW10">
        <v>35</v>
      </c>
    </row>
    <row r="11" spans="1:49" hidden="1" x14ac:dyDescent="0.2">
      <c r="A11" t="s">
        <v>117</v>
      </c>
      <c r="B11">
        <v>2011</v>
      </c>
      <c r="C11" t="s">
        <v>134</v>
      </c>
      <c r="D11" t="s">
        <v>88</v>
      </c>
      <c r="E11" t="s">
        <v>88</v>
      </c>
      <c r="F11" t="s">
        <v>119</v>
      </c>
      <c r="G11" t="s">
        <v>120</v>
      </c>
      <c r="H11" t="s">
        <v>91</v>
      </c>
      <c r="I11" t="s">
        <v>54</v>
      </c>
      <c r="J11" t="s">
        <v>121</v>
      </c>
      <c r="K11" t="s">
        <v>56</v>
      </c>
      <c r="L11" t="s">
        <v>93</v>
      </c>
      <c r="M11" t="s">
        <v>58</v>
      </c>
      <c r="N11" t="s">
        <v>93</v>
      </c>
      <c r="O11" t="s">
        <v>57</v>
      </c>
      <c r="P11" t="s">
        <v>58</v>
      </c>
      <c r="Q11" t="s">
        <v>57</v>
      </c>
      <c r="R11" t="s">
        <v>135</v>
      </c>
      <c r="S11" t="s">
        <v>136</v>
      </c>
      <c r="T11" t="s">
        <v>137</v>
      </c>
      <c r="U11" t="s">
        <v>138</v>
      </c>
      <c r="X11" t="s">
        <v>139</v>
      </c>
      <c r="AB11" t="s">
        <v>140</v>
      </c>
      <c r="AH11" t="s">
        <v>100</v>
      </c>
      <c r="AJ11" s="3" t="s">
        <v>142</v>
      </c>
      <c r="AK11" s="3" t="s">
        <v>143</v>
      </c>
      <c r="AL11" s="3" t="s">
        <v>101</v>
      </c>
      <c r="AQ11" s="5" t="s">
        <v>141</v>
      </c>
      <c r="AU11" s="3" t="s">
        <v>690</v>
      </c>
      <c r="AV11">
        <v>180</v>
      </c>
      <c r="AW11">
        <v>35</v>
      </c>
    </row>
    <row r="12" spans="1:49" hidden="1" x14ac:dyDescent="0.2">
      <c r="A12" t="s">
        <v>117</v>
      </c>
      <c r="B12">
        <v>2011</v>
      </c>
      <c r="C12" t="s">
        <v>118</v>
      </c>
      <c r="D12" t="s">
        <v>105</v>
      </c>
      <c r="E12" t="s">
        <v>106</v>
      </c>
      <c r="F12" t="s">
        <v>119</v>
      </c>
      <c r="G12" t="s">
        <v>120</v>
      </c>
      <c r="H12" t="s">
        <v>91</v>
      </c>
      <c r="I12" t="s">
        <v>54</v>
      </c>
      <c r="J12" t="s">
        <v>121</v>
      </c>
      <c r="K12" t="s">
        <v>56</v>
      </c>
      <c r="L12" t="s">
        <v>93</v>
      </c>
      <c r="M12" t="s">
        <v>58</v>
      </c>
      <c r="N12" t="s">
        <v>93</v>
      </c>
      <c r="O12" t="s">
        <v>57</v>
      </c>
      <c r="P12" t="s">
        <v>58</v>
      </c>
      <c r="Q12" t="s">
        <v>57</v>
      </c>
      <c r="R12" t="s">
        <v>122</v>
      </c>
      <c r="S12" t="s">
        <v>123</v>
      </c>
      <c r="T12" t="s">
        <v>124</v>
      </c>
      <c r="U12" t="s">
        <v>125</v>
      </c>
      <c r="X12" t="s">
        <v>126</v>
      </c>
      <c r="AB12" t="s">
        <v>127</v>
      </c>
      <c r="AH12" t="s">
        <v>64</v>
      </c>
      <c r="AJ12" s="3" t="s">
        <v>165</v>
      </c>
      <c r="AK12" s="3" t="s">
        <v>166</v>
      </c>
      <c r="AL12" s="3" t="s">
        <v>101</v>
      </c>
      <c r="AP12" s="5" t="s">
        <v>167</v>
      </c>
      <c r="AQ12" s="5" t="s">
        <v>131</v>
      </c>
      <c r="AR12" s="5">
        <f t="shared" ref="AR12" si="2">SQRT(AQ12+AQ13)*(AT12-AS12)*0.5/TINV(1-0.95,AQ12+AQ13-1)</f>
        <v>2.12844017084366</v>
      </c>
      <c r="AS12" t="s">
        <v>153</v>
      </c>
      <c r="AT12" t="s">
        <v>133</v>
      </c>
      <c r="AU12" s="3" t="s">
        <v>690</v>
      </c>
      <c r="AV12">
        <v>180</v>
      </c>
      <c r="AW12">
        <v>35</v>
      </c>
    </row>
    <row r="13" spans="1:49" hidden="1" x14ac:dyDescent="0.2">
      <c r="A13" t="s">
        <v>117</v>
      </c>
      <c r="B13">
        <v>2011</v>
      </c>
      <c r="C13" t="s">
        <v>134</v>
      </c>
      <c r="D13" t="s">
        <v>88</v>
      </c>
      <c r="E13" t="s">
        <v>88</v>
      </c>
      <c r="F13" t="s">
        <v>119</v>
      </c>
      <c r="G13" t="s">
        <v>120</v>
      </c>
      <c r="H13" t="s">
        <v>91</v>
      </c>
      <c r="I13" t="s">
        <v>54</v>
      </c>
      <c r="J13" t="s">
        <v>121</v>
      </c>
      <c r="K13" t="s">
        <v>56</v>
      </c>
      <c r="L13" t="s">
        <v>93</v>
      </c>
      <c r="M13" t="s">
        <v>58</v>
      </c>
      <c r="N13" t="s">
        <v>93</v>
      </c>
      <c r="O13" t="s">
        <v>57</v>
      </c>
      <c r="P13" t="s">
        <v>58</v>
      </c>
      <c r="Q13" t="s">
        <v>57</v>
      </c>
      <c r="R13" t="s">
        <v>135</v>
      </c>
      <c r="S13" t="s">
        <v>136</v>
      </c>
      <c r="T13" t="s">
        <v>137</v>
      </c>
      <c r="U13" t="s">
        <v>138</v>
      </c>
      <c r="X13" t="s">
        <v>139</v>
      </c>
      <c r="AB13" t="s">
        <v>140</v>
      </c>
      <c r="AH13" t="s">
        <v>100</v>
      </c>
      <c r="AJ13" s="3" t="s">
        <v>165</v>
      </c>
      <c r="AK13" s="3" t="s">
        <v>166</v>
      </c>
      <c r="AL13" s="3" t="s">
        <v>101</v>
      </c>
      <c r="AQ13" s="5" t="s">
        <v>141</v>
      </c>
      <c r="AU13" s="3" t="s">
        <v>690</v>
      </c>
      <c r="AV13">
        <v>180</v>
      </c>
      <c r="AW13">
        <v>35</v>
      </c>
    </row>
    <row r="14" spans="1:49" hidden="1" x14ac:dyDescent="0.2">
      <c r="A14" t="s">
        <v>117</v>
      </c>
      <c r="B14">
        <v>2011</v>
      </c>
      <c r="C14" t="s">
        <v>118</v>
      </c>
      <c r="D14" t="s">
        <v>105</v>
      </c>
      <c r="E14" t="s">
        <v>106</v>
      </c>
      <c r="F14" t="s">
        <v>119</v>
      </c>
      <c r="G14" t="s">
        <v>120</v>
      </c>
      <c r="H14" t="s">
        <v>91</v>
      </c>
      <c r="I14" t="s">
        <v>54</v>
      </c>
      <c r="J14" t="s">
        <v>121</v>
      </c>
      <c r="K14" t="s">
        <v>56</v>
      </c>
      <c r="L14" t="s">
        <v>93</v>
      </c>
      <c r="M14" t="s">
        <v>58</v>
      </c>
      <c r="N14" t="s">
        <v>93</v>
      </c>
      <c r="O14" t="s">
        <v>57</v>
      </c>
      <c r="P14" t="s">
        <v>58</v>
      </c>
      <c r="Q14" t="s">
        <v>57</v>
      </c>
      <c r="R14" t="s">
        <v>122</v>
      </c>
      <c r="S14" t="s">
        <v>123</v>
      </c>
      <c r="T14" t="s">
        <v>124</v>
      </c>
      <c r="U14" t="s">
        <v>125</v>
      </c>
      <c r="X14" t="s">
        <v>126</v>
      </c>
      <c r="AB14" t="s">
        <v>127</v>
      </c>
      <c r="AH14" t="s">
        <v>64</v>
      </c>
      <c r="AJ14" s="3" t="s">
        <v>147</v>
      </c>
      <c r="AK14" s="3" t="s">
        <v>143</v>
      </c>
      <c r="AL14" s="3" t="s">
        <v>101</v>
      </c>
      <c r="AP14" s="5" t="s">
        <v>148</v>
      </c>
      <c r="AQ14" s="5" t="s">
        <v>131</v>
      </c>
      <c r="AR14" s="5">
        <f t="shared" ref="AR14" si="3">SQRT(AQ14+AQ15)*(AT14-AS14)*0.5/TINV(1-0.95,AQ14+AQ15-1)</f>
        <v>1.8483822536273884</v>
      </c>
      <c r="AS14" t="s">
        <v>149</v>
      </c>
      <c r="AT14" t="s">
        <v>150</v>
      </c>
      <c r="AU14" s="3" t="s">
        <v>690</v>
      </c>
      <c r="AV14">
        <v>180</v>
      </c>
      <c r="AW14">
        <v>35</v>
      </c>
    </row>
    <row r="15" spans="1:49" hidden="1" x14ac:dyDescent="0.2">
      <c r="A15" t="s">
        <v>117</v>
      </c>
      <c r="B15">
        <v>2011</v>
      </c>
      <c r="C15" t="s">
        <v>134</v>
      </c>
      <c r="D15" t="s">
        <v>88</v>
      </c>
      <c r="E15" t="s">
        <v>88</v>
      </c>
      <c r="F15" t="s">
        <v>119</v>
      </c>
      <c r="G15" t="s">
        <v>120</v>
      </c>
      <c r="H15" t="s">
        <v>91</v>
      </c>
      <c r="I15" t="s">
        <v>54</v>
      </c>
      <c r="J15" t="s">
        <v>121</v>
      </c>
      <c r="K15" t="s">
        <v>56</v>
      </c>
      <c r="L15" t="s">
        <v>93</v>
      </c>
      <c r="M15" t="s">
        <v>58</v>
      </c>
      <c r="N15" t="s">
        <v>93</v>
      </c>
      <c r="O15" t="s">
        <v>57</v>
      </c>
      <c r="P15" t="s">
        <v>58</v>
      </c>
      <c r="Q15" t="s">
        <v>57</v>
      </c>
      <c r="R15" t="s">
        <v>135</v>
      </c>
      <c r="S15" t="s">
        <v>136</v>
      </c>
      <c r="T15" t="s">
        <v>137</v>
      </c>
      <c r="U15" t="s">
        <v>138</v>
      </c>
      <c r="X15" t="s">
        <v>139</v>
      </c>
      <c r="AB15" t="s">
        <v>140</v>
      </c>
      <c r="AH15" t="s">
        <v>100</v>
      </c>
      <c r="AJ15" s="3" t="s">
        <v>147</v>
      </c>
      <c r="AK15" s="3" t="s">
        <v>143</v>
      </c>
      <c r="AL15" s="3" t="s">
        <v>101</v>
      </c>
      <c r="AQ15" s="5" t="s">
        <v>141</v>
      </c>
      <c r="AU15" s="3" t="s">
        <v>690</v>
      </c>
      <c r="AV15">
        <v>180</v>
      </c>
      <c r="AW15">
        <v>35</v>
      </c>
    </row>
    <row r="16" spans="1:49" hidden="1" x14ac:dyDescent="0.2">
      <c r="A16" t="s">
        <v>117</v>
      </c>
      <c r="B16">
        <v>2011</v>
      </c>
      <c r="C16" t="s">
        <v>118</v>
      </c>
      <c r="D16" t="s">
        <v>105</v>
      </c>
      <c r="E16" t="s">
        <v>106</v>
      </c>
      <c r="F16" t="s">
        <v>119</v>
      </c>
      <c r="G16" t="s">
        <v>120</v>
      </c>
      <c r="H16" t="s">
        <v>91</v>
      </c>
      <c r="I16" t="s">
        <v>54</v>
      </c>
      <c r="J16" t="s">
        <v>121</v>
      </c>
      <c r="K16" t="s">
        <v>56</v>
      </c>
      <c r="L16" t="s">
        <v>93</v>
      </c>
      <c r="M16" t="s">
        <v>58</v>
      </c>
      <c r="N16" t="s">
        <v>93</v>
      </c>
      <c r="O16" t="s">
        <v>57</v>
      </c>
      <c r="P16" t="s">
        <v>58</v>
      </c>
      <c r="Q16" t="s">
        <v>57</v>
      </c>
      <c r="R16" t="s">
        <v>122</v>
      </c>
      <c r="S16" t="s">
        <v>123</v>
      </c>
      <c r="T16" t="s">
        <v>124</v>
      </c>
      <c r="U16" t="s">
        <v>125</v>
      </c>
      <c r="X16" t="s">
        <v>126</v>
      </c>
      <c r="AB16" t="s">
        <v>127</v>
      </c>
      <c r="AH16" t="s">
        <v>64</v>
      </c>
      <c r="AJ16" s="3" t="s">
        <v>151</v>
      </c>
      <c r="AK16" s="3" t="s">
        <v>152</v>
      </c>
      <c r="AL16" s="3" t="s">
        <v>101</v>
      </c>
      <c r="AP16" s="5">
        <v>-0.14000000000000001</v>
      </c>
      <c r="AQ16" s="5" t="s">
        <v>131</v>
      </c>
      <c r="AR16" s="5">
        <f t="shared" ref="AR16" si="4">SQRT(AQ16+AQ17)*(AT16-AS16)*0.5/TINV(1-0.95,AQ16+AQ17-1)</f>
        <v>1.9790759483283149</v>
      </c>
      <c r="AS16" t="s">
        <v>153</v>
      </c>
      <c r="AT16" t="s">
        <v>154</v>
      </c>
      <c r="AU16" s="3" t="s">
        <v>690</v>
      </c>
      <c r="AV16">
        <v>180</v>
      </c>
      <c r="AW16">
        <v>35</v>
      </c>
    </row>
    <row r="17" spans="1:49" hidden="1" x14ac:dyDescent="0.2">
      <c r="A17" t="s">
        <v>117</v>
      </c>
      <c r="B17">
        <v>2011</v>
      </c>
      <c r="C17" t="s">
        <v>134</v>
      </c>
      <c r="D17" t="s">
        <v>88</v>
      </c>
      <c r="E17" t="s">
        <v>88</v>
      </c>
      <c r="F17" t="s">
        <v>119</v>
      </c>
      <c r="G17" t="s">
        <v>120</v>
      </c>
      <c r="H17" t="s">
        <v>91</v>
      </c>
      <c r="I17" t="s">
        <v>54</v>
      </c>
      <c r="J17" t="s">
        <v>121</v>
      </c>
      <c r="K17" t="s">
        <v>56</v>
      </c>
      <c r="L17" t="s">
        <v>93</v>
      </c>
      <c r="M17" t="s">
        <v>58</v>
      </c>
      <c r="N17" t="s">
        <v>93</v>
      </c>
      <c r="O17" t="s">
        <v>57</v>
      </c>
      <c r="P17" t="s">
        <v>58</v>
      </c>
      <c r="Q17" t="s">
        <v>57</v>
      </c>
      <c r="R17" t="s">
        <v>135</v>
      </c>
      <c r="S17" t="s">
        <v>136</v>
      </c>
      <c r="T17" t="s">
        <v>137</v>
      </c>
      <c r="U17" t="s">
        <v>138</v>
      </c>
      <c r="X17" t="s">
        <v>139</v>
      </c>
      <c r="AB17" t="s">
        <v>140</v>
      </c>
      <c r="AH17" t="s">
        <v>100</v>
      </c>
      <c r="AJ17" s="3" t="s">
        <v>151</v>
      </c>
      <c r="AK17" s="3" t="s">
        <v>152</v>
      </c>
      <c r="AL17" s="3" t="s">
        <v>101</v>
      </c>
      <c r="AQ17" s="5" t="s">
        <v>141</v>
      </c>
      <c r="AU17" s="3" t="s">
        <v>690</v>
      </c>
      <c r="AV17">
        <v>180</v>
      </c>
      <c r="AW17">
        <v>35</v>
      </c>
    </row>
    <row r="18" spans="1:49" hidden="1" x14ac:dyDescent="0.2">
      <c r="A18" t="s">
        <v>117</v>
      </c>
      <c r="B18">
        <v>2011</v>
      </c>
      <c r="C18" t="s">
        <v>118</v>
      </c>
      <c r="D18" t="s">
        <v>105</v>
      </c>
      <c r="E18" t="s">
        <v>106</v>
      </c>
      <c r="F18" t="s">
        <v>119</v>
      </c>
      <c r="G18" t="s">
        <v>120</v>
      </c>
      <c r="H18" t="s">
        <v>91</v>
      </c>
      <c r="I18" t="s">
        <v>54</v>
      </c>
      <c r="J18" t="s">
        <v>121</v>
      </c>
      <c r="K18" t="s">
        <v>56</v>
      </c>
      <c r="L18" t="s">
        <v>93</v>
      </c>
      <c r="M18" t="s">
        <v>58</v>
      </c>
      <c r="N18" t="s">
        <v>93</v>
      </c>
      <c r="O18" t="s">
        <v>57</v>
      </c>
      <c r="P18" t="s">
        <v>58</v>
      </c>
      <c r="Q18" t="s">
        <v>57</v>
      </c>
      <c r="R18" t="s">
        <v>122</v>
      </c>
      <c r="S18" t="s">
        <v>123</v>
      </c>
      <c r="T18" t="s">
        <v>124</v>
      </c>
      <c r="U18" t="s">
        <v>125</v>
      </c>
      <c r="X18" t="s">
        <v>126</v>
      </c>
      <c r="AB18" t="s">
        <v>127</v>
      </c>
      <c r="AH18" t="s">
        <v>64</v>
      </c>
      <c r="AJ18" s="3" t="s">
        <v>151</v>
      </c>
      <c r="AK18" s="3" t="s">
        <v>152</v>
      </c>
      <c r="AL18" s="3" t="s">
        <v>101</v>
      </c>
      <c r="AP18" s="5" t="s">
        <v>155</v>
      </c>
      <c r="AQ18" s="5" t="s">
        <v>131</v>
      </c>
      <c r="AR18" s="5">
        <f t="shared" ref="AR18" si="5">SQRT(AQ18+AQ19)*(AT18-AS18)*0.5/TINV(1-0.95,AQ18+AQ19-1)</f>
        <v>2.1471106986580772</v>
      </c>
      <c r="AS18" t="s">
        <v>156</v>
      </c>
      <c r="AT18" t="s">
        <v>157</v>
      </c>
      <c r="AU18" s="3" t="s">
        <v>690</v>
      </c>
      <c r="AV18">
        <v>180</v>
      </c>
      <c r="AW18">
        <v>35</v>
      </c>
    </row>
    <row r="19" spans="1:49" hidden="1" x14ac:dyDescent="0.2">
      <c r="A19" t="s">
        <v>117</v>
      </c>
      <c r="B19">
        <v>2011</v>
      </c>
      <c r="C19" t="s">
        <v>134</v>
      </c>
      <c r="D19" t="s">
        <v>88</v>
      </c>
      <c r="E19" t="s">
        <v>88</v>
      </c>
      <c r="F19" t="s">
        <v>119</v>
      </c>
      <c r="G19" t="s">
        <v>120</v>
      </c>
      <c r="H19" t="s">
        <v>91</v>
      </c>
      <c r="I19" t="s">
        <v>54</v>
      </c>
      <c r="J19" t="s">
        <v>121</v>
      </c>
      <c r="K19" t="s">
        <v>56</v>
      </c>
      <c r="L19" t="s">
        <v>93</v>
      </c>
      <c r="M19" t="s">
        <v>58</v>
      </c>
      <c r="N19" t="s">
        <v>93</v>
      </c>
      <c r="O19" t="s">
        <v>57</v>
      </c>
      <c r="P19" t="s">
        <v>58</v>
      </c>
      <c r="Q19" t="s">
        <v>57</v>
      </c>
      <c r="R19" t="s">
        <v>135</v>
      </c>
      <c r="S19" t="s">
        <v>136</v>
      </c>
      <c r="T19" t="s">
        <v>137</v>
      </c>
      <c r="U19" t="s">
        <v>138</v>
      </c>
      <c r="X19" t="s">
        <v>139</v>
      </c>
      <c r="AB19" t="s">
        <v>140</v>
      </c>
      <c r="AH19" t="s">
        <v>100</v>
      </c>
      <c r="AJ19" s="3" t="s">
        <v>151</v>
      </c>
      <c r="AK19" s="3" t="s">
        <v>152</v>
      </c>
      <c r="AL19" s="3" t="s">
        <v>101</v>
      </c>
      <c r="AQ19" s="5" t="s">
        <v>141</v>
      </c>
      <c r="AU19" s="3" t="s">
        <v>690</v>
      </c>
      <c r="AV19">
        <v>180</v>
      </c>
      <c r="AW19">
        <v>35</v>
      </c>
    </row>
    <row r="20" spans="1:49" hidden="1" x14ac:dyDescent="0.2">
      <c r="A20" t="s">
        <v>117</v>
      </c>
      <c r="B20">
        <v>2011</v>
      </c>
      <c r="C20" t="s">
        <v>118</v>
      </c>
      <c r="D20" t="s">
        <v>105</v>
      </c>
      <c r="E20" t="s">
        <v>106</v>
      </c>
      <c r="F20" t="s">
        <v>119</v>
      </c>
      <c r="G20" t="s">
        <v>120</v>
      </c>
      <c r="H20" t="s">
        <v>91</v>
      </c>
      <c r="I20" t="s">
        <v>54</v>
      </c>
      <c r="J20" t="s">
        <v>121</v>
      </c>
      <c r="K20" t="s">
        <v>56</v>
      </c>
      <c r="L20" t="s">
        <v>93</v>
      </c>
      <c r="M20" t="s">
        <v>58</v>
      </c>
      <c r="N20" t="s">
        <v>93</v>
      </c>
      <c r="O20" t="s">
        <v>57</v>
      </c>
      <c r="P20" t="s">
        <v>58</v>
      </c>
      <c r="Q20" t="s">
        <v>57</v>
      </c>
      <c r="R20" t="s">
        <v>122</v>
      </c>
      <c r="S20" t="s">
        <v>123</v>
      </c>
      <c r="T20" t="s">
        <v>124</v>
      </c>
      <c r="U20" t="s">
        <v>125</v>
      </c>
      <c r="X20" t="s">
        <v>126</v>
      </c>
      <c r="AB20" t="s">
        <v>127</v>
      </c>
      <c r="AH20" t="s">
        <v>64</v>
      </c>
      <c r="AJ20" s="3" t="s">
        <v>161</v>
      </c>
      <c r="AK20" s="3" t="s">
        <v>143</v>
      </c>
      <c r="AL20" s="3" t="s">
        <v>101</v>
      </c>
      <c r="AP20" s="5" t="s">
        <v>162</v>
      </c>
      <c r="AQ20" s="5" t="s">
        <v>131</v>
      </c>
      <c r="AR20" s="5">
        <f t="shared" ref="AR20" si="6">SQRT(AQ20+AQ21)*(AT20-AS20)*0.5/TINV(1-0.95,AQ20+AQ21-1)</f>
        <v>2.0164170039571512</v>
      </c>
      <c r="AS20" t="s">
        <v>163</v>
      </c>
      <c r="AT20" t="s">
        <v>164</v>
      </c>
      <c r="AU20" s="3" t="s">
        <v>690</v>
      </c>
      <c r="AV20">
        <v>180</v>
      </c>
      <c r="AW20">
        <v>35</v>
      </c>
    </row>
    <row r="21" spans="1:49" hidden="1" x14ac:dyDescent="0.2">
      <c r="A21" t="s">
        <v>117</v>
      </c>
      <c r="B21">
        <v>2011</v>
      </c>
      <c r="C21" t="s">
        <v>134</v>
      </c>
      <c r="D21" t="s">
        <v>88</v>
      </c>
      <c r="E21" t="s">
        <v>88</v>
      </c>
      <c r="F21" t="s">
        <v>119</v>
      </c>
      <c r="G21" t="s">
        <v>120</v>
      </c>
      <c r="H21" t="s">
        <v>91</v>
      </c>
      <c r="I21" t="s">
        <v>54</v>
      </c>
      <c r="J21" t="s">
        <v>121</v>
      </c>
      <c r="K21" t="s">
        <v>56</v>
      </c>
      <c r="L21" t="s">
        <v>93</v>
      </c>
      <c r="M21" t="s">
        <v>58</v>
      </c>
      <c r="N21" t="s">
        <v>93</v>
      </c>
      <c r="O21" t="s">
        <v>57</v>
      </c>
      <c r="P21" t="s">
        <v>58</v>
      </c>
      <c r="Q21" t="s">
        <v>57</v>
      </c>
      <c r="R21" t="s">
        <v>135</v>
      </c>
      <c r="S21" t="s">
        <v>136</v>
      </c>
      <c r="T21" t="s">
        <v>137</v>
      </c>
      <c r="U21" t="s">
        <v>138</v>
      </c>
      <c r="X21" t="s">
        <v>139</v>
      </c>
      <c r="AB21" t="s">
        <v>140</v>
      </c>
      <c r="AH21" t="s">
        <v>100</v>
      </c>
      <c r="AJ21" s="3" t="s">
        <v>161</v>
      </c>
      <c r="AK21" s="3" t="s">
        <v>143</v>
      </c>
      <c r="AL21" s="3" t="s">
        <v>101</v>
      </c>
      <c r="AQ21" s="5" t="s">
        <v>141</v>
      </c>
      <c r="AU21" s="3" t="s">
        <v>690</v>
      </c>
      <c r="AV21">
        <v>180</v>
      </c>
      <c r="AW21">
        <v>35</v>
      </c>
    </row>
    <row r="22" spans="1:49" hidden="1" x14ac:dyDescent="0.2">
      <c r="A22" t="s">
        <v>117</v>
      </c>
      <c r="B22">
        <v>2011</v>
      </c>
      <c r="C22" t="s">
        <v>118</v>
      </c>
      <c r="D22" t="s">
        <v>105</v>
      </c>
      <c r="E22" t="s">
        <v>106</v>
      </c>
      <c r="F22" t="s">
        <v>119</v>
      </c>
      <c r="G22" t="s">
        <v>120</v>
      </c>
      <c r="H22" t="s">
        <v>91</v>
      </c>
      <c r="I22" t="s">
        <v>54</v>
      </c>
      <c r="J22" t="s">
        <v>121</v>
      </c>
      <c r="K22" t="s">
        <v>56</v>
      </c>
      <c r="L22" t="s">
        <v>93</v>
      </c>
      <c r="M22" t="s">
        <v>58</v>
      </c>
      <c r="N22" t="s">
        <v>93</v>
      </c>
      <c r="O22" t="s">
        <v>57</v>
      </c>
      <c r="P22" t="s">
        <v>58</v>
      </c>
      <c r="Q22" t="s">
        <v>57</v>
      </c>
      <c r="R22" t="s">
        <v>122</v>
      </c>
      <c r="S22" t="s">
        <v>123</v>
      </c>
      <c r="T22" t="s">
        <v>124</v>
      </c>
      <c r="U22" t="s">
        <v>125</v>
      </c>
      <c r="X22" t="s">
        <v>126</v>
      </c>
      <c r="AB22" t="s">
        <v>127</v>
      </c>
      <c r="AH22" t="s">
        <v>64</v>
      </c>
      <c r="AJ22" s="3" t="s">
        <v>168</v>
      </c>
      <c r="AK22" s="3" t="s">
        <v>169</v>
      </c>
      <c r="AL22" s="3" t="s">
        <v>101</v>
      </c>
      <c r="AP22" s="5" t="s">
        <v>170</v>
      </c>
      <c r="AQ22" s="5" t="s">
        <v>131</v>
      </c>
      <c r="AR22" s="5">
        <f>SQRT(AQ22+AQ23)*(AT22-AS22)*0.5/TINV(1-0.95,AQ22+AQ23-1)</f>
        <v>4.3315624529449908</v>
      </c>
      <c r="AS22" t="s">
        <v>171</v>
      </c>
      <c r="AT22" t="s">
        <v>172</v>
      </c>
      <c r="AU22" s="3" t="s">
        <v>690</v>
      </c>
      <c r="AV22">
        <v>180</v>
      </c>
      <c r="AW22">
        <v>35</v>
      </c>
    </row>
    <row r="23" spans="1:49" hidden="1" x14ac:dyDescent="0.2">
      <c r="A23" t="s">
        <v>117</v>
      </c>
      <c r="B23">
        <v>2011</v>
      </c>
      <c r="C23" t="s">
        <v>134</v>
      </c>
      <c r="D23" t="s">
        <v>88</v>
      </c>
      <c r="E23" t="s">
        <v>88</v>
      </c>
      <c r="F23" t="s">
        <v>119</v>
      </c>
      <c r="G23" t="s">
        <v>120</v>
      </c>
      <c r="H23" t="s">
        <v>91</v>
      </c>
      <c r="I23" t="s">
        <v>54</v>
      </c>
      <c r="J23" t="s">
        <v>121</v>
      </c>
      <c r="K23" t="s">
        <v>56</v>
      </c>
      <c r="L23" t="s">
        <v>93</v>
      </c>
      <c r="M23" t="s">
        <v>58</v>
      </c>
      <c r="N23" t="s">
        <v>93</v>
      </c>
      <c r="O23" t="s">
        <v>57</v>
      </c>
      <c r="P23" t="s">
        <v>58</v>
      </c>
      <c r="Q23" t="s">
        <v>57</v>
      </c>
      <c r="R23" t="s">
        <v>135</v>
      </c>
      <c r="S23" t="s">
        <v>136</v>
      </c>
      <c r="T23" t="s">
        <v>137</v>
      </c>
      <c r="U23" t="s">
        <v>138</v>
      </c>
      <c r="X23" t="s">
        <v>139</v>
      </c>
      <c r="AB23" t="s">
        <v>140</v>
      </c>
      <c r="AH23" t="s">
        <v>100</v>
      </c>
      <c r="AJ23" s="3" t="s">
        <v>168</v>
      </c>
      <c r="AK23" s="3" t="s">
        <v>169</v>
      </c>
      <c r="AL23" s="3" t="s">
        <v>101</v>
      </c>
      <c r="AQ23" s="5" t="s">
        <v>141</v>
      </c>
      <c r="AU23" s="3" t="s">
        <v>690</v>
      </c>
      <c r="AV23">
        <v>180</v>
      </c>
      <c r="AW23">
        <v>35</v>
      </c>
    </row>
    <row r="24" spans="1:49" hidden="1" x14ac:dyDescent="0.2">
      <c r="A24" t="s">
        <v>173</v>
      </c>
      <c r="B24">
        <v>2012</v>
      </c>
      <c r="C24" t="s">
        <v>174</v>
      </c>
      <c r="D24" t="s">
        <v>88</v>
      </c>
      <c r="E24" t="s">
        <v>88</v>
      </c>
      <c r="F24" t="s">
        <v>175</v>
      </c>
      <c r="G24" t="s">
        <v>176</v>
      </c>
      <c r="H24" t="s">
        <v>53</v>
      </c>
      <c r="I24" t="s">
        <v>54</v>
      </c>
      <c r="J24" t="s">
        <v>92</v>
      </c>
      <c r="K24" t="s">
        <v>177</v>
      </c>
      <c r="L24" t="s">
        <v>58</v>
      </c>
      <c r="M24" t="s">
        <v>58</v>
      </c>
      <c r="N24" t="s">
        <v>93</v>
      </c>
      <c r="O24" t="s">
        <v>58</v>
      </c>
      <c r="P24" t="s">
        <v>58</v>
      </c>
      <c r="Q24" t="s">
        <v>58</v>
      </c>
      <c r="S24" t="s">
        <v>184</v>
      </c>
      <c r="X24" t="s">
        <v>185</v>
      </c>
      <c r="AB24" t="s">
        <v>186</v>
      </c>
      <c r="AH24" t="s">
        <v>187</v>
      </c>
      <c r="AJ24" s="3" t="s">
        <v>188</v>
      </c>
      <c r="AK24" s="3" t="s">
        <v>178</v>
      </c>
      <c r="AL24" s="3" t="s">
        <v>67</v>
      </c>
      <c r="AM24" s="4" t="s">
        <v>179</v>
      </c>
      <c r="AN24" s="4" t="s">
        <v>180</v>
      </c>
      <c r="AO24" s="4" t="s">
        <v>181</v>
      </c>
      <c r="AP24" s="5" t="s">
        <v>182</v>
      </c>
      <c r="AQ24" s="5" t="s">
        <v>180</v>
      </c>
      <c r="AR24" s="5" t="s">
        <v>183</v>
      </c>
      <c r="AU24" s="3" t="s">
        <v>189</v>
      </c>
      <c r="AV24">
        <v>365</v>
      </c>
      <c r="AW24">
        <v>365</v>
      </c>
    </row>
    <row r="25" spans="1:49" hidden="1" x14ac:dyDescent="0.2">
      <c r="A25" t="s">
        <v>173</v>
      </c>
      <c r="B25">
        <v>2012</v>
      </c>
      <c r="C25" t="s">
        <v>190</v>
      </c>
      <c r="D25" t="s">
        <v>191</v>
      </c>
      <c r="E25" t="s">
        <v>192</v>
      </c>
      <c r="F25" t="s">
        <v>175</v>
      </c>
      <c r="G25" t="s">
        <v>176</v>
      </c>
      <c r="H25" t="s">
        <v>53</v>
      </c>
      <c r="I25" t="s">
        <v>54</v>
      </c>
      <c r="J25" t="s">
        <v>92</v>
      </c>
      <c r="K25" t="s">
        <v>177</v>
      </c>
      <c r="L25" t="s">
        <v>58</v>
      </c>
      <c r="M25" t="s">
        <v>58</v>
      </c>
      <c r="N25" t="s">
        <v>93</v>
      </c>
      <c r="O25" t="s">
        <v>58</v>
      </c>
      <c r="P25" t="s">
        <v>58</v>
      </c>
      <c r="Q25" t="s">
        <v>58</v>
      </c>
      <c r="S25" t="s">
        <v>197</v>
      </c>
      <c r="X25" t="s">
        <v>198</v>
      </c>
      <c r="AB25" t="s">
        <v>199</v>
      </c>
      <c r="AH25" t="s">
        <v>200</v>
      </c>
      <c r="AJ25" s="3" t="s">
        <v>188</v>
      </c>
      <c r="AK25" s="3" t="s">
        <v>178</v>
      </c>
      <c r="AL25" s="3" t="s">
        <v>67</v>
      </c>
      <c r="AM25" s="4" t="s">
        <v>193</v>
      </c>
      <c r="AN25" s="4" t="s">
        <v>180</v>
      </c>
      <c r="AO25" s="4" t="s">
        <v>194</v>
      </c>
      <c r="AP25" s="5" t="s">
        <v>195</v>
      </c>
      <c r="AQ25" s="5" t="s">
        <v>180</v>
      </c>
      <c r="AR25" s="5" t="s">
        <v>196</v>
      </c>
      <c r="AU25" s="3" t="s">
        <v>189</v>
      </c>
      <c r="AV25">
        <v>365</v>
      </c>
      <c r="AW25">
        <v>365</v>
      </c>
    </row>
    <row r="26" spans="1:49" hidden="1" x14ac:dyDescent="0.2">
      <c r="A26" t="s">
        <v>201</v>
      </c>
      <c r="B26">
        <v>2015</v>
      </c>
      <c r="C26" t="s">
        <v>202</v>
      </c>
      <c r="D26" t="s">
        <v>49</v>
      </c>
      <c r="E26" t="s">
        <v>75</v>
      </c>
      <c r="F26" t="s">
        <v>51</v>
      </c>
      <c r="G26" t="s">
        <v>203</v>
      </c>
      <c r="H26" t="s">
        <v>53</v>
      </c>
      <c r="I26" t="s">
        <v>54</v>
      </c>
      <c r="J26" t="s">
        <v>92</v>
      </c>
      <c r="K26" t="s">
        <v>56</v>
      </c>
      <c r="L26" t="s">
        <v>58</v>
      </c>
      <c r="M26" t="s">
        <v>57</v>
      </c>
      <c r="N26" t="s">
        <v>57</v>
      </c>
      <c r="O26" t="s">
        <v>57</v>
      </c>
      <c r="P26" t="s">
        <v>58</v>
      </c>
      <c r="Q26" t="s">
        <v>57</v>
      </c>
      <c r="R26" t="s">
        <v>204</v>
      </c>
      <c r="T26" t="s">
        <v>205</v>
      </c>
      <c r="U26" t="s">
        <v>206</v>
      </c>
      <c r="X26" t="s">
        <v>207</v>
      </c>
      <c r="AB26" t="s">
        <v>208</v>
      </c>
      <c r="AH26" t="s">
        <v>209</v>
      </c>
      <c r="AJ26" s="3" t="s">
        <v>65</v>
      </c>
      <c r="AK26" s="3" t="s">
        <v>66</v>
      </c>
      <c r="AL26" s="3" t="s">
        <v>67</v>
      </c>
      <c r="AM26" s="4" t="s">
        <v>210</v>
      </c>
      <c r="AN26" s="4" t="s">
        <v>211</v>
      </c>
      <c r="AO26" s="4" t="s">
        <v>212</v>
      </c>
      <c r="AP26" s="5" t="s">
        <v>213</v>
      </c>
      <c r="AQ26" s="5" t="s">
        <v>211</v>
      </c>
      <c r="AR26" s="5" t="s">
        <v>214</v>
      </c>
      <c r="AU26" s="3" t="s">
        <v>680</v>
      </c>
      <c r="AV26">
        <v>98</v>
      </c>
      <c r="AW26">
        <v>98</v>
      </c>
    </row>
    <row r="27" spans="1:49" hidden="1" x14ac:dyDescent="0.2">
      <c r="A27" t="s">
        <v>201</v>
      </c>
      <c r="B27">
        <v>2015</v>
      </c>
      <c r="C27" t="s">
        <v>215</v>
      </c>
      <c r="D27" t="s">
        <v>49</v>
      </c>
      <c r="E27" t="s">
        <v>50</v>
      </c>
      <c r="F27" t="s">
        <v>51</v>
      </c>
      <c r="G27" t="s">
        <v>203</v>
      </c>
      <c r="H27" t="s">
        <v>53</v>
      </c>
      <c r="I27" t="s">
        <v>54</v>
      </c>
      <c r="J27" t="s">
        <v>92</v>
      </c>
      <c r="K27" t="s">
        <v>56</v>
      </c>
      <c r="L27" t="s">
        <v>58</v>
      </c>
      <c r="M27" t="s">
        <v>57</v>
      </c>
      <c r="N27" t="s">
        <v>57</v>
      </c>
      <c r="O27" t="s">
        <v>57</v>
      </c>
      <c r="P27" t="s">
        <v>58</v>
      </c>
      <c r="Q27" t="s">
        <v>57</v>
      </c>
      <c r="R27" t="s">
        <v>216</v>
      </c>
      <c r="T27" t="s">
        <v>217</v>
      </c>
      <c r="U27" t="s">
        <v>218</v>
      </c>
      <c r="X27" t="s">
        <v>219</v>
      </c>
      <c r="AB27" t="s">
        <v>220</v>
      </c>
      <c r="AH27" t="s">
        <v>209</v>
      </c>
      <c r="AJ27" s="3" t="s">
        <v>65</v>
      </c>
      <c r="AK27" s="3" t="s">
        <v>66</v>
      </c>
      <c r="AL27" s="3" t="s">
        <v>67</v>
      </c>
      <c r="AM27" s="4" t="s">
        <v>221</v>
      </c>
      <c r="AN27" s="4" t="s">
        <v>222</v>
      </c>
      <c r="AO27" s="4" t="s">
        <v>223</v>
      </c>
      <c r="AP27" s="5" t="s">
        <v>224</v>
      </c>
      <c r="AQ27" s="5" t="s">
        <v>222</v>
      </c>
      <c r="AR27" s="5" t="s">
        <v>225</v>
      </c>
      <c r="AU27" s="3" t="s">
        <v>680</v>
      </c>
      <c r="AV27">
        <v>98</v>
      </c>
      <c r="AW27">
        <v>98</v>
      </c>
    </row>
    <row r="28" spans="1:49" hidden="1" x14ac:dyDescent="0.2">
      <c r="A28" t="s">
        <v>226</v>
      </c>
      <c r="B28">
        <v>2017</v>
      </c>
      <c r="C28" t="s">
        <v>227</v>
      </c>
      <c r="D28" t="s">
        <v>105</v>
      </c>
      <c r="E28" t="s">
        <v>106</v>
      </c>
      <c r="F28" t="s">
        <v>175</v>
      </c>
      <c r="G28" t="s">
        <v>228</v>
      </c>
      <c r="H28" t="s">
        <v>91</v>
      </c>
      <c r="I28" t="s">
        <v>54</v>
      </c>
      <c r="J28" t="s">
        <v>121</v>
      </c>
      <c r="K28" t="s">
        <v>56</v>
      </c>
      <c r="L28" t="s">
        <v>58</v>
      </c>
      <c r="M28" t="s">
        <v>58</v>
      </c>
      <c r="N28" t="s">
        <v>93</v>
      </c>
      <c r="O28" t="s">
        <v>58</v>
      </c>
      <c r="P28" t="s">
        <v>58</v>
      </c>
      <c r="Q28" t="s">
        <v>58</v>
      </c>
      <c r="T28" t="s">
        <v>229</v>
      </c>
      <c r="U28" t="s">
        <v>230</v>
      </c>
      <c r="V28" t="s">
        <v>231</v>
      </c>
      <c r="X28" t="s">
        <v>232</v>
      </c>
      <c r="AB28" t="s">
        <v>233</v>
      </c>
      <c r="AH28" t="s">
        <v>64</v>
      </c>
      <c r="AJ28" s="3" t="s">
        <v>65</v>
      </c>
      <c r="AK28" s="3" t="s">
        <v>459</v>
      </c>
      <c r="AL28" s="3" t="s">
        <v>67</v>
      </c>
      <c r="AO28" s="4" t="s">
        <v>235</v>
      </c>
      <c r="AP28" s="5" t="s">
        <v>236</v>
      </c>
      <c r="AR28" s="5" t="s">
        <v>237</v>
      </c>
      <c r="AU28" s="3" t="s">
        <v>238</v>
      </c>
      <c r="AV28">
        <v>90</v>
      </c>
      <c r="AW28">
        <v>90</v>
      </c>
    </row>
    <row r="29" spans="1:49" hidden="1" x14ac:dyDescent="0.2">
      <c r="A29" t="s">
        <v>226</v>
      </c>
      <c r="B29">
        <v>2017</v>
      </c>
      <c r="C29" t="s">
        <v>239</v>
      </c>
      <c r="D29" t="s">
        <v>88</v>
      </c>
      <c r="E29" t="s">
        <v>88</v>
      </c>
      <c r="F29" t="s">
        <v>175</v>
      </c>
      <c r="G29" t="s">
        <v>228</v>
      </c>
      <c r="H29" t="s">
        <v>91</v>
      </c>
      <c r="I29" t="s">
        <v>54</v>
      </c>
      <c r="J29" t="s">
        <v>121</v>
      </c>
      <c r="K29" t="s">
        <v>56</v>
      </c>
      <c r="L29" t="s">
        <v>58</v>
      </c>
      <c r="M29" t="s">
        <v>58</v>
      </c>
      <c r="N29" t="s">
        <v>93</v>
      </c>
      <c r="O29" t="s">
        <v>58</v>
      </c>
      <c r="P29" t="s">
        <v>58</v>
      </c>
      <c r="Q29" t="s">
        <v>58</v>
      </c>
      <c r="T29" t="s">
        <v>240</v>
      </c>
      <c r="U29" t="s">
        <v>241</v>
      </c>
      <c r="V29" t="s">
        <v>242</v>
      </c>
      <c r="X29" t="s">
        <v>243</v>
      </c>
      <c r="AB29" t="s">
        <v>244</v>
      </c>
      <c r="AH29" t="s">
        <v>245</v>
      </c>
      <c r="AJ29" s="3" t="s">
        <v>65</v>
      </c>
      <c r="AK29" s="3" t="s">
        <v>459</v>
      </c>
      <c r="AL29" s="3" t="s">
        <v>67</v>
      </c>
      <c r="AO29" s="4" t="s">
        <v>246</v>
      </c>
      <c r="AP29" s="5" t="s">
        <v>247</v>
      </c>
      <c r="AR29" s="5" t="s">
        <v>248</v>
      </c>
      <c r="AU29" s="3" t="s">
        <v>238</v>
      </c>
      <c r="AV29">
        <v>90</v>
      </c>
      <c r="AW29">
        <v>90</v>
      </c>
    </row>
    <row r="30" spans="1:49" hidden="1" x14ac:dyDescent="0.2">
      <c r="A30" t="s">
        <v>226</v>
      </c>
      <c r="B30">
        <v>2017</v>
      </c>
      <c r="C30" t="s">
        <v>227</v>
      </c>
      <c r="D30" t="s">
        <v>105</v>
      </c>
      <c r="E30" t="s">
        <v>106</v>
      </c>
      <c r="F30" t="s">
        <v>175</v>
      </c>
      <c r="G30" t="s">
        <v>228</v>
      </c>
      <c r="H30" t="s">
        <v>91</v>
      </c>
      <c r="I30" t="s">
        <v>54</v>
      </c>
      <c r="J30" t="s">
        <v>121</v>
      </c>
      <c r="K30" t="s">
        <v>56</v>
      </c>
      <c r="L30" t="s">
        <v>58</v>
      </c>
      <c r="M30" t="s">
        <v>58</v>
      </c>
      <c r="N30" t="s">
        <v>93</v>
      </c>
      <c r="O30" t="s">
        <v>58</v>
      </c>
      <c r="P30" t="s">
        <v>58</v>
      </c>
      <c r="Q30" t="s">
        <v>58</v>
      </c>
      <c r="T30" t="s">
        <v>229</v>
      </c>
      <c r="U30" t="s">
        <v>230</v>
      </c>
      <c r="V30" t="s">
        <v>231</v>
      </c>
      <c r="X30" t="s">
        <v>232</v>
      </c>
      <c r="AB30" t="s">
        <v>233</v>
      </c>
      <c r="AH30" t="s">
        <v>64</v>
      </c>
      <c r="AJ30" s="3" t="s">
        <v>249</v>
      </c>
      <c r="AK30" s="3" t="s">
        <v>143</v>
      </c>
      <c r="AL30" s="3" t="s">
        <v>67</v>
      </c>
      <c r="AO30" s="4" t="s">
        <v>250</v>
      </c>
      <c r="AP30" s="5" t="s">
        <v>251</v>
      </c>
      <c r="AR30" s="5" t="s">
        <v>252</v>
      </c>
      <c r="AU30" s="3" t="s">
        <v>238</v>
      </c>
      <c r="AV30">
        <v>90</v>
      </c>
      <c r="AW30">
        <v>90</v>
      </c>
    </row>
    <row r="31" spans="1:49" hidden="1" x14ac:dyDescent="0.2">
      <c r="A31" t="s">
        <v>226</v>
      </c>
      <c r="B31">
        <v>2017</v>
      </c>
      <c r="C31" t="s">
        <v>239</v>
      </c>
      <c r="D31" t="s">
        <v>88</v>
      </c>
      <c r="E31" t="s">
        <v>88</v>
      </c>
      <c r="F31" t="s">
        <v>175</v>
      </c>
      <c r="G31" t="s">
        <v>228</v>
      </c>
      <c r="H31" t="s">
        <v>91</v>
      </c>
      <c r="I31" t="s">
        <v>54</v>
      </c>
      <c r="J31" t="s">
        <v>121</v>
      </c>
      <c r="K31" t="s">
        <v>56</v>
      </c>
      <c r="L31" t="s">
        <v>58</v>
      </c>
      <c r="M31" t="s">
        <v>58</v>
      </c>
      <c r="N31" t="s">
        <v>93</v>
      </c>
      <c r="O31" t="s">
        <v>58</v>
      </c>
      <c r="P31" t="s">
        <v>58</v>
      </c>
      <c r="Q31" t="s">
        <v>58</v>
      </c>
      <c r="T31" t="s">
        <v>240</v>
      </c>
      <c r="U31" t="s">
        <v>241</v>
      </c>
      <c r="V31" t="s">
        <v>242</v>
      </c>
      <c r="X31" t="s">
        <v>243</v>
      </c>
      <c r="AB31" t="s">
        <v>244</v>
      </c>
      <c r="AH31" t="s">
        <v>245</v>
      </c>
      <c r="AJ31" s="3" t="s">
        <v>249</v>
      </c>
      <c r="AK31" s="3" t="s">
        <v>143</v>
      </c>
      <c r="AL31" s="3" t="s">
        <v>67</v>
      </c>
      <c r="AO31" s="4" t="s">
        <v>253</v>
      </c>
      <c r="AP31" s="5" t="s">
        <v>254</v>
      </c>
      <c r="AR31" s="5" t="s">
        <v>255</v>
      </c>
      <c r="AU31" s="3" t="s">
        <v>238</v>
      </c>
      <c r="AV31">
        <v>90</v>
      </c>
      <c r="AW31">
        <v>90</v>
      </c>
    </row>
    <row r="32" spans="1:49" hidden="1" x14ac:dyDescent="0.2">
      <c r="A32" t="s">
        <v>256</v>
      </c>
      <c r="B32">
        <v>2017</v>
      </c>
      <c r="C32" t="s">
        <v>257</v>
      </c>
      <c r="D32" t="s">
        <v>49</v>
      </c>
      <c r="E32" t="s">
        <v>75</v>
      </c>
      <c r="F32" t="s">
        <v>258</v>
      </c>
      <c r="G32" t="s">
        <v>259</v>
      </c>
      <c r="H32" t="s">
        <v>91</v>
      </c>
      <c r="I32" t="s">
        <v>54</v>
      </c>
      <c r="J32" t="s">
        <v>260</v>
      </c>
      <c r="K32" t="s">
        <v>56</v>
      </c>
      <c r="L32" t="s">
        <v>58</v>
      </c>
      <c r="M32" t="s">
        <v>57</v>
      </c>
      <c r="N32" t="s">
        <v>57</v>
      </c>
      <c r="O32" t="s">
        <v>57</v>
      </c>
      <c r="P32" t="s">
        <v>58</v>
      </c>
      <c r="Q32" t="s">
        <v>57</v>
      </c>
      <c r="S32" t="s">
        <v>261</v>
      </c>
      <c r="T32" t="s">
        <v>262</v>
      </c>
      <c r="U32" t="s">
        <v>263</v>
      </c>
      <c r="X32" t="s">
        <v>264</v>
      </c>
      <c r="AB32" t="s">
        <v>265</v>
      </c>
      <c r="AH32" t="s">
        <v>64</v>
      </c>
      <c r="AJ32" s="3" t="s">
        <v>65</v>
      </c>
      <c r="AK32" s="3" t="s">
        <v>66</v>
      </c>
      <c r="AL32" s="3" t="s">
        <v>67</v>
      </c>
      <c r="AM32" s="4" t="s">
        <v>266</v>
      </c>
      <c r="AN32" s="4" t="s">
        <v>222</v>
      </c>
      <c r="AO32" s="4" t="s">
        <v>267</v>
      </c>
      <c r="AP32" s="5" t="s">
        <v>268</v>
      </c>
      <c r="AQ32" s="5" t="s">
        <v>222</v>
      </c>
      <c r="AR32" s="5" t="s">
        <v>269</v>
      </c>
      <c r="AU32" s="3" t="s">
        <v>270</v>
      </c>
      <c r="AV32">
        <v>49</v>
      </c>
      <c r="AW32">
        <v>49</v>
      </c>
    </row>
    <row r="33" spans="1:49" hidden="1" x14ac:dyDescent="0.2">
      <c r="A33" t="s">
        <v>256</v>
      </c>
      <c r="B33">
        <v>2017</v>
      </c>
      <c r="C33" t="s">
        <v>87</v>
      </c>
      <c r="D33" t="s">
        <v>88</v>
      </c>
      <c r="E33" t="s">
        <v>88</v>
      </c>
      <c r="F33" t="s">
        <v>258</v>
      </c>
      <c r="G33" t="s">
        <v>259</v>
      </c>
      <c r="H33" t="s">
        <v>91</v>
      </c>
      <c r="I33" t="s">
        <v>54</v>
      </c>
      <c r="J33" t="s">
        <v>260</v>
      </c>
      <c r="K33" t="s">
        <v>56</v>
      </c>
      <c r="L33" t="s">
        <v>58</v>
      </c>
      <c r="M33" t="s">
        <v>57</v>
      </c>
      <c r="N33" t="s">
        <v>57</v>
      </c>
      <c r="O33" t="s">
        <v>57</v>
      </c>
      <c r="P33" t="s">
        <v>58</v>
      </c>
      <c r="Q33" t="s">
        <v>57</v>
      </c>
      <c r="S33" t="s">
        <v>68</v>
      </c>
      <c r="T33" t="s">
        <v>271</v>
      </c>
      <c r="U33" t="s">
        <v>272</v>
      </c>
      <c r="X33" t="s">
        <v>87</v>
      </c>
      <c r="AB33" t="s">
        <v>273</v>
      </c>
      <c r="AH33" t="s">
        <v>273</v>
      </c>
      <c r="AJ33" s="3" t="s">
        <v>65</v>
      </c>
      <c r="AK33" s="3" t="s">
        <v>66</v>
      </c>
      <c r="AL33" s="3" t="s">
        <v>67</v>
      </c>
      <c r="AM33" s="4" t="s">
        <v>274</v>
      </c>
      <c r="AN33" s="4" t="s">
        <v>222</v>
      </c>
      <c r="AO33" s="4" t="s">
        <v>275</v>
      </c>
      <c r="AP33" s="5" t="s">
        <v>123</v>
      </c>
      <c r="AQ33" s="5" t="s">
        <v>222</v>
      </c>
      <c r="AR33" s="5" t="s">
        <v>276</v>
      </c>
      <c r="AU33" s="3" t="s">
        <v>270</v>
      </c>
      <c r="AV33">
        <v>49</v>
      </c>
      <c r="AW33">
        <v>49</v>
      </c>
    </row>
    <row r="34" spans="1:49" hidden="1" x14ac:dyDescent="0.2">
      <c r="A34" t="s">
        <v>277</v>
      </c>
      <c r="B34">
        <v>2017</v>
      </c>
      <c r="C34" t="s">
        <v>278</v>
      </c>
      <c r="D34" t="s">
        <v>49</v>
      </c>
      <c r="E34" t="s">
        <v>50</v>
      </c>
      <c r="F34" t="s">
        <v>279</v>
      </c>
      <c r="G34" t="s">
        <v>280</v>
      </c>
      <c r="H34" t="s">
        <v>53</v>
      </c>
      <c r="I34" t="s">
        <v>54</v>
      </c>
      <c r="J34" t="s">
        <v>260</v>
      </c>
      <c r="K34" t="s">
        <v>56</v>
      </c>
      <c r="L34" t="s">
        <v>58</v>
      </c>
      <c r="M34" t="s">
        <v>57</v>
      </c>
      <c r="N34" t="s">
        <v>57</v>
      </c>
      <c r="O34" t="s">
        <v>57</v>
      </c>
      <c r="P34" t="s">
        <v>57</v>
      </c>
      <c r="Q34" t="s">
        <v>57</v>
      </c>
      <c r="X34" t="s">
        <v>281</v>
      </c>
      <c r="AB34" t="s">
        <v>282</v>
      </c>
      <c r="AH34" t="s">
        <v>283</v>
      </c>
      <c r="AJ34" s="3" t="s">
        <v>65</v>
      </c>
      <c r="AK34" s="3" t="s">
        <v>677</v>
      </c>
      <c r="AL34" s="3" t="s">
        <v>284</v>
      </c>
      <c r="AM34" s="4" t="s">
        <v>285</v>
      </c>
      <c r="AO34" s="4" t="s">
        <v>286</v>
      </c>
      <c r="AP34" s="5" t="s">
        <v>287</v>
      </c>
      <c r="AR34" s="5" t="s">
        <v>288</v>
      </c>
      <c r="AU34" s="3" t="s">
        <v>681</v>
      </c>
      <c r="AV34">
        <v>35</v>
      </c>
      <c r="AW34">
        <v>35</v>
      </c>
    </row>
    <row r="35" spans="1:49" hidden="1" x14ac:dyDescent="0.2">
      <c r="A35" t="s">
        <v>277</v>
      </c>
      <c r="B35">
        <v>2017</v>
      </c>
      <c r="C35" t="s">
        <v>289</v>
      </c>
      <c r="D35" t="s">
        <v>88</v>
      </c>
      <c r="E35" t="s">
        <v>88</v>
      </c>
      <c r="F35" t="s">
        <v>279</v>
      </c>
      <c r="G35" t="s">
        <v>280</v>
      </c>
      <c r="H35" t="s">
        <v>53</v>
      </c>
      <c r="I35" t="s">
        <v>54</v>
      </c>
      <c r="J35" t="s">
        <v>260</v>
      </c>
      <c r="K35" t="s">
        <v>56</v>
      </c>
      <c r="L35" t="s">
        <v>58</v>
      </c>
      <c r="M35" t="s">
        <v>57</v>
      </c>
      <c r="N35" t="s">
        <v>57</v>
      </c>
      <c r="O35" t="s">
        <v>57</v>
      </c>
      <c r="P35" t="s">
        <v>57</v>
      </c>
      <c r="Q35" t="s">
        <v>57</v>
      </c>
      <c r="X35" t="s">
        <v>87</v>
      </c>
      <c r="AB35" t="s">
        <v>290</v>
      </c>
      <c r="AH35" t="s">
        <v>100</v>
      </c>
      <c r="AJ35" s="3" t="s">
        <v>65</v>
      </c>
      <c r="AK35" s="3" t="s">
        <v>677</v>
      </c>
      <c r="AL35" s="3" t="s">
        <v>284</v>
      </c>
      <c r="AM35" s="4" t="s">
        <v>291</v>
      </c>
      <c r="AO35" s="4" t="s">
        <v>292</v>
      </c>
      <c r="AP35" s="5" t="s">
        <v>293</v>
      </c>
      <c r="AR35" s="5" t="s">
        <v>294</v>
      </c>
      <c r="AU35" s="3" t="s">
        <v>681</v>
      </c>
      <c r="AV35">
        <v>35</v>
      </c>
      <c r="AW35">
        <v>35</v>
      </c>
    </row>
    <row r="36" spans="1:49" hidden="1" x14ac:dyDescent="0.2">
      <c r="A36" t="s">
        <v>277</v>
      </c>
      <c r="B36">
        <v>2017</v>
      </c>
      <c r="C36" t="s">
        <v>295</v>
      </c>
      <c r="D36" t="s">
        <v>49</v>
      </c>
      <c r="E36" t="s">
        <v>50</v>
      </c>
      <c r="F36" t="s">
        <v>279</v>
      </c>
      <c r="G36" t="s">
        <v>280</v>
      </c>
      <c r="H36" t="s">
        <v>53</v>
      </c>
      <c r="I36" t="s">
        <v>54</v>
      </c>
      <c r="J36" t="s">
        <v>260</v>
      </c>
      <c r="K36" t="s">
        <v>56</v>
      </c>
      <c r="L36" t="s">
        <v>58</v>
      </c>
      <c r="M36" t="s">
        <v>57</v>
      </c>
      <c r="N36" t="s">
        <v>57</v>
      </c>
      <c r="O36" t="s">
        <v>57</v>
      </c>
      <c r="P36" t="s">
        <v>57</v>
      </c>
      <c r="Q36" t="s">
        <v>57</v>
      </c>
      <c r="X36" t="s">
        <v>296</v>
      </c>
      <c r="AB36" t="s">
        <v>297</v>
      </c>
      <c r="AH36" t="s">
        <v>283</v>
      </c>
      <c r="AJ36" s="3" t="s">
        <v>65</v>
      </c>
      <c r="AK36" s="3" t="s">
        <v>677</v>
      </c>
      <c r="AL36" s="3" t="s">
        <v>284</v>
      </c>
      <c r="AM36" s="4" t="s">
        <v>298</v>
      </c>
      <c r="AO36" s="4" t="s">
        <v>299</v>
      </c>
      <c r="AP36" s="5" t="s">
        <v>300</v>
      </c>
      <c r="AR36" s="5" t="s">
        <v>301</v>
      </c>
      <c r="AU36" s="3" t="s">
        <v>681</v>
      </c>
      <c r="AV36">
        <v>35</v>
      </c>
      <c r="AW36">
        <v>35</v>
      </c>
    </row>
    <row r="37" spans="1:49" hidden="1" x14ac:dyDescent="0.2">
      <c r="A37" t="s">
        <v>277</v>
      </c>
      <c r="B37">
        <v>2017</v>
      </c>
      <c r="C37" t="s">
        <v>278</v>
      </c>
      <c r="D37" t="s">
        <v>49</v>
      </c>
      <c r="E37" t="s">
        <v>50</v>
      </c>
      <c r="F37" t="s">
        <v>279</v>
      </c>
      <c r="G37" t="s">
        <v>280</v>
      </c>
      <c r="H37" t="s">
        <v>53</v>
      </c>
      <c r="I37" t="s">
        <v>54</v>
      </c>
      <c r="J37" t="s">
        <v>260</v>
      </c>
      <c r="K37" t="s">
        <v>56</v>
      </c>
      <c r="L37" t="s">
        <v>58</v>
      </c>
      <c r="M37" t="s">
        <v>57</v>
      </c>
      <c r="N37" t="s">
        <v>57</v>
      </c>
      <c r="O37" t="s">
        <v>57</v>
      </c>
      <c r="P37" t="s">
        <v>57</v>
      </c>
      <c r="Q37" t="s">
        <v>57</v>
      </c>
      <c r="X37" t="s">
        <v>281</v>
      </c>
      <c r="AB37" t="s">
        <v>282</v>
      </c>
      <c r="AH37" t="s">
        <v>283</v>
      </c>
      <c r="AJ37" s="3" t="s">
        <v>65</v>
      </c>
      <c r="AK37" s="3" t="s">
        <v>677</v>
      </c>
      <c r="AL37" s="3" t="s">
        <v>302</v>
      </c>
      <c r="AM37" s="4" t="s">
        <v>285</v>
      </c>
      <c r="AO37" s="4" t="s">
        <v>286</v>
      </c>
      <c r="AP37" s="5" t="s">
        <v>287</v>
      </c>
      <c r="AR37" s="5" t="s">
        <v>288</v>
      </c>
      <c r="AU37" s="3" t="s">
        <v>681</v>
      </c>
      <c r="AV37">
        <v>35</v>
      </c>
      <c r="AW37">
        <v>35</v>
      </c>
    </row>
    <row r="38" spans="1:49" hidden="1" x14ac:dyDescent="0.2">
      <c r="A38" t="s">
        <v>277</v>
      </c>
      <c r="B38">
        <v>2017</v>
      </c>
      <c r="C38" t="s">
        <v>289</v>
      </c>
      <c r="D38" t="s">
        <v>88</v>
      </c>
      <c r="E38" t="s">
        <v>88</v>
      </c>
      <c r="F38" t="s">
        <v>279</v>
      </c>
      <c r="G38" t="s">
        <v>280</v>
      </c>
      <c r="H38" t="s">
        <v>53</v>
      </c>
      <c r="I38" t="s">
        <v>54</v>
      </c>
      <c r="J38" t="s">
        <v>260</v>
      </c>
      <c r="K38" t="s">
        <v>56</v>
      </c>
      <c r="L38" t="s">
        <v>58</v>
      </c>
      <c r="M38" t="s">
        <v>57</v>
      </c>
      <c r="N38" t="s">
        <v>57</v>
      </c>
      <c r="O38" t="s">
        <v>57</v>
      </c>
      <c r="P38" t="s">
        <v>57</v>
      </c>
      <c r="Q38" t="s">
        <v>57</v>
      </c>
      <c r="X38" t="s">
        <v>87</v>
      </c>
      <c r="AB38" t="s">
        <v>290</v>
      </c>
      <c r="AH38" t="s">
        <v>100</v>
      </c>
      <c r="AJ38" s="3" t="s">
        <v>65</v>
      </c>
      <c r="AK38" s="3" t="s">
        <v>677</v>
      </c>
      <c r="AL38" s="3" t="s">
        <v>302</v>
      </c>
      <c r="AM38" s="4" t="s">
        <v>291</v>
      </c>
      <c r="AO38" s="4" t="s">
        <v>292</v>
      </c>
      <c r="AP38" s="5" t="s">
        <v>293</v>
      </c>
      <c r="AR38" s="5" t="s">
        <v>294</v>
      </c>
      <c r="AU38" s="3" t="s">
        <v>681</v>
      </c>
      <c r="AV38">
        <v>35</v>
      </c>
      <c r="AW38">
        <v>35</v>
      </c>
    </row>
    <row r="39" spans="1:49" hidden="1" x14ac:dyDescent="0.2">
      <c r="A39" t="s">
        <v>277</v>
      </c>
      <c r="B39">
        <v>2017</v>
      </c>
      <c r="C39" t="s">
        <v>295</v>
      </c>
      <c r="D39" t="s">
        <v>49</v>
      </c>
      <c r="E39" t="s">
        <v>50</v>
      </c>
      <c r="F39" t="s">
        <v>279</v>
      </c>
      <c r="G39" t="s">
        <v>280</v>
      </c>
      <c r="H39" t="s">
        <v>53</v>
      </c>
      <c r="I39" t="s">
        <v>54</v>
      </c>
      <c r="J39" t="s">
        <v>260</v>
      </c>
      <c r="K39" t="s">
        <v>56</v>
      </c>
      <c r="L39" t="s">
        <v>58</v>
      </c>
      <c r="M39" t="s">
        <v>57</v>
      </c>
      <c r="N39" t="s">
        <v>57</v>
      </c>
      <c r="O39" t="s">
        <v>57</v>
      </c>
      <c r="P39" t="s">
        <v>57</v>
      </c>
      <c r="Q39" t="s">
        <v>57</v>
      </c>
      <c r="X39" t="s">
        <v>296</v>
      </c>
      <c r="AB39" t="s">
        <v>297</v>
      </c>
      <c r="AH39" t="s">
        <v>283</v>
      </c>
      <c r="AJ39" s="3" t="s">
        <v>65</v>
      </c>
      <c r="AK39" s="3" t="s">
        <v>677</v>
      </c>
      <c r="AL39" s="3" t="s">
        <v>302</v>
      </c>
      <c r="AM39" s="4" t="s">
        <v>298</v>
      </c>
      <c r="AO39" s="4" t="s">
        <v>299</v>
      </c>
      <c r="AP39" s="5" t="s">
        <v>300</v>
      </c>
      <c r="AR39" s="5" t="s">
        <v>301</v>
      </c>
      <c r="AU39" s="3" t="s">
        <v>681</v>
      </c>
      <c r="AV39">
        <v>35</v>
      </c>
      <c r="AW39">
        <v>35</v>
      </c>
    </row>
    <row r="40" spans="1:49" hidden="1" x14ac:dyDescent="0.2">
      <c r="A40" t="s">
        <v>303</v>
      </c>
      <c r="B40">
        <v>2014</v>
      </c>
      <c r="C40" t="s">
        <v>304</v>
      </c>
      <c r="D40" t="s">
        <v>88</v>
      </c>
      <c r="E40" t="s">
        <v>88</v>
      </c>
      <c r="F40" t="s">
        <v>279</v>
      </c>
      <c r="G40" t="s">
        <v>305</v>
      </c>
      <c r="H40" t="s">
        <v>53</v>
      </c>
      <c r="I40" t="s">
        <v>54</v>
      </c>
      <c r="J40" t="s">
        <v>260</v>
      </c>
      <c r="L40" t="s">
        <v>57</v>
      </c>
      <c r="M40" t="s">
        <v>57</v>
      </c>
      <c r="N40" t="s">
        <v>57</v>
      </c>
      <c r="O40" t="s">
        <v>57</v>
      </c>
      <c r="P40" t="s">
        <v>58</v>
      </c>
      <c r="Q40" t="s">
        <v>57</v>
      </c>
      <c r="U40" t="s">
        <v>306</v>
      </c>
      <c r="AJ40" s="3" t="s">
        <v>65</v>
      </c>
      <c r="AK40" s="3" t="s">
        <v>459</v>
      </c>
      <c r="AL40" s="3" t="s">
        <v>67</v>
      </c>
      <c r="AM40" s="4" t="s">
        <v>307</v>
      </c>
      <c r="AN40" s="4" t="s">
        <v>308</v>
      </c>
      <c r="AO40" s="4" t="s">
        <v>309</v>
      </c>
      <c r="AP40" s="5" t="s">
        <v>310</v>
      </c>
      <c r="AQ40" s="5" t="s">
        <v>308</v>
      </c>
      <c r="AR40" s="5" t="s">
        <v>311</v>
      </c>
      <c r="AU40" s="3" t="s">
        <v>681</v>
      </c>
      <c r="AV40">
        <v>35</v>
      </c>
      <c r="AW40">
        <v>35</v>
      </c>
    </row>
    <row r="41" spans="1:49" hidden="1" x14ac:dyDescent="0.2">
      <c r="A41" t="s">
        <v>303</v>
      </c>
      <c r="B41">
        <v>2014</v>
      </c>
      <c r="C41" t="s">
        <v>312</v>
      </c>
      <c r="D41" t="s">
        <v>49</v>
      </c>
      <c r="E41" t="s">
        <v>50</v>
      </c>
      <c r="F41" t="s">
        <v>279</v>
      </c>
      <c r="G41" t="s">
        <v>305</v>
      </c>
      <c r="H41" t="s">
        <v>53</v>
      </c>
      <c r="I41" t="s">
        <v>54</v>
      </c>
      <c r="J41" t="s">
        <v>260</v>
      </c>
      <c r="L41" t="s">
        <v>57</v>
      </c>
      <c r="M41" t="s">
        <v>57</v>
      </c>
      <c r="N41" t="s">
        <v>57</v>
      </c>
      <c r="O41" t="s">
        <v>57</v>
      </c>
      <c r="P41" t="s">
        <v>58</v>
      </c>
      <c r="Q41" t="s">
        <v>57</v>
      </c>
      <c r="U41" t="s">
        <v>306</v>
      </c>
      <c r="AJ41" s="3" t="s">
        <v>65</v>
      </c>
      <c r="AK41" s="3" t="s">
        <v>459</v>
      </c>
      <c r="AL41" s="3" t="s">
        <v>67</v>
      </c>
      <c r="AM41" s="4" t="s">
        <v>313</v>
      </c>
      <c r="AN41" s="4" t="s">
        <v>308</v>
      </c>
      <c r="AO41" s="4" t="s">
        <v>314</v>
      </c>
      <c r="AP41" s="5" t="s">
        <v>315</v>
      </c>
      <c r="AQ41" s="5" t="s">
        <v>308</v>
      </c>
      <c r="AR41" s="5" t="s">
        <v>316</v>
      </c>
      <c r="AU41" s="3" t="s">
        <v>681</v>
      </c>
      <c r="AV41">
        <v>35</v>
      </c>
      <c r="AW41">
        <v>35</v>
      </c>
    </row>
    <row r="42" spans="1:49" hidden="1" x14ac:dyDescent="0.2">
      <c r="A42" t="s">
        <v>303</v>
      </c>
      <c r="B42">
        <v>2014</v>
      </c>
      <c r="C42" t="s">
        <v>304</v>
      </c>
      <c r="D42" t="s">
        <v>88</v>
      </c>
      <c r="E42" t="s">
        <v>88</v>
      </c>
      <c r="F42" t="s">
        <v>279</v>
      </c>
      <c r="G42" t="s">
        <v>305</v>
      </c>
      <c r="H42" t="s">
        <v>53</v>
      </c>
      <c r="I42" t="s">
        <v>54</v>
      </c>
      <c r="J42" t="s">
        <v>260</v>
      </c>
      <c r="L42" t="s">
        <v>57</v>
      </c>
      <c r="M42" t="s">
        <v>57</v>
      </c>
      <c r="N42" t="s">
        <v>57</v>
      </c>
      <c r="O42" t="s">
        <v>57</v>
      </c>
      <c r="P42" t="s">
        <v>58</v>
      </c>
      <c r="Q42" t="s">
        <v>57</v>
      </c>
      <c r="U42" t="s">
        <v>306</v>
      </c>
      <c r="AJ42" s="3" t="s">
        <v>317</v>
      </c>
      <c r="AK42" s="3" t="s">
        <v>678</v>
      </c>
      <c r="AL42" s="3" t="s">
        <v>67</v>
      </c>
      <c r="AM42" s="4" t="s">
        <v>318</v>
      </c>
      <c r="AN42" s="4" t="s">
        <v>308</v>
      </c>
      <c r="AO42" s="4" t="s">
        <v>319</v>
      </c>
      <c r="AP42" s="5" t="s">
        <v>320</v>
      </c>
      <c r="AQ42" s="5" t="s">
        <v>308</v>
      </c>
      <c r="AR42" s="5" t="s">
        <v>321</v>
      </c>
      <c r="AU42" s="3" t="s">
        <v>681</v>
      </c>
      <c r="AV42">
        <v>35</v>
      </c>
      <c r="AW42">
        <v>35</v>
      </c>
    </row>
    <row r="43" spans="1:49" hidden="1" x14ac:dyDescent="0.2">
      <c r="A43" t="s">
        <v>303</v>
      </c>
      <c r="B43">
        <v>2014</v>
      </c>
      <c r="C43" t="s">
        <v>312</v>
      </c>
      <c r="D43" t="s">
        <v>49</v>
      </c>
      <c r="E43" t="s">
        <v>50</v>
      </c>
      <c r="F43" t="s">
        <v>279</v>
      </c>
      <c r="G43" t="s">
        <v>305</v>
      </c>
      <c r="H43" t="s">
        <v>53</v>
      </c>
      <c r="I43" t="s">
        <v>54</v>
      </c>
      <c r="J43" t="s">
        <v>260</v>
      </c>
      <c r="L43" t="s">
        <v>57</v>
      </c>
      <c r="M43" t="s">
        <v>57</v>
      </c>
      <c r="N43" t="s">
        <v>57</v>
      </c>
      <c r="O43" t="s">
        <v>57</v>
      </c>
      <c r="P43" t="s">
        <v>58</v>
      </c>
      <c r="Q43" t="s">
        <v>57</v>
      </c>
      <c r="U43" t="s">
        <v>306</v>
      </c>
      <c r="AJ43" s="3" t="s">
        <v>317</v>
      </c>
      <c r="AK43" s="3" t="s">
        <v>678</v>
      </c>
      <c r="AL43" s="3" t="s">
        <v>67</v>
      </c>
      <c r="AM43" s="4" t="s">
        <v>222</v>
      </c>
      <c r="AN43" s="4" t="s">
        <v>308</v>
      </c>
      <c r="AO43" s="4" t="s">
        <v>322</v>
      </c>
      <c r="AP43" s="5" t="s">
        <v>323</v>
      </c>
      <c r="AQ43" s="5" t="s">
        <v>308</v>
      </c>
      <c r="AR43" s="5" t="s">
        <v>324</v>
      </c>
      <c r="AU43" s="3" t="s">
        <v>681</v>
      </c>
      <c r="AV43">
        <v>35</v>
      </c>
      <c r="AW43">
        <v>35</v>
      </c>
    </row>
    <row r="44" spans="1:49" hidden="1" x14ac:dyDescent="0.2">
      <c r="A44" t="s">
        <v>303</v>
      </c>
      <c r="B44">
        <v>2014</v>
      </c>
      <c r="C44" t="s">
        <v>304</v>
      </c>
      <c r="D44" t="s">
        <v>88</v>
      </c>
      <c r="E44" t="s">
        <v>88</v>
      </c>
      <c r="F44" t="s">
        <v>279</v>
      </c>
      <c r="G44" t="s">
        <v>305</v>
      </c>
      <c r="H44" t="s">
        <v>53</v>
      </c>
      <c r="I44" t="s">
        <v>54</v>
      </c>
      <c r="J44" t="s">
        <v>260</v>
      </c>
      <c r="L44" t="s">
        <v>57</v>
      </c>
      <c r="M44" t="s">
        <v>57</v>
      </c>
      <c r="N44" t="s">
        <v>57</v>
      </c>
      <c r="O44" t="s">
        <v>57</v>
      </c>
      <c r="P44" t="s">
        <v>58</v>
      </c>
      <c r="Q44" t="s">
        <v>57</v>
      </c>
      <c r="U44" t="s">
        <v>306</v>
      </c>
      <c r="AJ44" s="3" t="s">
        <v>249</v>
      </c>
      <c r="AK44" s="3" t="s">
        <v>513</v>
      </c>
      <c r="AL44" s="3" t="s">
        <v>67</v>
      </c>
      <c r="AM44" s="4" t="s">
        <v>325</v>
      </c>
      <c r="AN44" s="4" t="s">
        <v>308</v>
      </c>
      <c r="AO44" s="4" t="s">
        <v>326</v>
      </c>
      <c r="AP44" s="5" t="s">
        <v>327</v>
      </c>
      <c r="AQ44" s="5" t="s">
        <v>308</v>
      </c>
      <c r="AR44" s="5" t="s">
        <v>223</v>
      </c>
      <c r="AU44" s="3" t="s">
        <v>681</v>
      </c>
      <c r="AV44">
        <v>35</v>
      </c>
      <c r="AW44">
        <v>35</v>
      </c>
    </row>
    <row r="45" spans="1:49" hidden="1" x14ac:dyDescent="0.2">
      <c r="A45" t="s">
        <v>303</v>
      </c>
      <c r="B45">
        <v>2014</v>
      </c>
      <c r="C45" t="s">
        <v>312</v>
      </c>
      <c r="D45" t="s">
        <v>49</v>
      </c>
      <c r="E45" t="s">
        <v>50</v>
      </c>
      <c r="F45" t="s">
        <v>279</v>
      </c>
      <c r="G45" t="s">
        <v>305</v>
      </c>
      <c r="H45" t="s">
        <v>53</v>
      </c>
      <c r="I45" t="s">
        <v>54</v>
      </c>
      <c r="J45" t="s">
        <v>260</v>
      </c>
      <c r="L45" t="s">
        <v>57</v>
      </c>
      <c r="M45" t="s">
        <v>57</v>
      </c>
      <c r="N45" t="s">
        <v>57</v>
      </c>
      <c r="O45" t="s">
        <v>57</v>
      </c>
      <c r="P45" t="s">
        <v>58</v>
      </c>
      <c r="Q45" t="s">
        <v>57</v>
      </c>
      <c r="U45" t="s">
        <v>306</v>
      </c>
      <c r="AJ45" s="3" t="s">
        <v>249</v>
      </c>
      <c r="AK45" s="3" t="s">
        <v>513</v>
      </c>
      <c r="AL45" s="3" t="s">
        <v>67</v>
      </c>
      <c r="AM45" s="4" t="s">
        <v>328</v>
      </c>
      <c r="AN45" s="4" t="s">
        <v>308</v>
      </c>
      <c r="AO45" s="4" t="s">
        <v>329</v>
      </c>
      <c r="AP45" s="5" t="s">
        <v>330</v>
      </c>
      <c r="AQ45" s="5" t="s">
        <v>308</v>
      </c>
      <c r="AR45" s="5" t="s">
        <v>331</v>
      </c>
      <c r="AU45" s="3" t="s">
        <v>681</v>
      </c>
      <c r="AV45">
        <v>35</v>
      </c>
      <c r="AW45">
        <v>35</v>
      </c>
    </row>
    <row r="46" spans="1:49" hidden="1" x14ac:dyDescent="0.2">
      <c r="A46" t="s">
        <v>332</v>
      </c>
      <c r="B46">
        <v>2018</v>
      </c>
      <c r="C46" t="s">
        <v>333</v>
      </c>
      <c r="D46" t="s">
        <v>49</v>
      </c>
      <c r="E46" t="s">
        <v>75</v>
      </c>
      <c r="F46" t="s">
        <v>334</v>
      </c>
      <c r="G46" t="s">
        <v>335</v>
      </c>
      <c r="H46" t="s">
        <v>91</v>
      </c>
      <c r="I46" t="s">
        <v>54</v>
      </c>
      <c r="J46" t="s">
        <v>92</v>
      </c>
      <c r="K46" t="s">
        <v>56</v>
      </c>
      <c r="L46" t="s">
        <v>58</v>
      </c>
      <c r="M46" t="s">
        <v>58</v>
      </c>
      <c r="N46" t="s">
        <v>93</v>
      </c>
      <c r="O46" t="s">
        <v>57</v>
      </c>
      <c r="P46" t="s">
        <v>58</v>
      </c>
      <c r="Q46" t="s">
        <v>57</v>
      </c>
      <c r="T46" t="s">
        <v>336</v>
      </c>
      <c r="U46" t="s">
        <v>337</v>
      </c>
      <c r="X46" t="s">
        <v>338</v>
      </c>
      <c r="AB46" t="s">
        <v>339</v>
      </c>
      <c r="AH46" t="s">
        <v>64</v>
      </c>
      <c r="AJ46" s="3" t="s">
        <v>676</v>
      </c>
      <c r="AK46" s="3" t="s">
        <v>675</v>
      </c>
      <c r="AL46" s="3" t="s">
        <v>67</v>
      </c>
      <c r="AM46" s="4" t="s">
        <v>340</v>
      </c>
      <c r="AN46" s="4" t="s">
        <v>341</v>
      </c>
      <c r="AO46" s="4" t="s">
        <v>342</v>
      </c>
      <c r="AP46" s="5" t="s">
        <v>343</v>
      </c>
      <c r="AQ46" s="5" t="s">
        <v>341</v>
      </c>
      <c r="AR46" s="5" t="s">
        <v>344</v>
      </c>
      <c r="AU46" s="3" t="s">
        <v>345</v>
      </c>
      <c r="AV46">
        <f>12*7</f>
        <v>84</v>
      </c>
      <c r="AW46">
        <v>35</v>
      </c>
    </row>
    <row r="47" spans="1:49" hidden="1" x14ac:dyDescent="0.2">
      <c r="A47" t="s">
        <v>332</v>
      </c>
      <c r="B47">
        <v>2018</v>
      </c>
      <c r="C47" t="s">
        <v>346</v>
      </c>
      <c r="D47" t="s">
        <v>88</v>
      </c>
      <c r="E47" t="s">
        <v>88</v>
      </c>
      <c r="F47" t="s">
        <v>334</v>
      </c>
      <c r="G47" t="s">
        <v>335</v>
      </c>
      <c r="H47" t="s">
        <v>91</v>
      </c>
      <c r="I47" t="s">
        <v>54</v>
      </c>
      <c r="J47" t="s">
        <v>92</v>
      </c>
      <c r="K47" t="s">
        <v>56</v>
      </c>
      <c r="L47" t="s">
        <v>58</v>
      </c>
      <c r="M47" t="s">
        <v>58</v>
      </c>
      <c r="N47" t="s">
        <v>93</v>
      </c>
      <c r="O47" t="s">
        <v>57</v>
      </c>
      <c r="P47" t="s">
        <v>58</v>
      </c>
      <c r="Q47" t="s">
        <v>57</v>
      </c>
      <c r="T47" t="s">
        <v>347</v>
      </c>
      <c r="U47" t="s">
        <v>348</v>
      </c>
      <c r="X47" t="s">
        <v>349</v>
      </c>
      <c r="AB47" t="s">
        <v>350</v>
      </c>
      <c r="AH47" t="s">
        <v>100</v>
      </c>
      <c r="AJ47" s="3" t="s">
        <v>676</v>
      </c>
      <c r="AK47" s="3" t="s">
        <v>675</v>
      </c>
      <c r="AL47" s="3" t="s">
        <v>67</v>
      </c>
      <c r="AM47" s="4" t="s">
        <v>351</v>
      </c>
      <c r="AN47" s="4" t="s">
        <v>341</v>
      </c>
      <c r="AO47" s="4" t="s">
        <v>352</v>
      </c>
      <c r="AP47" s="5" t="s">
        <v>353</v>
      </c>
      <c r="AQ47" s="5" t="s">
        <v>341</v>
      </c>
      <c r="AR47" s="5" t="s">
        <v>354</v>
      </c>
      <c r="AU47" s="3" t="s">
        <v>345</v>
      </c>
      <c r="AV47">
        <f>12*7</f>
        <v>84</v>
      </c>
      <c r="AW47">
        <v>35</v>
      </c>
    </row>
    <row r="48" spans="1:49" hidden="1" x14ac:dyDescent="0.2">
      <c r="A48" t="s">
        <v>332</v>
      </c>
      <c r="B48">
        <v>2018</v>
      </c>
      <c r="C48" t="s">
        <v>333</v>
      </c>
      <c r="D48" t="s">
        <v>49</v>
      </c>
      <c r="E48" t="s">
        <v>75</v>
      </c>
      <c r="F48" t="s">
        <v>334</v>
      </c>
      <c r="G48" t="s">
        <v>335</v>
      </c>
      <c r="H48" t="s">
        <v>91</v>
      </c>
      <c r="I48" t="s">
        <v>54</v>
      </c>
      <c r="J48" t="s">
        <v>92</v>
      </c>
      <c r="K48" t="s">
        <v>56</v>
      </c>
      <c r="L48" t="s">
        <v>58</v>
      </c>
      <c r="M48" t="s">
        <v>58</v>
      </c>
      <c r="N48" t="s">
        <v>93</v>
      </c>
      <c r="O48" t="s">
        <v>57</v>
      </c>
      <c r="P48" t="s">
        <v>58</v>
      </c>
      <c r="Q48" t="s">
        <v>57</v>
      </c>
      <c r="T48" t="s">
        <v>336</v>
      </c>
      <c r="U48" t="s">
        <v>337</v>
      </c>
      <c r="X48" t="s">
        <v>338</v>
      </c>
      <c r="AB48" t="s">
        <v>339</v>
      </c>
      <c r="AH48" t="s">
        <v>64</v>
      </c>
      <c r="AJ48" s="3" t="s">
        <v>360</v>
      </c>
      <c r="AL48" s="3" t="s">
        <v>67</v>
      </c>
      <c r="AM48" s="4" t="s">
        <v>361</v>
      </c>
      <c r="AN48" s="4" t="s">
        <v>341</v>
      </c>
      <c r="AO48" s="4" t="s">
        <v>362</v>
      </c>
      <c r="AP48" s="5" t="s">
        <v>369</v>
      </c>
      <c r="AQ48" s="5" t="s">
        <v>341</v>
      </c>
      <c r="AR48" s="5" t="s">
        <v>370</v>
      </c>
      <c r="AU48" s="3" t="s">
        <v>345</v>
      </c>
      <c r="AV48">
        <f>12*7</f>
        <v>84</v>
      </c>
      <c r="AW48">
        <v>35</v>
      </c>
    </row>
    <row r="49" spans="1:49" hidden="1" x14ac:dyDescent="0.2">
      <c r="A49" t="s">
        <v>332</v>
      </c>
      <c r="B49">
        <v>2018</v>
      </c>
      <c r="C49" t="s">
        <v>333</v>
      </c>
      <c r="D49" t="s">
        <v>49</v>
      </c>
      <c r="E49" t="s">
        <v>75</v>
      </c>
      <c r="F49" t="s">
        <v>334</v>
      </c>
      <c r="G49" t="s">
        <v>335</v>
      </c>
      <c r="H49" t="s">
        <v>91</v>
      </c>
      <c r="I49" t="s">
        <v>54</v>
      </c>
      <c r="J49" t="s">
        <v>92</v>
      </c>
      <c r="K49" t="s">
        <v>56</v>
      </c>
      <c r="L49" t="s">
        <v>58</v>
      </c>
      <c r="M49" t="s">
        <v>58</v>
      </c>
      <c r="N49" t="s">
        <v>93</v>
      </c>
      <c r="O49" t="s">
        <v>57</v>
      </c>
      <c r="P49" t="s">
        <v>58</v>
      </c>
      <c r="Q49" t="s">
        <v>57</v>
      </c>
      <c r="T49" t="s">
        <v>336</v>
      </c>
      <c r="U49" t="s">
        <v>337</v>
      </c>
      <c r="X49" t="s">
        <v>338</v>
      </c>
      <c r="AB49" t="s">
        <v>339</v>
      </c>
      <c r="AH49" t="s">
        <v>64</v>
      </c>
      <c r="AJ49" s="3" t="s">
        <v>360</v>
      </c>
      <c r="AL49" s="3" t="s">
        <v>67</v>
      </c>
      <c r="AM49" s="4" t="s">
        <v>365</v>
      </c>
      <c r="AN49" s="4" t="s">
        <v>341</v>
      </c>
      <c r="AO49" s="4" t="s">
        <v>366</v>
      </c>
      <c r="AP49" s="5" t="s">
        <v>371</v>
      </c>
      <c r="AQ49" s="5" t="s">
        <v>341</v>
      </c>
      <c r="AR49" s="5" t="s">
        <v>372</v>
      </c>
      <c r="AU49" s="3" t="s">
        <v>345</v>
      </c>
      <c r="AV49">
        <f>12*7</f>
        <v>84</v>
      </c>
      <c r="AW49">
        <v>35</v>
      </c>
    </row>
    <row r="50" spans="1:49" hidden="1" x14ac:dyDescent="0.2">
      <c r="A50" t="s">
        <v>332</v>
      </c>
      <c r="B50">
        <v>2018</v>
      </c>
      <c r="C50" t="s">
        <v>333</v>
      </c>
      <c r="D50" t="s">
        <v>49</v>
      </c>
      <c r="E50" t="s">
        <v>75</v>
      </c>
      <c r="F50" t="s">
        <v>334</v>
      </c>
      <c r="G50" t="s">
        <v>335</v>
      </c>
      <c r="H50" t="s">
        <v>91</v>
      </c>
      <c r="I50" t="s">
        <v>54</v>
      </c>
      <c r="J50" t="s">
        <v>92</v>
      </c>
      <c r="K50" t="s">
        <v>56</v>
      </c>
      <c r="L50" t="s">
        <v>58</v>
      </c>
      <c r="M50" t="s">
        <v>58</v>
      </c>
      <c r="N50" t="s">
        <v>93</v>
      </c>
      <c r="O50" t="s">
        <v>57</v>
      </c>
      <c r="P50" t="s">
        <v>58</v>
      </c>
      <c r="Q50" t="s">
        <v>57</v>
      </c>
      <c r="T50" t="s">
        <v>336</v>
      </c>
      <c r="U50" t="s">
        <v>337</v>
      </c>
      <c r="X50" t="s">
        <v>338</v>
      </c>
      <c r="AB50" t="s">
        <v>339</v>
      </c>
      <c r="AH50" t="s">
        <v>64</v>
      </c>
      <c r="AJ50" s="3" t="s">
        <v>676</v>
      </c>
      <c r="AK50" s="3" t="s">
        <v>675</v>
      </c>
      <c r="AL50" s="3" t="s">
        <v>67</v>
      </c>
      <c r="AM50" s="4" t="s">
        <v>340</v>
      </c>
      <c r="AN50" s="4" t="s">
        <v>341</v>
      </c>
      <c r="AO50" s="4" t="s">
        <v>342</v>
      </c>
      <c r="AP50" s="5" t="s">
        <v>340</v>
      </c>
      <c r="AQ50" s="5" t="s">
        <v>341</v>
      </c>
      <c r="AR50" s="5" t="s">
        <v>342</v>
      </c>
      <c r="AU50" s="3" t="s">
        <v>359</v>
      </c>
      <c r="AV50">
        <v>140</v>
      </c>
      <c r="AW50">
        <v>35</v>
      </c>
    </row>
    <row r="51" spans="1:49" hidden="1" x14ac:dyDescent="0.2">
      <c r="A51" t="s">
        <v>332</v>
      </c>
      <c r="B51">
        <v>2018</v>
      </c>
      <c r="C51" t="s">
        <v>346</v>
      </c>
      <c r="D51" t="s">
        <v>88</v>
      </c>
      <c r="E51" t="s">
        <v>88</v>
      </c>
      <c r="F51" t="s">
        <v>334</v>
      </c>
      <c r="G51" t="s">
        <v>335</v>
      </c>
      <c r="H51" t="s">
        <v>91</v>
      </c>
      <c r="I51" t="s">
        <v>54</v>
      </c>
      <c r="J51" t="s">
        <v>92</v>
      </c>
      <c r="K51" t="s">
        <v>56</v>
      </c>
      <c r="L51" t="s">
        <v>58</v>
      </c>
      <c r="M51" t="s">
        <v>58</v>
      </c>
      <c r="N51" t="s">
        <v>93</v>
      </c>
      <c r="O51" t="s">
        <v>57</v>
      </c>
      <c r="P51" t="s">
        <v>58</v>
      </c>
      <c r="Q51" t="s">
        <v>57</v>
      </c>
      <c r="T51" t="s">
        <v>347</v>
      </c>
      <c r="U51" t="s">
        <v>348</v>
      </c>
      <c r="X51" t="s">
        <v>349</v>
      </c>
      <c r="AB51" t="s">
        <v>350</v>
      </c>
      <c r="AH51" t="s">
        <v>100</v>
      </c>
      <c r="AJ51" s="3" t="s">
        <v>676</v>
      </c>
      <c r="AK51" s="3" t="s">
        <v>675</v>
      </c>
      <c r="AL51" s="3" t="s">
        <v>67</v>
      </c>
      <c r="AM51" s="4" t="s">
        <v>351</v>
      </c>
      <c r="AN51" s="4" t="s">
        <v>341</v>
      </c>
      <c r="AO51" s="4" t="s">
        <v>352</v>
      </c>
      <c r="AP51" s="5" t="s">
        <v>351</v>
      </c>
      <c r="AQ51" s="5" t="s">
        <v>341</v>
      </c>
      <c r="AR51" s="5" t="s">
        <v>352</v>
      </c>
      <c r="AU51" s="3" t="s">
        <v>359</v>
      </c>
      <c r="AV51">
        <v>140</v>
      </c>
      <c r="AW51">
        <v>35</v>
      </c>
    </row>
    <row r="52" spans="1:49" hidden="1" x14ac:dyDescent="0.2">
      <c r="A52" t="s">
        <v>332</v>
      </c>
      <c r="B52">
        <v>2018</v>
      </c>
      <c r="C52" t="s">
        <v>333</v>
      </c>
      <c r="D52" t="s">
        <v>49</v>
      </c>
      <c r="E52" t="s">
        <v>75</v>
      </c>
      <c r="F52" t="s">
        <v>334</v>
      </c>
      <c r="G52" t="s">
        <v>335</v>
      </c>
      <c r="H52" t="s">
        <v>91</v>
      </c>
      <c r="I52" t="s">
        <v>54</v>
      </c>
      <c r="J52" t="s">
        <v>92</v>
      </c>
      <c r="K52" t="s">
        <v>56</v>
      </c>
      <c r="L52" t="s">
        <v>58</v>
      </c>
      <c r="M52" t="s">
        <v>58</v>
      </c>
      <c r="N52" t="s">
        <v>93</v>
      </c>
      <c r="O52" t="s">
        <v>57</v>
      </c>
      <c r="P52" t="s">
        <v>58</v>
      </c>
      <c r="Q52" t="s">
        <v>57</v>
      </c>
      <c r="T52" t="s">
        <v>336</v>
      </c>
      <c r="U52" t="s">
        <v>337</v>
      </c>
      <c r="X52" t="s">
        <v>338</v>
      </c>
      <c r="AB52" t="s">
        <v>339</v>
      </c>
      <c r="AH52" t="s">
        <v>64</v>
      </c>
      <c r="AJ52" s="3" t="s">
        <v>360</v>
      </c>
      <c r="AL52" s="3" t="s">
        <v>67</v>
      </c>
      <c r="AM52" s="4" t="s">
        <v>361</v>
      </c>
      <c r="AN52" s="4" t="s">
        <v>341</v>
      </c>
      <c r="AO52" s="4" t="s">
        <v>362</v>
      </c>
      <c r="AP52" s="5" t="s">
        <v>373</v>
      </c>
      <c r="AQ52" s="5" t="s">
        <v>341</v>
      </c>
      <c r="AR52" s="5" t="s">
        <v>374</v>
      </c>
      <c r="AU52" s="3" t="s">
        <v>359</v>
      </c>
      <c r="AV52">
        <v>140</v>
      </c>
      <c r="AW52">
        <v>35</v>
      </c>
    </row>
    <row r="53" spans="1:49" hidden="1" x14ac:dyDescent="0.2">
      <c r="A53" t="s">
        <v>332</v>
      </c>
      <c r="B53">
        <v>2018</v>
      </c>
      <c r="C53" t="s">
        <v>333</v>
      </c>
      <c r="D53" t="s">
        <v>49</v>
      </c>
      <c r="E53" t="s">
        <v>75</v>
      </c>
      <c r="F53" t="s">
        <v>334</v>
      </c>
      <c r="G53" t="s">
        <v>335</v>
      </c>
      <c r="H53" t="s">
        <v>91</v>
      </c>
      <c r="I53" t="s">
        <v>54</v>
      </c>
      <c r="J53" t="s">
        <v>92</v>
      </c>
      <c r="K53" t="s">
        <v>56</v>
      </c>
      <c r="L53" t="s">
        <v>58</v>
      </c>
      <c r="M53" t="s">
        <v>58</v>
      </c>
      <c r="N53" t="s">
        <v>93</v>
      </c>
      <c r="O53" t="s">
        <v>57</v>
      </c>
      <c r="P53" t="s">
        <v>58</v>
      </c>
      <c r="Q53" t="s">
        <v>57</v>
      </c>
      <c r="T53" t="s">
        <v>336</v>
      </c>
      <c r="U53" t="s">
        <v>337</v>
      </c>
      <c r="X53" t="s">
        <v>338</v>
      </c>
      <c r="AB53" t="s">
        <v>339</v>
      </c>
      <c r="AH53" t="s">
        <v>64</v>
      </c>
      <c r="AJ53" s="3" t="s">
        <v>360</v>
      </c>
      <c r="AL53" s="3" t="s">
        <v>67</v>
      </c>
      <c r="AM53" s="4" t="s">
        <v>365</v>
      </c>
      <c r="AN53" s="4" t="s">
        <v>341</v>
      </c>
      <c r="AO53" s="4" t="s">
        <v>366</v>
      </c>
      <c r="AP53" s="5" t="s">
        <v>369</v>
      </c>
      <c r="AQ53" s="5" t="s">
        <v>341</v>
      </c>
      <c r="AR53" s="5" t="s">
        <v>375</v>
      </c>
      <c r="AU53" s="3" t="s">
        <v>359</v>
      </c>
      <c r="AV53">
        <v>140</v>
      </c>
      <c r="AW53">
        <v>35</v>
      </c>
    </row>
    <row r="54" spans="1:49" hidden="1" x14ac:dyDescent="0.2">
      <c r="A54" t="s">
        <v>332</v>
      </c>
      <c r="B54">
        <v>2018</v>
      </c>
      <c r="C54" t="s">
        <v>333</v>
      </c>
      <c r="D54" t="s">
        <v>49</v>
      </c>
      <c r="E54" t="s">
        <v>75</v>
      </c>
      <c r="F54" t="s">
        <v>334</v>
      </c>
      <c r="G54" t="s">
        <v>335</v>
      </c>
      <c r="H54" t="s">
        <v>91</v>
      </c>
      <c r="I54" t="s">
        <v>54</v>
      </c>
      <c r="J54" t="s">
        <v>92</v>
      </c>
      <c r="K54" t="s">
        <v>56</v>
      </c>
      <c r="L54" t="s">
        <v>58</v>
      </c>
      <c r="M54" t="s">
        <v>58</v>
      </c>
      <c r="N54" t="s">
        <v>93</v>
      </c>
      <c r="O54" t="s">
        <v>57</v>
      </c>
      <c r="P54" t="s">
        <v>58</v>
      </c>
      <c r="Q54" t="s">
        <v>57</v>
      </c>
      <c r="T54" t="s">
        <v>336</v>
      </c>
      <c r="U54" t="s">
        <v>337</v>
      </c>
      <c r="X54" t="s">
        <v>338</v>
      </c>
      <c r="AB54" t="s">
        <v>339</v>
      </c>
      <c r="AH54" t="s">
        <v>64</v>
      </c>
      <c r="AJ54" s="3" t="s">
        <v>676</v>
      </c>
      <c r="AK54" s="3" t="s">
        <v>675</v>
      </c>
      <c r="AL54" s="3" t="s">
        <v>67</v>
      </c>
      <c r="AM54" s="4" t="s">
        <v>340</v>
      </c>
      <c r="AN54" s="4" t="s">
        <v>341</v>
      </c>
      <c r="AO54" s="4" t="s">
        <v>342</v>
      </c>
      <c r="AP54" s="5" t="s">
        <v>355</v>
      </c>
      <c r="AQ54" s="5" t="s">
        <v>341</v>
      </c>
      <c r="AR54" s="5" t="s">
        <v>356</v>
      </c>
      <c r="AU54" s="3" t="s">
        <v>73</v>
      </c>
      <c r="AV54">
        <v>56</v>
      </c>
      <c r="AW54">
        <v>35</v>
      </c>
    </row>
    <row r="55" spans="1:49" hidden="1" x14ac:dyDescent="0.2">
      <c r="A55" t="s">
        <v>332</v>
      </c>
      <c r="B55">
        <v>2018</v>
      </c>
      <c r="C55" t="s">
        <v>346</v>
      </c>
      <c r="D55" t="s">
        <v>88</v>
      </c>
      <c r="E55" t="s">
        <v>88</v>
      </c>
      <c r="F55" t="s">
        <v>334</v>
      </c>
      <c r="G55" t="s">
        <v>335</v>
      </c>
      <c r="H55" t="s">
        <v>91</v>
      </c>
      <c r="I55" t="s">
        <v>54</v>
      </c>
      <c r="J55" t="s">
        <v>92</v>
      </c>
      <c r="K55" t="s">
        <v>56</v>
      </c>
      <c r="L55" t="s">
        <v>58</v>
      </c>
      <c r="M55" t="s">
        <v>58</v>
      </c>
      <c r="N55" t="s">
        <v>93</v>
      </c>
      <c r="O55" t="s">
        <v>57</v>
      </c>
      <c r="P55" t="s">
        <v>58</v>
      </c>
      <c r="Q55" t="s">
        <v>57</v>
      </c>
      <c r="T55" t="s">
        <v>347</v>
      </c>
      <c r="U55" t="s">
        <v>348</v>
      </c>
      <c r="X55" t="s">
        <v>349</v>
      </c>
      <c r="AB55" t="s">
        <v>350</v>
      </c>
      <c r="AH55" t="s">
        <v>100</v>
      </c>
      <c r="AJ55" s="3" t="s">
        <v>676</v>
      </c>
      <c r="AK55" s="3" t="s">
        <v>675</v>
      </c>
      <c r="AL55" s="3" t="s">
        <v>67</v>
      </c>
      <c r="AM55" s="4" t="s">
        <v>351</v>
      </c>
      <c r="AN55" s="4" t="s">
        <v>341</v>
      </c>
      <c r="AO55" s="4" t="s">
        <v>352</v>
      </c>
      <c r="AP55" s="5" t="s">
        <v>357</v>
      </c>
      <c r="AQ55" s="5" t="s">
        <v>341</v>
      </c>
      <c r="AR55" s="5" t="s">
        <v>358</v>
      </c>
      <c r="AU55" s="3" t="s">
        <v>73</v>
      </c>
      <c r="AV55">
        <v>56</v>
      </c>
      <c r="AW55">
        <v>35</v>
      </c>
    </row>
    <row r="56" spans="1:49" hidden="1" x14ac:dyDescent="0.2">
      <c r="A56" t="s">
        <v>332</v>
      </c>
      <c r="B56">
        <v>2018</v>
      </c>
      <c r="C56" t="s">
        <v>333</v>
      </c>
      <c r="D56" t="s">
        <v>49</v>
      </c>
      <c r="E56" t="s">
        <v>75</v>
      </c>
      <c r="F56" t="s">
        <v>334</v>
      </c>
      <c r="G56" t="s">
        <v>335</v>
      </c>
      <c r="H56" t="s">
        <v>91</v>
      </c>
      <c r="I56" t="s">
        <v>54</v>
      </c>
      <c r="J56" t="s">
        <v>92</v>
      </c>
      <c r="K56" t="s">
        <v>56</v>
      </c>
      <c r="L56" t="s">
        <v>58</v>
      </c>
      <c r="M56" t="s">
        <v>58</v>
      </c>
      <c r="N56" t="s">
        <v>93</v>
      </c>
      <c r="O56" t="s">
        <v>57</v>
      </c>
      <c r="P56" t="s">
        <v>58</v>
      </c>
      <c r="Q56" t="s">
        <v>57</v>
      </c>
      <c r="T56" t="s">
        <v>336</v>
      </c>
      <c r="U56" t="s">
        <v>337</v>
      </c>
      <c r="X56" t="s">
        <v>338</v>
      </c>
      <c r="AB56" t="s">
        <v>339</v>
      </c>
      <c r="AH56" t="s">
        <v>64</v>
      </c>
      <c r="AJ56" s="3" t="s">
        <v>360</v>
      </c>
      <c r="AL56" s="3" t="s">
        <v>67</v>
      </c>
      <c r="AM56" s="4" t="s">
        <v>361</v>
      </c>
      <c r="AN56" s="4" t="s">
        <v>341</v>
      </c>
      <c r="AO56" s="4" t="s">
        <v>362</v>
      </c>
      <c r="AP56" s="5" t="s">
        <v>363</v>
      </c>
      <c r="AQ56" s="5" t="s">
        <v>341</v>
      </c>
      <c r="AR56" s="5" t="s">
        <v>364</v>
      </c>
      <c r="AU56" s="3" t="s">
        <v>73</v>
      </c>
      <c r="AV56">
        <v>56</v>
      </c>
      <c r="AW56">
        <v>35</v>
      </c>
    </row>
    <row r="57" spans="1:49" hidden="1" x14ac:dyDescent="0.2">
      <c r="A57" t="s">
        <v>332</v>
      </c>
      <c r="B57">
        <v>2018</v>
      </c>
      <c r="C57" t="s">
        <v>333</v>
      </c>
      <c r="D57" t="s">
        <v>49</v>
      </c>
      <c r="E57" t="s">
        <v>75</v>
      </c>
      <c r="F57" t="s">
        <v>334</v>
      </c>
      <c r="G57" t="s">
        <v>335</v>
      </c>
      <c r="H57" t="s">
        <v>91</v>
      </c>
      <c r="I57" t="s">
        <v>54</v>
      </c>
      <c r="J57" t="s">
        <v>92</v>
      </c>
      <c r="K57" t="s">
        <v>56</v>
      </c>
      <c r="L57" t="s">
        <v>58</v>
      </c>
      <c r="M57" t="s">
        <v>58</v>
      </c>
      <c r="N57" t="s">
        <v>93</v>
      </c>
      <c r="O57" t="s">
        <v>57</v>
      </c>
      <c r="P57" t="s">
        <v>58</v>
      </c>
      <c r="Q57" t="s">
        <v>57</v>
      </c>
      <c r="T57" t="s">
        <v>336</v>
      </c>
      <c r="U57" t="s">
        <v>337</v>
      </c>
      <c r="X57" t="s">
        <v>338</v>
      </c>
      <c r="AB57" t="s">
        <v>339</v>
      </c>
      <c r="AH57" t="s">
        <v>64</v>
      </c>
      <c r="AJ57" s="3" t="s">
        <v>360</v>
      </c>
      <c r="AL57" s="3" t="s">
        <v>67</v>
      </c>
      <c r="AM57" s="4" t="s">
        <v>365</v>
      </c>
      <c r="AN57" s="4" t="s">
        <v>341</v>
      </c>
      <c r="AO57" s="4" t="s">
        <v>366</v>
      </c>
      <c r="AP57" s="5" t="s">
        <v>367</v>
      </c>
      <c r="AQ57" s="5" t="s">
        <v>341</v>
      </c>
      <c r="AR57" s="5" t="s">
        <v>368</v>
      </c>
      <c r="AU57" s="3" t="s">
        <v>73</v>
      </c>
      <c r="AV57">
        <v>56</v>
      </c>
      <c r="AW57">
        <v>35</v>
      </c>
    </row>
    <row r="58" spans="1:49" hidden="1" x14ac:dyDescent="0.2">
      <c r="A58" t="s">
        <v>376</v>
      </c>
      <c r="B58">
        <v>2010</v>
      </c>
      <c r="C58" t="s">
        <v>87</v>
      </c>
      <c r="D58" t="s">
        <v>88</v>
      </c>
      <c r="E58" t="s">
        <v>88</v>
      </c>
      <c r="F58" t="s">
        <v>279</v>
      </c>
      <c r="G58" t="s">
        <v>377</v>
      </c>
      <c r="H58" t="s">
        <v>91</v>
      </c>
      <c r="I58" t="s">
        <v>54</v>
      </c>
      <c r="J58" t="s">
        <v>260</v>
      </c>
      <c r="K58" t="s">
        <v>56</v>
      </c>
      <c r="L58" t="s">
        <v>58</v>
      </c>
      <c r="M58" t="s">
        <v>57</v>
      </c>
      <c r="N58" t="s">
        <v>57</v>
      </c>
      <c r="O58" t="s">
        <v>57</v>
      </c>
      <c r="P58" t="s">
        <v>58</v>
      </c>
      <c r="Q58" t="s">
        <v>57</v>
      </c>
      <c r="R58" t="s">
        <v>378</v>
      </c>
      <c r="S58" t="s">
        <v>379</v>
      </c>
      <c r="T58" t="s">
        <v>380</v>
      </c>
      <c r="U58" t="s">
        <v>381</v>
      </c>
      <c r="X58" t="s">
        <v>87</v>
      </c>
      <c r="AB58" t="s">
        <v>382</v>
      </c>
      <c r="AH58" t="s">
        <v>100</v>
      </c>
      <c r="AJ58" s="3" t="s">
        <v>65</v>
      </c>
      <c r="AK58" s="3" t="s">
        <v>66</v>
      </c>
      <c r="AL58" s="3" t="s">
        <v>67</v>
      </c>
      <c r="AM58" s="4" t="s">
        <v>383</v>
      </c>
      <c r="AN58" s="4" t="s">
        <v>384</v>
      </c>
      <c r="AO58" s="4" t="s">
        <v>385</v>
      </c>
      <c r="AP58" s="5" t="s">
        <v>400</v>
      </c>
      <c r="AQ58" s="5" t="s">
        <v>384</v>
      </c>
      <c r="AR58" s="5" t="s">
        <v>401</v>
      </c>
      <c r="AU58" s="3" t="s">
        <v>402</v>
      </c>
      <c r="AV58">
        <v>65</v>
      </c>
      <c r="AW58">
        <v>35</v>
      </c>
    </row>
    <row r="59" spans="1:49" hidden="1" x14ac:dyDescent="0.2">
      <c r="A59" t="s">
        <v>376</v>
      </c>
      <c r="B59">
        <v>2010</v>
      </c>
      <c r="C59" t="s">
        <v>388</v>
      </c>
      <c r="D59" t="s">
        <v>49</v>
      </c>
      <c r="E59" t="s">
        <v>75</v>
      </c>
      <c r="F59" t="s">
        <v>279</v>
      </c>
      <c r="G59" t="s">
        <v>377</v>
      </c>
      <c r="H59" t="s">
        <v>91</v>
      </c>
      <c r="I59" t="s">
        <v>54</v>
      </c>
      <c r="J59" t="s">
        <v>260</v>
      </c>
      <c r="K59" t="s">
        <v>56</v>
      </c>
      <c r="L59" t="s">
        <v>58</v>
      </c>
      <c r="M59" t="s">
        <v>57</v>
      </c>
      <c r="N59" t="s">
        <v>57</v>
      </c>
      <c r="O59" t="s">
        <v>57</v>
      </c>
      <c r="P59" t="s">
        <v>58</v>
      </c>
      <c r="Q59" t="s">
        <v>57</v>
      </c>
      <c r="R59" t="s">
        <v>389</v>
      </c>
      <c r="S59" t="s">
        <v>390</v>
      </c>
      <c r="T59" t="s">
        <v>391</v>
      </c>
      <c r="U59" t="s">
        <v>392</v>
      </c>
      <c r="X59" t="s">
        <v>393</v>
      </c>
      <c r="AB59" t="s">
        <v>394</v>
      </c>
      <c r="AH59" t="s">
        <v>395</v>
      </c>
      <c r="AJ59" s="3" t="s">
        <v>65</v>
      </c>
      <c r="AK59" s="3" t="s">
        <v>66</v>
      </c>
      <c r="AL59" s="3" t="s">
        <v>67</v>
      </c>
      <c r="AM59" s="4" t="s">
        <v>396</v>
      </c>
      <c r="AN59" s="4" t="s">
        <v>384</v>
      </c>
      <c r="AO59" s="4" t="s">
        <v>397</v>
      </c>
      <c r="AP59" s="5" t="s">
        <v>403</v>
      </c>
      <c r="AQ59" s="5" t="s">
        <v>384</v>
      </c>
      <c r="AR59" s="5" t="s">
        <v>404</v>
      </c>
      <c r="AU59" s="3" t="s">
        <v>402</v>
      </c>
      <c r="AV59">
        <v>65</v>
      </c>
      <c r="AW59">
        <v>35</v>
      </c>
    </row>
    <row r="60" spans="1:49" hidden="1" x14ac:dyDescent="0.2">
      <c r="A60" t="s">
        <v>376</v>
      </c>
      <c r="B60">
        <v>2010</v>
      </c>
      <c r="C60" t="s">
        <v>87</v>
      </c>
      <c r="D60" t="s">
        <v>88</v>
      </c>
      <c r="E60" t="s">
        <v>88</v>
      </c>
      <c r="F60" t="s">
        <v>279</v>
      </c>
      <c r="G60" t="s">
        <v>377</v>
      </c>
      <c r="H60" t="s">
        <v>91</v>
      </c>
      <c r="I60" t="s">
        <v>54</v>
      </c>
      <c r="J60" t="s">
        <v>260</v>
      </c>
      <c r="K60" t="s">
        <v>56</v>
      </c>
      <c r="L60" t="s">
        <v>58</v>
      </c>
      <c r="M60" t="s">
        <v>57</v>
      </c>
      <c r="N60" t="s">
        <v>57</v>
      </c>
      <c r="O60" t="s">
        <v>57</v>
      </c>
      <c r="P60" t="s">
        <v>58</v>
      </c>
      <c r="Q60" t="s">
        <v>57</v>
      </c>
      <c r="R60" t="s">
        <v>378</v>
      </c>
      <c r="S60" t="s">
        <v>379</v>
      </c>
      <c r="T60" t="s">
        <v>380</v>
      </c>
      <c r="U60" t="s">
        <v>381</v>
      </c>
      <c r="X60" t="s">
        <v>87</v>
      </c>
      <c r="AB60" t="s">
        <v>382</v>
      </c>
      <c r="AH60" t="s">
        <v>100</v>
      </c>
      <c r="AJ60" s="3" t="s">
        <v>65</v>
      </c>
      <c r="AK60" s="3" t="s">
        <v>66</v>
      </c>
      <c r="AL60" s="3" t="s">
        <v>67</v>
      </c>
      <c r="AM60" s="4" t="s">
        <v>383</v>
      </c>
      <c r="AN60" s="4" t="s">
        <v>384</v>
      </c>
      <c r="AO60" s="4" t="s">
        <v>385</v>
      </c>
      <c r="AP60" s="5" t="s">
        <v>386</v>
      </c>
      <c r="AQ60" s="5" t="s">
        <v>384</v>
      </c>
      <c r="AR60" s="5" t="s">
        <v>387</v>
      </c>
      <c r="AU60" s="3" t="s">
        <v>683</v>
      </c>
      <c r="AV60">
        <v>35</v>
      </c>
      <c r="AW60">
        <v>35</v>
      </c>
    </row>
    <row r="61" spans="1:49" hidden="1" x14ac:dyDescent="0.2">
      <c r="A61" t="s">
        <v>376</v>
      </c>
      <c r="B61">
        <v>2010</v>
      </c>
      <c r="C61" t="s">
        <v>388</v>
      </c>
      <c r="D61" t="s">
        <v>49</v>
      </c>
      <c r="E61" t="s">
        <v>75</v>
      </c>
      <c r="F61" t="s">
        <v>279</v>
      </c>
      <c r="G61" t="s">
        <v>377</v>
      </c>
      <c r="H61" t="s">
        <v>91</v>
      </c>
      <c r="I61" t="s">
        <v>54</v>
      </c>
      <c r="J61" t="s">
        <v>260</v>
      </c>
      <c r="K61" t="s">
        <v>56</v>
      </c>
      <c r="L61" t="s">
        <v>58</v>
      </c>
      <c r="M61" t="s">
        <v>57</v>
      </c>
      <c r="N61" t="s">
        <v>57</v>
      </c>
      <c r="O61" t="s">
        <v>57</v>
      </c>
      <c r="P61" t="s">
        <v>58</v>
      </c>
      <c r="Q61" t="s">
        <v>57</v>
      </c>
      <c r="R61" t="s">
        <v>389</v>
      </c>
      <c r="S61" t="s">
        <v>390</v>
      </c>
      <c r="T61" t="s">
        <v>391</v>
      </c>
      <c r="U61" t="s">
        <v>392</v>
      </c>
      <c r="X61" t="s">
        <v>393</v>
      </c>
      <c r="AB61" t="s">
        <v>394</v>
      </c>
      <c r="AH61" t="s">
        <v>395</v>
      </c>
      <c r="AJ61" s="3" t="s">
        <v>65</v>
      </c>
      <c r="AK61" s="3" t="s">
        <v>66</v>
      </c>
      <c r="AL61" s="3" t="s">
        <v>67</v>
      </c>
      <c r="AM61" s="4" t="s">
        <v>396</v>
      </c>
      <c r="AN61" s="4" t="s">
        <v>384</v>
      </c>
      <c r="AO61" s="4" t="s">
        <v>397</v>
      </c>
      <c r="AP61" s="5" t="s">
        <v>398</v>
      </c>
      <c r="AQ61" s="5" t="s">
        <v>384</v>
      </c>
      <c r="AR61" s="5" t="s">
        <v>399</v>
      </c>
      <c r="AU61" s="3" t="s">
        <v>683</v>
      </c>
      <c r="AV61">
        <v>35</v>
      </c>
      <c r="AW61">
        <v>35</v>
      </c>
    </row>
    <row r="62" spans="1:49" hidden="1" x14ac:dyDescent="0.2">
      <c r="A62" t="s">
        <v>405</v>
      </c>
      <c r="B62">
        <v>2017</v>
      </c>
      <c r="C62" t="s">
        <v>87</v>
      </c>
      <c r="D62" t="s">
        <v>88</v>
      </c>
      <c r="E62" t="s">
        <v>88</v>
      </c>
      <c r="F62" t="s">
        <v>279</v>
      </c>
      <c r="G62" t="s">
        <v>406</v>
      </c>
      <c r="H62" t="s">
        <v>53</v>
      </c>
      <c r="I62" t="s">
        <v>54</v>
      </c>
      <c r="J62" t="s">
        <v>260</v>
      </c>
      <c r="K62" t="s">
        <v>56</v>
      </c>
      <c r="L62" t="s">
        <v>58</v>
      </c>
      <c r="M62" t="s">
        <v>57</v>
      </c>
      <c r="N62" t="s">
        <v>57</v>
      </c>
      <c r="O62" t="s">
        <v>57</v>
      </c>
      <c r="P62" t="s">
        <v>58</v>
      </c>
      <c r="Q62" t="s">
        <v>57</v>
      </c>
      <c r="T62" t="s">
        <v>407</v>
      </c>
      <c r="U62" t="s">
        <v>408</v>
      </c>
      <c r="V62" t="s">
        <v>409</v>
      </c>
      <c r="X62" t="s">
        <v>87</v>
      </c>
      <c r="AB62" t="s">
        <v>410</v>
      </c>
      <c r="AH62" t="s">
        <v>100</v>
      </c>
      <c r="AJ62" s="3" t="s">
        <v>411</v>
      </c>
      <c r="AL62" s="3" t="s">
        <v>67</v>
      </c>
      <c r="AM62" s="4" t="s">
        <v>412</v>
      </c>
      <c r="AN62" s="4" t="s">
        <v>413</v>
      </c>
      <c r="AO62" s="4" t="s">
        <v>414</v>
      </c>
      <c r="AP62" s="5" t="s">
        <v>415</v>
      </c>
      <c r="AQ62" s="5" t="s">
        <v>413</v>
      </c>
      <c r="AR62" s="5" t="s">
        <v>416</v>
      </c>
      <c r="AU62" s="3" t="s">
        <v>684</v>
      </c>
      <c r="AV62">
        <v>56</v>
      </c>
      <c r="AW62">
        <v>35</v>
      </c>
    </row>
    <row r="63" spans="1:49" hidden="1" x14ac:dyDescent="0.2">
      <c r="A63" t="s">
        <v>405</v>
      </c>
      <c r="B63">
        <v>2017</v>
      </c>
      <c r="C63" t="s">
        <v>417</v>
      </c>
      <c r="D63" t="s">
        <v>49</v>
      </c>
      <c r="E63" t="s">
        <v>75</v>
      </c>
      <c r="F63" t="s">
        <v>279</v>
      </c>
      <c r="G63" t="s">
        <v>406</v>
      </c>
      <c r="H63" t="s">
        <v>53</v>
      </c>
      <c r="I63" t="s">
        <v>54</v>
      </c>
      <c r="J63" t="s">
        <v>260</v>
      </c>
      <c r="K63" t="s">
        <v>56</v>
      </c>
      <c r="L63" t="s">
        <v>58</v>
      </c>
      <c r="M63" t="s">
        <v>57</v>
      </c>
      <c r="N63" t="s">
        <v>57</v>
      </c>
      <c r="O63" t="s">
        <v>57</v>
      </c>
      <c r="P63" t="s">
        <v>58</v>
      </c>
      <c r="Q63" t="s">
        <v>57</v>
      </c>
      <c r="T63" t="s">
        <v>418</v>
      </c>
      <c r="U63" t="s">
        <v>419</v>
      </c>
      <c r="V63" t="s">
        <v>420</v>
      </c>
      <c r="X63" t="s">
        <v>421</v>
      </c>
      <c r="AB63" t="s">
        <v>422</v>
      </c>
      <c r="AH63" t="s">
        <v>64</v>
      </c>
      <c r="AJ63" s="3" t="s">
        <v>411</v>
      </c>
      <c r="AL63" s="3" t="s">
        <v>67</v>
      </c>
      <c r="AM63" s="4" t="s">
        <v>423</v>
      </c>
      <c r="AN63" s="4" t="s">
        <v>102</v>
      </c>
      <c r="AO63" s="4" t="s">
        <v>424</v>
      </c>
      <c r="AP63" s="5" t="s">
        <v>425</v>
      </c>
      <c r="AQ63" s="5" t="s">
        <v>102</v>
      </c>
      <c r="AR63" s="5" t="s">
        <v>426</v>
      </c>
      <c r="AU63" s="3" t="s">
        <v>684</v>
      </c>
      <c r="AV63">
        <v>56</v>
      </c>
      <c r="AW63">
        <v>35</v>
      </c>
    </row>
    <row r="64" spans="1:49" hidden="1" x14ac:dyDescent="0.2">
      <c r="A64" t="s">
        <v>427</v>
      </c>
      <c r="B64">
        <v>2017</v>
      </c>
      <c r="C64" t="s">
        <v>428</v>
      </c>
      <c r="D64" t="s">
        <v>88</v>
      </c>
      <c r="E64" t="s">
        <v>88</v>
      </c>
      <c r="F64" t="s">
        <v>429</v>
      </c>
      <c r="G64" t="s">
        <v>430</v>
      </c>
      <c r="H64" t="s">
        <v>91</v>
      </c>
      <c r="I64" t="s">
        <v>54</v>
      </c>
      <c r="J64" t="s">
        <v>260</v>
      </c>
      <c r="K64" t="s">
        <v>56</v>
      </c>
      <c r="L64" t="s">
        <v>93</v>
      </c>
      <c r="M64" t="s">
        <v>57</v>
      </c>
      <c r="N64" t="s">
        <v>57</v>
      </c>
      <c r="O64" t="s">
        <v>57</v>
      </c>
      <c r="P64" t="s">
        <v>58</v>
      </c>
      <c r="Q64" t="s">
        <v>57</v>
      </c>
      <c r="T64" t="s">
        <v>431</v>
      </c>
      <c r="U64" t="s">
        <v>432</v>
      </c>
      <c r="X64" t="s">
        <v>88</v>
      </c>
      <c r="AB64" t="s">
        <v>88</v>
      </c>
      <c r="AH64" t="s">
        <v>100</v>
      </c>
      <c r="AJ64" s="3" t="s">
        <v>65</v>
      </c>
      <c r="AK64" s="3" t="s">
        <v>66</v>
      </c>
      <c r="AL64" s="3" t="s">
        <v>67</v>
      </c>
      <c r="AM64" s="4" t="s">
        <v>433</v>
      </c>
      <c r="AN64" s="4" t="s">
        <v>434</v>
      </c>
      <c r="AO64" s="4" t="s">
        <v>435</v>
      </c>
      <c r="AP64" s="5" t="s">
        <v>436</v>
      </c>
      <c r="AQ64" s="5" t="s">
        <v>434</v>
      </c>
      <c r="AR64" s="5" t="s">
        <v>437</v>
      </c>
      <c r="AU64" s="3" t="s">
        <v>438</v>
      </c>
      <c r="AV64">
        <f>56+90</f>
        <v>146</v>
      </c>
      <c r="AW64">
        <v>56</v>
      </c>
    </row>
    <row r="65" spans="1:49" hidden="1" x14ac:dyDescent="0.2">
      <c r="A65" t="s">
        <v>427</v>
      </c>
      <c r="B65">
        <v>2017</v>
      </c>
      <c r="C65" t="s">
        <v>439</v>
      </c>
      <c r="D65" t="s">
        <v>49</v>
      </c>
      <c r="E65" t="s">
        <v>50</v>
      </c>
      <c r="F65" t="s">
        <v>429</v>
      </c>
      <c r="G65" t="s">
        <v>430</v>
      </c>
      <c r="H65" t="s">
        <v>91</v>
      </c>
      <c r="I65" t="s">
        <v>54</v>
      </c>
      <c r="J65" t="s">
        <v>260</v>
      </c>
      <c r="K65" t="s">
        <v>56</v>
      </c>
      <c r="L65" t="s">
        <v>93</v>
      </c>
      <c r="M65" t="s">
        <v>57</v>
      </c>
      <c r="N65" t="s">
        <v>57</v>
      </c>
      <c r="O65" t="s">
        <v>57</v>
      </c>
      <c r="P65" t="s">
        <v>58</v>
      </c>
      <c r="Q65" t="s">
        <v>57</v>
      </c>
      <c r="T65" t="s">
        <v>440</v>
      </c>
      <c r="U65" t="s">
        <v>441</v>
      </c>
      <c r="X65" t="s">
        <v>442</v>
      </c>
      <c r="AB65" t="s">
        <v>443</v>
      </c>
      <c r="AH65" t="s">
        <v>64</v>
      </c>
      <c r="AJ65" s="3" t="s">
        <v>65</v>
      </c>
      <c r="AK65" s="3" t="s">
        <v>66</v>
      </c>
      <c r="AL65" s="3" t="s">
        <v>67</v>
      </c>
      <c r="AM65" s="4" t="s">
        <v>444</v>
      </c>
      <c r="AN65" s="4" t="s">
        <v>445</v>
      </c>
      <c r="AO65" s="4" t="s">
        <v>212</v>
      </c>
      <c r="AP65" s="5">
        <v>-17.399999999999999</v>
      </c>
      <c r="AQ65" s="5" t="s">
        <v>445</v>
      </c>
      <c r="AR65" s="5">
        <v>8.3800000000000008</v>
      </c>
      <c r="AU65" s="3" t="s">
        <v>438</v>
      </c>
      <c r="AV65">
        <f>56+90</f>
        <v>146</v>
      </c>
      <c r="AW65">
        <v>56</v>
      </c>
    </row>
    <row r="66" spans="1:49" hidden="1" x14ac:dyDescent="0.2">
      <c r="A66" t="s">
        <v>427</v>
      </c>
      <c r="B66">
        <v>2017</v>
      </c>
      <c r="C66" t="s">
        <v>428</v>
      </c>
      <c r="D66" t="s">
        <v>88</v>
      </c>
      <c r="E66" t="s">
        <v>88</v>
      </c>
      <c r="F66" t="s">
        <v>429</v>
      </c>
      <c r="G66" t="s">
        <v>430</v>
      </c>
      <c r="H66" t="s">
        <v>91</v>
      </c>
      <c r="I66" t="s">
        <v>54</v>
      </c>
      <c r="J66" t="s">
        <v>260</v>
      </c>
      <c r="K66" t="s">
        <v>56</v>
      </c>
      <c r="L66" t="s">
        <v>93</v>
      </c>
      <c r="M66" t="s">
        <v>57</v>
      </c>
      <c r="N66" t="s">
        <v>57</v>
      </c>
      <c r="O66" t="s">
        <v>57</v>
      </c>
      <c r="P66" t="s">
        <v>58</v>
      </c>
      <c r="Q66" t="s">
        <v>57</v>
      </c>
      <c r="T66" t="s">
        <v>431</v>
      </c>
      <c r="U66" t="s">
        <v>432</v>
      </c>
      <c r="X66" t="s">
        <v>88</v>
      </c>
      <c r="AB66" t="s">
        <v>88</v>
      </c>
      <c r="AH66" t="s">
        <v>100</v>
      </c>
      <c r="AJ66" s="3" t="s">
        <v>65</v>
      </c>
      <c r="AK66" s="3" t="s">
        <v>66</v>
      </c>
      <c r="AL66" s="3" t="s">
        <v>67</v>
      </c>
      <c r="AM66" s="4" t="s">
        <v>433</v>
      </c>
      <c r="AN66" s="4" t="s">
        <v>434</v>
      </c>
      <c r="AO66" s="4" t="s">
        <v>435</v>
      </c>
      <c r="AP66" s="5" t="s">
        <v>446</v>
      </c>
      <c r="AQ66" s="5" t="s">
        <v>434</v>
      </c>
      <c r="AR66" s="5" t="s">
        <v>154</v>
      </c>
      <c r="AU66" s="3" t="s">
        <v>682</v>
      </c>
      <c r="AV66">
        <v>56</v>
      </c>
      <c r="AW66">
        <v>56</v>
      </c>
    </row>
    <row r="67" spans="1:49" hidden="1" x14ac:dyDescent="0.2">
      <c r="A67" t="s">
        <v>427</v>
      </c>
      <c r="B67">
        <v>2017</v>
      </c>
      <c r="C67" t="s">
        <v>439</v>
      </c>
      <c r="D67" t="s">
        <v>49</v>
      </c>
      <c r="E67" t="s">
        <v>50</v>
      </c>
      <c r="F67" t="s">
        <v>429</v>
      </c>
      <c r="G67" t="s">
        <v>430</v>
      </c>
      <c r="H67" t="s">
        <v>91</v>
      </c>
      <c r="I67" t="s">
        <v>54</v>
      </c>
      <c r="J67" t="s">
        <v>260</v>
      </c>
      <c r="K67" t="s">
        <v>56</v>
      </c>
      <c r="L67" t="s">
        <v>93</v>
      </c>
      <c r="M67" t="s">
        <v>57</v>
      </c>
      <c r="N67" t="s">
        <v>57</v>
      </c>
      <c r="O67" t="s">
        <v>57</v>
      </c>
      <c r="P67" t="s">
        <v>58</v>
      </c>
      <c r="Q67" t="s">
        <v>57</v>
      </c>
      <c r="T67" t="s">
        <v>440</v>
      </c>
      <c r="U67" t="s">
        <v>441</v>
      </c>
      <c r="X67" t="s">
        <v>442</v>
      </c>
      <c r="AB67" t="s">
        <v>443</v>
      </c>
      <c r="AH67" t="s">
        <v>64</v>
      </c>
      <c r="AJ67" s="3" t="s">
        <v>65</v>
      </c>
      <c r="AK67" s="3" t="s">
        <v>66</v>
      </c>
      <c r="AL67" s="3" t="s">
        <v>67</v>
      </c>
      <c r="AM67" s="4" t="s">
        <v>444</v>
      </c>
      <c r="AN67" s="4" t="s">
        <v>445</v>
      </c>
      <c r="AO67" s="4" t="s">
        <v>212</v>
      </c>
      <c r="AP67" s="5" t="s">
        <v>447</v>
      </c>
      <c r="AQ67" s="5" t="s">
        <v>445</v>
      </c>
      <c r="AR67" s="5" t="s">
        <v>448</v>
      </c>
      <c r="AU67" s="3" t="s">
        <v>682</v>
      </c>
      <c r="AV67">
        <v>56</v>
      </c>
      <c r="AW67">
        <v>56</v>
      </c>
    </row>
    <row r="68" spans="1:49" hidden="1" x14ac:dyDescent="0.2">
      <c r="A68" t="s">
        <v>449</v>
      </c>
      <c r="B68">
        <v>2016</v>
      </c>
      <c r="C68" t="s">
        <v>450</v>
      </c>
      <c r="D68" t="s">
        <v>49</v>
      </c>
      <c r="E68" t="s">
        <v>75</v>
      </c>
      <c r="F68" t="s">
        <v>258</v>
      </c>
      <c r="G68" t="s">
        <v>451</v>
      </c>
      <c r="H68" t="s">
        <v>53</v>
      </c>
      <c r="I68" t="s">
        <v>54</v>
      </c>
      <c r="J68" t="s">
        <v>452</v>
      </c>
      <c r="K68" t="s">
        <v>56</v>
      </c>
      <c r="L68" t="s">
        <v>58</v>
      </c>
      <c r="M68" t="s">
        <v>58</v>
      </c>
      <c r="N68" t="s">
        <v>58</v>
      </c>
      <c r="O68" t="s">
        <v>57</v>
      </c>
      <c r="P68" t="s">
        <v>58</v>
      </c>
      <c r="Q68" t="s">
        <v>57</v>
      </c>
      <c r="R68" t="s">
        <v>453</v>
      </c>
      <c r="S68" t="s">
        <v>454</v>
      </c>
      <c r="T68" t="s">
        <v>455</v>
      </c>
      <c r="U68" t="s">
        <v>456</v>
      </c>
      <c r="X68" t="s">
        <v>457</v>
      </c>
      <c r="AB68" t="s">
        <v>458</v>
      </c>
      <c r="AH68" t="s">
        <v>209</v>
      </c>
      <c r="AJ68" s="3" t="s">
        <v>65</v>
      </c>
      <c r="AK68" s="3" t="s">
        <v>459</v>
      </c>
      <c r="AL68" s="3" t="s">
        <v>67</v>
      </c>
      <c r="AM68" s="4" t="s">
        <v>460</v>
      </c>
      <c r="AN68" s="4" t="s">
        <v>461</v>
      </c>
      <c r="AO68" s="4" t="s">
        <v>462</v>
      </c>
      <c r="AP68" s="5" t="s">
        <v>463</v>
      </c>
      <c r="AQ68" s="5" t="s">
        <v>461</v>
      </c>
      <c r="AR68" s="5" t="s">
        <v>464</v>
      </c>
      <c r="AU68" s="3" t="s">
        <v>465</v>
      </c>
      <c r="AV68">
        <v>180</v>
      </c>
      <c r="AW68">
        <v>90</v>
      </c>
    </row>
    <row r="69" spans="1:49" hidden="1" x14ac:dyDescent="0.2">
      <c r="A69" t="s">
        <v>449</v>
      </c>
      <c r="B69">
        <v>2016</v>
      </c>
      <c r="C69" t="s">
        <v>466</v>
      </c>
      <c r="D69" t="s">
        <v>88</v>
      </c>
      <c r="E69" t="s">
        <v>88</v>
      </c>
      <c r="F69" t="s">
        <v>258</v>
      </c>
      <c r="G69" t="s">
        <v>451</v>
      </c>
      <c r="H69" t="s">
        <v>53</v>
      </c>
      <c r="I69" t="s">
        <v>54</v>
      </c>
      <c r="J69" t="s">
        <v>452</v>
      </c>
      <c r="K69" t="s">
        <v>56</v>
      </c>
      <c r="L69" t="s">
        <v>58</v>
      </c>
      <c r="M69" t="s">
        <v>58</v>
      </c>
      <c r="N69" t="s">
        <v>58</v>
      </c>
      <c r="O69" t="s">
        <v>57</v>
      </c>
      <c r="P69" t="s">
        <v>58</v>
      </c>
      <c r="Q69" t="s">
        <v>57</v>
      </c>
      <c r="R69" t="s">
        <v>467</v>
      </c>
      <c r="S69" t="s">
        <v>468</v>
      </c>
      <c r="T69" t="s">
        <v>469</v>
      </c>
      <c r="U69" t="s">
        <v>470</v>
      </c>
      <c r="X69" t="s">
        <v>471</v>
      </c>
      <c r="AB69" t="s">
        <v>472</v>
      </c>
      <c r="AH69" t="s">
        <v>100</v>
      </c>
      <c r="AJ69" s="3" t="s">
        <v>65</v>
      </c>
      <c r="AK69" s="3" t="s">
        <v>459</v>
      </c>
      <c r="AL69" s="3" t="s">
        <v>67</v>
      </c>
      <c r="AM69" s="4" t="s">
        <v>473</v>
      </c>
      <c r="AN69" s="4" t="s">
        <v>461</v>
      </c>
      <c r="AO69" s="4" t="s">
        <v>474</v>
      </c>
      <c r="AP69" s="5" t="s">
        <v>475</v>
      </c>
      <c r="AQ69" s="5" t="s">
        <v>461</v>
      </c>
      <c r="AR69" s="5" t="s">
        <v>476</v>
      </c>
      <c r="AU69" s="3" t="s">
        <v>465</v>
      </c>
      <c r="AV69">
        <v>180</v>
      </c>
      <c r="AW69">
        <v>90</v>
      </c>
    </row>
    <row r="70" spans="1:49" hidden="1" x14ac:dyDescent="0.2">
      <c r="A70" t="s">
        <v>449</v>
      </c>
      <c r="B70">
        <v>2016</v>
      </c>
      <c r="C70" t="s">
        <v>450</v>
      </c>
      <c r="D70" t="s">
        <v>49</v>
      </c>
      <c r="E70" t="s">
        <v>75</v>
      </c>
      <c r="F70" t="s">
        <v>258</v>
      </c>
      <c r="G70" t="s">
        <v>451</v>
      </c>
      <c r="H70" t="s">
        <v>53</v>
      </c>
      <c r="I70" t="s">
        <v>54</v>
      </c>
      <c r="J70" t="s">
        <v>452</v>
      </c>
      <c r="K70" t="s">
        <v>56</v>
      </c>
      <c r="L70" t="s">
        <v>58</v>
      </c>
      <c r="M70" t="s">
        <v>58</v>
      </c>
      <c r="N70" t="s">
        <v>58</v>
      </c>
      <c r="O70" t="s">
        <v>57</v>
      </c>
      <c r="P70" t="s">
        <v>58</v>
      </c>
      <c r="Q70" t="s">
        <v>57</v>
      </c>
      <c r="R70" t="s">
        <v>453</v>
      </c>
      <c r="S70" t="s">
        <v>454</v>
      </c>
      <c r="T70" t="s">
        <v>455</v>
      </c>
      <c r="U70" t="s">
        <v>456</v>
      </c>
      <c r="X70" t="s">
        <v>457</v>
      </c>
      <c r="AB70" t="s">
        <v>458</v>
      </c>
      <c r="AH70" t="s">
        <v>209</v>
      </c>
      <c r="AJ70" s="3" t="s">
        <v>477</v>
      </c>
      <c r="AK70" s="3" t="s">
        <v>143</v>
      </c>
      <c r="AL70" s="3" t="s">
        <v>67</v>
      </c>
      <c r="AM70" s="4" t="s">
        <v>478</v>
      </c>
      <c r="AN70" s="4" t="s">
        <v>461</v>
      </c>
      <c r="AO70" s="4" t="s">
        <v>479</v>
      </c>
      <c r="AP70" s="5" t="s">
        <v>480</v>
      </c>
      <c r="AQ70" s="5" t="s">
        <v>461</v>
      </c>
      <c r="AR70" s="5" t="s">
        <v>481</v>
      </c>
      <c r="AU70" s="3" t="s">
        <v>465</v>
      </c>
      <c r="AV70">
        <v>180</v>
      </c>
      <c r="AW70">
        <v>90</v>
      </c>
    </row>
    <row r="71" spans="1:49" hidden="1" x14ac:dyDescent="0.2">
      <c r="A71" t="s">
        <v>449</v>
      </c>
      <c r="B71">
        <v>2016</v>
      </c>
      <c r="C71" t="s">
        <v>466</v>
      </c>
      <c r="D71" t="s">
        <v>88</v>
      </c>
      <c r="E71" t="s">
        <v>88</v>
      </c>
      <c r="F71" t="s">
        <v>258</v>
      </c>
      <c r="G71" t="s">
        <v>451</v>
      </c>
      <c r="H71" t="s">
        <v>53</v>
      </c>
      <c r="I71" t="s">
        <v>54</v>
      </c>
      <c r="J71" t="s">
        <v>452</v>
      </c>
      <c r="K71" t="s">
        <v>56</v>
      </c>
      <c r="L71" t="s">
        <v>58</v>
      </c>
      <c r="M71" t="s">
        <v>58</v>
      </c>
      <c r="N71" t="s">
        <v>58</v>
      </c>
      <c r="O71" t="s">
        <v>57</v>
      </c>
      <c r="P71" t="s">
        <v>58</v>
      </c>
      <c r="Q71" t="s">
        <v>57</v>
      </c>
      <c r="R71" t="s">
        <v>467</v>
      </c>
      <c r="S71" t="s">
        <v>468</v>
      </c>
      <c r="T71" t="s">
        <v>469</v>
      </c>
      <c r="U71" t="s">
        <v>470</v>
      </c>
      <c r="X71" t="s">
        <v>471</v>
      </c>
      <c r="AB71" t="s">
        <v>472</v>
      </c>
      <c r="AH71" t="s">
        <v>100</v>
      </c>
      <c r="AJ71" s="3" t="s">
        <v>477</v>
      </c>
      <c r="AK71" s="3" t="s">
        <v>143</v>
      </c>
      <c r="AL71" s="3" t="s">
        <v>67</v>
      </c>
      <c r="AM71" s="4" t="s">
        <v>482</v>
      </c>
      <c r="AN71" s="4" t="s">
        <v>461</v>
      </c>
      <c r="AO71" s="4" t="s">
        <v>483</v>
      </c>
      <c r="AP71" s="5" t="s">
        <v>484</v>
      </c>
      <c r="AQ71" s="5" t="s">
        <v>461</v>
      </c>
      <c r="AR71" s="5" t="s">
        <v>485</v>
      </c>
      <c r="AU71" s="3" t="s">
        <v>465</v>
      </c>
      <c r="AV71">
        <v>180</v>
      </c>
      <c r="AW71">
        <v>90</v>
      </c>
    </row>
    <row r="72" spans="1:49" hidden="1" x14ac:dyDescent="0.2">
      <c r="A72" t="s">
        <v>486</v>
      </c>
      <c r="B72">
        <v>2012</v>
      </c>
      <c r="C72" t="s">
        <v>487</v>
      </c>
      <c r="D72" t="s">
        <v>191</v>
      </c>
      <c r="E72" t="s">
        <v>192</v>
      </c>
      <c r="F72" t="s">
        <v>175</v>
      </c>
      <c r="G72" t="s">
        <v>176</v>
      </c>
      <c r="H72" t="s">
        <v>53</v>
      </c>
      <c r="I72" t="s">
        <v>54</v>
      </c>
      <c r="J72" t="s">
        <v>260</v>
      </c>
      <c r="K72" t="s">
        <v>488</v>
      </c>
      <c r="L72" t="s">
        <v>58</v>
      </c>
      <c r="M72" t="s">
        <v>58</v>
      </c>
      <c r="N72" t="s">
        <v>93</v>
      </c>
      <c r="O72" t="s">
        <v>57</v>
      </c>
      <c r="P72" t="s">
        <v>58</v>
      </c>
      <c r="Q72" t="s">
        <v>57</v>
      </c>
      <c r="R72" t="s">
        <v>491</v>
      </c>
      <c r="S72" t="s">
        <v>433</v>
      </c>
      <c r="AA72" t="s">
        <v>492</v>
      </c>
      <c r="AC72" t="s">
        <v>493</v>
      </c>
      <c r="AH72" t="s">
        <v>494</v>
      </c>
      <c r="AJ72" s="3" t="s">
        <v>188</v>
      </c>
      <c r="AK72" s="3" t="s">
        <v>178</v>
      </c>
      <c r="AL72" s="3" t="s">
        <v>67</v>
      </c>
      <c r="AM72" s="4" t="s">
        <v>489</v>
      </c>
      <c r="AN72" s="4" t="s">
        <v>222</v>
      </c>
      <c r="AO72" s="4" t="s">
        <v>490</v>
      </c>
      <c r="AP72" s="5" t="s">
        <v>495</v>
      </c>
      <c r="AQ72" s="5" t="s">
        <v>222</v>
      </c>
      <c r="AR72" s="5" t="s">
        <v>496</v>
      </c>
      <c r="AU72" s="3" t="s">
        <v>685</v>
      </c>
      <c r="AV72">
        <v>194</v>
      </c>
      <c r="AW72">
        <v>14</v>
      </c>
    </row>
    <row r="73" spans="1:49" hidden="1" x14ac:dyDescent="0.2">
      <c r="A73" t="s">
        <v>486</v>
      </c>
      <c r="B73">
        <v>2012</v>
      </c>
      <c r="C73" t="s">
        <v>87</v>
      </c>
      <c r="D73" t="s">
        <v>88</v>
      </c>
      <c r="E73" t="s">
        <v>88</v>
      </c>
      <c r="F73" t="s">
        <v>175</v>
      </c>
      <c r="G73" t="s">
        <v>176</v>
      </c>
      <c r="H73" t="s">
        <v>53</v>
      </c>
      <c r="I73" t="s">
        <v>54</v>
      </c>
      <c r="J73" t="s">
        <v>260</v>
      </c>
      <c r="K73" t="s">
        <v>488</v>
      </c>
      <c r="L73" t="s">
        <v>58</v>
      </c>
      <c r="M73" t="s">
        <v>58</v>
      </c>
      <c r="N73" t="s">
        <v>93</v>
      </c>
      <c r="O73" t="s">
        <v>57</v>
      </c>
      <c r="P73" t="s">
        <v>58</v>
      </c>
      <c r="Q73" t="s">
        <v>57</v>
      </c>
      <c r="R73" t="s">
        <v>498</v>
      </c>
      <c r="S73" t="s">
        <v>445</v>
      </c>
      <c r="AA73" t="s">
        <v>499</v>
      </c>
      <c r="AC73" t="s">
        <v>500</v>
      </c>
      <c r="AH73" t="s">
        <v>501</v>
      </c>
      <c r="AJ73" s="3" t="s">
        <v>188</v>
      </c>
      <c r="AK73" s="3" t="s">
        <v>178</v>
      </c>
      <c r="AL73" s="3" t="s">
        <v>67</v>
      </c>
      <c r="AM73" s="4" t="s">
        <v>502</v>
      </c>
      <c r="AN73" s="4" t="s">
        <v>222</v>
      </c>
      <c r="AO73" s="4" t="s">
        <v>497</v>
      </c>
      <c r="AP73" s="5" t="s">
        <v>503</v>
      </c>
      <c r="AQ73" s="5" t="s">
        <v>222</v>
      </c>
      <c r="AR73" s="5" t="s">
        <v>504</v>
      </c>
      <c r="AU73" s="3" t="s">
        <v>685</v>
      </c>
      <c r="AV73">
        <v>194</v>
      </c>
      <c r="AW73">
        <v>14</v>
      </c>
    </row>
    <row r="74" spans="1:49" hidden="1" x14ac:dyDescent="0.2">
      <c r="A74" t="s">
        <v>505</v>
      </c>
      <c r="B74">
        <v>2010</v>
      </c>
      <c r="C74" t="s">
        <v>506</v>
      </c>
      <c r="D74" t="s">
        <v>88</v>
      </c>
      <c r="E74" t="s">
        <v>88</v>
      </c>
      <c r="F74" t="s">
        <v>175</v>
      </c>
      <c r="G74" t="s">
        <v>507</v>
      </c>
      <c r="H74" t="s">
        <v>53</v>
      </c>
      <c r="I74" t="s">
        <v>54</v>
      </c>
      <c r="J74" t="s">
        <v>92</v>
      </c>
      <c r="K74" t="s">
        <v>177</v>
      </c>
      <c r="L74" t="s">
        <v>58</v>
      </c>
      <c r="M74" t="s">
        <v>58</v>
      </c>
      <c r="N74" t="s">
        <v>93</v>
      </c>
      <c r="O74" t="s">
        <v>58</v>
      </c>
      <c r="P74" t="s">
        <v>58</v>
      </c>
      <c r="Q74" t="s">
        <v>58</v>
      </c>
      <c r="R74" t="s">
        <v>508</v>
      </c>
      <c r="S74" t="s">
        <v>509</v>
      </c>
      <c r="X74" t="s">
        <v>510</v>
      </c>
      <c r="AB74" t="s">
        <v>511</v>
      </c>
      <c r="AH74" t="s">
        <v>512</v>
      </c>
      <c r="AJ74" s="3" t="s">
        <v>168</v>
      </c>
      <c r="AK74" s="3" t="s">
        <v>513</v>
      </c>
      <c r="AL74" s="3" t="s">
        <v>67</v>
      </c>
      <c r="AM74" s="4" t="s">
        <v>514</v>
      </c>
      <c r="AN74" s="4" t="s">
        <v>515</v>
      </c>
      <c r="AO74" s="4" t="s">
        <v>516</v>
      </c>
      <c r="AP74" s="5" t="s">
        <v>517</v>
      </c>
      <c r="AQ74" s="5" t="s">
        <v>515</v>
      </c>
      <c r="AR74" s="5" t="s">
        <v>518</v>
      </c>
      <c r="AU74" s="3" t="s">
        <v>519</v>
      </c>
      <c r="AV74">
        <v>365</v>
      </c>
      <c r="AW74">
        <v>365</v>
      </c>
    </row>
    <row r="75" spans="1:49" hidden="1" x14ac:dyDescent="0.2">
      <c r="A75" t="s">
        <v>505</v>
      </c>
      <c r="B75">
        <v>2010</v>
      </c>
      <c r="C75" t="s">
        <v>520</v>
      </c>
      <c r="D75" t="s">
        <v>191</v>
      </c>
      <c r="E75" t="s">
        <v>192</v>
      </c>
      <c r="F75" t="s">
        <v>175</v>
      </c>
      <c r="G75" t="s">
        <v>507</v>
      </c>
      <c r="H75" t="s">
        <v>53</v>
      </c>
      <c r="I75" t="s">
        <v>54</v>
      </c>
      <c r="J75" t="s">
        <v>92</v>
      </c>
      <c r="K75" t="s">
        <v>177</v>
      </c>
      <c r="L75" t="s">
        <v>58</v>
      </c>
      <c r="M75" t="s">
        <v>58</v>
      </c>
      <c r="N75" t="s">
        <v>93</v>
      </c>
      <c r="O75" t="s">
        <v>58</v>
      </c>
      <c r="P75" t="s">
        <v>58</v>
      </c>
      <c r="Q75" t="s">
        <v>58</v>
      </c>
      <c r="R75" t="s">
        <v>521</v>
      </c>
      <c r="S75" t="s">
        <v>522</v>
      </c>
      <c r="X75" t="s">
        <v>523</v>
      </c>
      <c r="AB75" t="s">
        <v>524</v>
      </c>
      <c r="AH75" t="s">
        <v>525</v>
      </c>
      <c r="AJ75" s="3" t="s">
        <v>168</v>
      </c>
      <c r="AK75" s="3" t="s">
        <v>513</v>
      </c>
      <c r="AL75" s="3" t="s">
        <v>67</v>
      </c>
      <c r="AM75" s="4" t="s">
        <v>526</v>
      </c>
      <c r="AN75" s="4" t="s">
        <v>515</v>
      </c>
      <c r="AO75" s="4" t="s">
        <v>527</v>
      </c>
      <c r="AP75" s="5" t="s">
        <v>528</v>
      </c>
      <c r="AQ75" s="5" t="s">
        <v>515</v>
      </c>
      <c r="AR75" s="5" t="s">
        <v>529</v>
      </c>
      <c r="AU75" s="3" t="s">
        <v>519</v>
      </c>
      <c r="AV75">
        <v>365</v>
      </c>
      <c r="AW75">
        <v>365</v>
      </c>
    </row>
    <row r="76" spans="1:49" hidden="1" x14ac:dyDescent="0.2">
      <c r="A76" t="s">
        <v>530</v>
      </c>
      <c r="B76">
        <v>2010</v>
      </c>
      <c r="C76" t="s">
        <v>506</v>
      </c>
      <c r="D76" t="s">
        <v>88</v>
      </c>
      <c r="E76" t="s">
        <v>88</v>
      </c>
      <c r="F76" t="s">
        <v>175</v>
      </c>
      <c r="G76" t="s">
        <v>531</v>
      </c>
      <c r="H76" t="s">
        <v>53</v>
      </c>
      <c r="I76" t="s">
        <v>54</v>
      </c>
      <c r="J76" t="s">
        <v>92</v>
      </c>
      <c r="K76" t="s">
        <v>532</v>
      </c>
      <c r="L76" t="s">
        <v>58</v>
      </c>
      <c r="M76" t="s">
        <v>58</v>
      </c>
      <c r="N76" t="s">
        <v>93</v>
      </c>
      <c r="O76" t="s">
        <v>58</v>
      </c>
      <c r="P76" t="s">
        <v>58</v>
      </c>
      <c r="Q76" t="s">
        <v>58</v>
      </c>
      <c r="X76" t="s">
        <v>538</v>
      </c>
      <c r="AJ76" s="3" t="s">
        <v>188</v>
      </c>
      <c r="AK76" s="3" t="s">
        <v>178</v>
      </c>
      <c r="AL76" s="3" t="s">
        <v>67</v>
      </c>
      <c r="AM76" s="4" t="s">
        <v>533</v>
      </c>
      <c r="AN76" s="4" t="s">
        <v>534</v>
      </c>
      <c r="AO76" s="4" t="s">
        <v>535</v>
      </c>
      <c r="AP76" s="5" t="s">
        <v>536</v>
      </c>
      <c r="AQ76" s="5" t="s">
        <v>534</v>
      </c>
      <c r="AR76" s="5" t="s">
        <v>537</v>
      </c>
      <c r="AU76" s="3" t="s">
        <v>688</v>
      </c>
      <c r="AW76" s="3" t="s">
        <v>688</v>
      </c>
    </row>
    <row r="77" spans="1:49" hidden="1" x14ac:dyDescent="0.2">
      <c r="A77" t="s">
        <v>530</v>
      </c>
      <c r="B77">
        <v>2010</v>
      </c>
      <c r="C77" t="s">
        <v>539</v>
      </c>
      <c r="D77" t="s">
        <v>105</v>
      </c>
      <c r="E77" t="s">
        <v>687</v>
      </c>
      <c r="F77" t="s">
        <v>175</v>
      </c>
      <c r="G77" t="s">
        <v>531</v>
      </c>
      <c r="H77" t="s">
        <v>53</v>
      </c>
      <c r="I77" t="s">
        <v>54</v>
      </c>
      <c r="J77" t="s">
        <v>92</v>
      </c>
      <c r="K77" t="s">
        <v>532</v>
      </c>
      <c r="L77" t="s">
        <v>58</v>
      </c>
      <c r="M77" t="s">
        <v>58</v>
      </c>
      <c r="N77" t="s">
        <v>93</v>
      </c>
      <c r="O77" t="s">
        <v>58</v>
      </c>
      <c r="P77" t="s">
        <v>58</v>
      </c>
      <c r="Q77" t="s">
        <v>58</v>
      </c>
      <c r="R77" t="s">
        <v>543</v>
      </c>
      <c r="S77" t="s">
        <v>544</v>
      </c>
      <c r="X77" t="s">
        <v>545</v>
      </c>
      <c r="AB77" t="s">
        <v>546</v>
      </c>
      <c r="AH77" t="s">
        <v>525</v>
      </c>
      <c r="AJ77" s="3" t="s">
        <v>188</v>
      </c>
      <c r="AK77" s="3" t="s">
        <v>178</v>
      </c>
      <c r="AL77" s="3" t="s">
        <v>67</v>
      </c>
      <c r="AM77" s="4" t="s">
        <v>212</v>
      </c>
      <c r="AN77" s="4" t="s">
        <v>534</v>
      </c>
      <c r="AO77" s="4" t="s">
        <v>540</v>
      </c>
      <c r="AP77" s="5" t="s">
        <v>541</v>
      </c>
      <c r="AQ77" s="5" t="s">
        <v>534</v>
      </c>
      <c r="AR77" s="5" t="s">
        <v>542</v>
      </c>
      <c r="AU77" s="3" t="s">
        <v>688</v>
      </c>
      <c r="AW77" s="3" t="s">
        <v>688</v>
      </c>
    </row>
    <row r="78" spans="1:49" hidden="1" x14ac:dyDescent="0.2">
      <c r="A78" t="s">
        <v>547</v>
      </c>
      <c r="B78">
        <v>2010</v>
      </c>
      <c r="C78" t="s">
        <v>548</v>
      </c>
      <c r="D78" t="s">
        <v>88</v>
      </c>
      <c r="E78" t="s">
        <v>88</v>
      </c>
      <c r="F78" t="s">
        <v>175</v>
      </c>
      <c r="G78" t="s">
        <v>549</v>
      </c>
      <c r="H78" t="s">
        <v>53</v>
      </c>
      <c r="I78" t="s">
        <v>54</v>
      </c>
      <c r="J78" t="s">
        <v>92</v>
      </c>
      <c r="K78" t="s">
        <v>177</v>
      </c>
      <c r="L78" t="s">
        <v>58</v>
      </c>
      <c r="M78" t="s">
        <v>57</v>
      </c>
      <c r="N78" t="s">
        <v>93</v>
      </c>
      <c r="O78" t="s">
        <v>57</v>
      </c>
      <c r="P78" t="s">
        <v>58</v>
      </c>
      <c r="Q78" t="s">
        <v>57</v>
      </c>
      <c r="X78" t="s">
        <v>554</v>
      </c>
      <c r="AB78" t="s">
        <v>555</v>
      </c>
      <c r="AH78" t="s">
        <v>525</v>
      </c>
      <c r="AJ78" s="3" t="s">
        <v>656</v>
      </c>
      <c r="AK78" s="3" t="s">
        <v>657</v>
      </c>
      <c r="AL78" s="3" t="s">
        <v>67</v>
      </c>
      <c r="AM78" s="4" t="s">
        <v>550</v>
      </c>
      <c r="AN78" s="4" t="s">
        <v>551</v>
      </c>
      <c r="AO78" s="4" t="s">
        <v>542</v>
      </c>
      <c r="AP78" s="5" t="s">
        <v>552</v>
      </c>
      <c r="AQ78" s="5" t="s">
        <v>551</v>
      </c>
      <c r="AR78" s="5" t="s">
        <v>553</v>
      </c>
      <c r="AU78" s="3" t="s">
        <v>189</v>
      </c>
      <c r="AV78">
        <v>365</v>
      </c>
      <c r="AW78">
        <v>365</v>
      </c>
    </row>
    <row r="79" spans="1:49" hidden="1" x14ac:dyDescent="0.2">
      <c r="A79" t="s">
        <v>547</v>
      </c>
      <c r="B79">
        <v>2010</v>
      </c>
      <c r="C79" t="s">
        <v>118</v>
      </c>
      <c r="D79" t="s">
        <v>191</v>
      </c>
      <c r="E79" t="s">
        <v>192</v>
      </c>
      <c r="F79" t="s">
        <v>175</v>
      </c>
      <c r="G79" t="s">
        <v>549</v>
      </c>
      <c r="H79" t="s">
        <v>53</v>
      </c>
      <c r="I79" t="s">
        <v>54</v>
      </c>
      <c r="J79" t="s">
        <v>92</v>
      </c>
      <c r="K79" t="s">
        <v>177</v>
      </c>
      <c r="L79" t="s">
        <v>58</v>
      </c>
      <c r="M79" t="s">
        <v>57</v>
      </c>
      <c r="N79" t="s">
        <v>93</v>
      </c>
      <c r="O79" t="s">
        <v>57</v>
      </c>
      <c r="P79" t="s">
        <v>58</v>
      </c>
      <c r="Q79" t="s">
        <v>57</v>
      </c>
      <c r="X79" t="s">
        <v>560</v>
      </c>
      <c r="AB79" t="s">
        <v>561</v>
      </c>
      <c r="AH79" t="s">
        <v>562</v>
      </c>
      <c r="AJ79" s="3" t="s">
        <v>656</v>
      </c>
      <c r="AK79" s="3" t="s">
        <v>657</v>
      </c>
      <c r="AL79" s="3" t="s">
        <v>67</v>
      </c>
      <c r="AM79" s="4" t="s">
        <v>556</v>
      </c>
      <c r="AN79" s="4" t="s">
        <v>551</v>
      </c>
      <c r="AO79" s="4" t="s">
        <v>557</v>
      </c>
      <c r="AP79" s="5" t="s">
        <v>558</v>
      </c>
      <c r="AQ79" s="5" t="s">
        <v>551</v>
      </c>
      <c r="AR79" s="5" t="s">
        <v>559</v>
      </c>
      <c r="AU79" s="3" t="s">
        <v>189</v>
      </c>
      <c r="AV79">
        <v>365</v>
      </c>
      <c r="AW79">
        <v>365</v>
      </c>
    </row>
    <row r="80" spans="1:49" hidden="1" x14ac:dyDescent="0.2">
      <c r="A80" t="s">
        <v>547</v>
      </c>
      <c r="B80">
        <v>2010</v>
      </c>
      <c r="C80" t="s">
        <v>548</v>
      </c>
      <c r="D80" t="s">
        <v>88</v>
      </c>
      <c r="E80" t="s">
        <v>88</v>
      </c>
      <c r="F80" t="s">
        <v>175</v>
      </c>
      <c r="G80" t="s">
        <v>549</v>
      </c>
      <c r="H80" t="s">
        <v>53</v>
      </c>
      <c r="I80" t="s">
        <v>54</v>
      </c>
      <c r="J80" t="s">
        <v>92</v>
      </c>
      <c r="K80" t="s">
        <v>177</v>
      </c>
      <c r="L80" t="s">
        <v>58</v>
      </c>
      <c r="M80" t="s">
        <v>57</v>
      </c>
      <c r="N80" t="s">
        <v>93</v>
      </c>
      <c r="O80" t="s">
        <v>57</v>
      </c>
      <c r="P80" t="s">
        <v>58</v>
      </c>
      <c r="Q80" t="s">
        <v>57</v>
      </c>
      <c r="X80" t="s">
        <v>554</v>
      </c>
      <c r="AB80" t="s">
        <v>555</v>
      </c>
      <c r="AH80" t="s">
        <v>525</v>
      </c>
      <c r="AJ80" s="3" t="s">
        <v>188</v>
      </c>
      <c r="AK80" s="3" t="s">
        <v>178</v>
      </c>
      <c r="AL80" s="3" t="s">
        <v>67</v>
      </c>
      <c r="AM80" s="4" t="s">
        <v>550</v>
      </c>
      <c r="AN80" s="4" t="s">
        <v>551</v>
      </c>
      <c r="AO80" s="4" t="s">
        <v>542</v>
      </c>
      <c r="AP80" s="5" t="s">
        <v>552</v>
      </c>
      <c r="AQ80" s="5" t="s">
        <v>551</v>
      </c>
      <c r="AR80" s="5" t="s">
        <v>553</v>
      </c>
      <c r="AU80" s="3" t="s">
        <v>189</v>
      </c>
      <c r="AV80">
        <v>365</v>
      </c>
      <c r="AW80">
        <v>365</v>
      </c>
    </row>
    <row r="81" spans="1:49" hidden="1" x14ac:dyDescent="0.2">
      <c r="A81" t="s">
        <v>547</v>
      </c>
      <c r="B81">
        <v>2010</v>
      </c>
      <c r="C81" t="s">
        <v>118</v>
      </c>
      <c r="D81" t="s">
        <v>191</v>
      </c>
      <c r="E81" t="s">
        <v>192</v>
      </c>
      <c r="F81" t="s">
        <v>175</v>
      </c>
      <c r="G81" t="s">
        <v>549</v>
      </c>
      <c r="H81" t="s">
        <v>53</v>
      </c>
      <c r="I81" t="s">
        <v>54</v>
      </c>
      <c r="J81" t="s">
        <v>92</v>
      </c>
      <c r="K81" t="s">
        <v>177</v>
      </c>
      <c r="L81" t="s">
        <v>58</v>
      </c>
      <c r="M81" t="s">
        <v>57</v>
      </c>
      <c r="N81" t="s">
        <v>93</v>
      </c>
      <c r="O81" t="s">
        <v>57</v>
      </c>
      <c r="P81" t="s">
        <v>58</v>
      </c>
      <c r="Q81" t="s">
        <v>57</v>
      </c>
      <c r="X81" t="s">
        <v>560</v>
      </c>
      <c r="AB81" t="s">
        <v>561</v>
      </c>
      <c r="AH81" t="s">
        <v>562</v>
      </c>
      <c r="AJ81" s="3" t="s">
        <v>188</v>
      </c>
      <c r="AK81" s="3" t="s">
        <v>178</v>
      </c>
      <c r="AL81" s="3" t="s">
        <v>67</v>
      </c>
      <c r="AM81" s="4" t="s">
        <v>556</v>
      </c>
      <c r="AN81" s="4" t="s">
        <v>551</v>
      </c>
      <c r="AO81" s="4" t="s">
        <v>557</v>
      </c>
      <c r="AP81" s="5" t="s">
        <v>558</v>
      </c>
      <c r="AQ81" s="5" t="s">
        <v>551</v>
      </c>
      <c r="AR81" s="5" t="s">
        <v>559</v>
      </c>
      <c r="AU81" s="3" t="s">
        <v>189</v>
      </c>
      <c r="AV81">
        <v>365</v>
      </c>
      <c r="AW81">
        <v>365</v>
      </c>
    </row>
    <row r="82" spans="1:49" hidden="1" x14ac:dyDescent="0.2">
      <c r="A82" t="s">
        <v>563</v>
      </c>
      <c r="B82">
        <v>2012</v>
      </c>
      <c r="C82" t="s">
        <v>564</v>
      </c>
      <c r="D82" t="s">
        <v>49</v>
      </c>
      <c r="E82" t="s">
        <v>50</v>
      </c>
      <c r="F82" t="s">
        <v>175</v>
      </c>
      <c r="G82" t="s">
        <v>565</v>
      </c>
      <c r="H82" t="s">
        <v>91</v>
      </c>
      <c r="I82" t="s">
        <v>54</v>
      </c>
      <c r="J82" t="s">
        <v>121</v>
      </c>
      <c r="K82" t="s">
        <v>56</v>
      </c>
      <c r="L82" t="s">
        <v>58</v>
      </c>
      <c r="M82" t="s">
        <v>57</v>
      </c>
      <c r="N82" t="s">
        <v>57</v>
      </c>
      <c r="O82" t="s">
        <v>57</v>
      </c>
      <c r="P82" t="s">
        <v>58</v>
      </c>
      <c r="Q82" t="s">
        <v>57</v>
      </c>
      <c r="S82" t="s">
        <v>566</v>
      </c>
      <c r="T82" t="s">
        <v>567</v>
      </c>
      <c r="U82" t="s">
        <v>568</v>
      </c>
      <c r="V82" t="s">
        <v>569</v>
      </c>
      <c r="W82" t="s">
        <v>570</v>
      </c>
      <c r="X82" t="s">
        <v>571</v>
      </c>
      <c r="AB82" t="s">
        <v>572</v>
      </c>
      <c r="AH82" t="s">
        <v>64</v>
      </c>
      <c r="AJ82" s="3" t="s">
        <v>477</v>
      </c>
      <c r="AK82" s="3" t="s">
        <v>143</v>
      </c>
      <c r="AL82" s="3" t="s">
        <v>67</v>
      </c>
      <c r="AM82" s="4" t="s">
        <v>573</v>
      </c>
      <c r="AN82" s="4" t="s">
        <v>574</v>
      </c>
      <c r="AO82" s="4" t="s">
        <v>575</v>
      </c>
      <c r="AP82" s="5" t="s">
        <v>576</v>
      </c>
      <c r="AQ82" s="5" t="s">
        <v>574</v>
      </c>
      <c r="AR82" s="5" t="s">
        <v>577</v>
      </c>
      <c r="AU82" s="3" t="s">
        <v>578</v>
      </c>
      <c r="AV82">
        <v>198</v>
      </c>
      <c r="AW82">
        <v>168</v>
      </c>
    </row>
    <row r="83" spans="1:49" hidden="1" x14ac:dyDescent="0.2">
      <c r="A83" t="s">
        <v>563</v>
      </c>
      <c r="B83">
        <v>2012</v>
      </c>
      <c r="C83" t="s">
        <v>579</v>
      </c>
      <c r="D83" t="s">
        <v>88</v>
      </c>
      <c r="E83" t="s">
        <v>88</v>
      </c>
      <c r="F83" t="s">
        <v>175</v>
      </c>
      <c r="G83" t="s">
        <v>565</v>
      </c>
      <c r="H83" t="s">
        <v>91</v>
      </c>
      <c r="I83" t="s">
        <v>54</v>
      </c>
      <c r="J83" t="s">
        <v>121</v>
      </c>
      <c r="K83" t="s">
        <v>56</v>
      </c>
      <c r="L83" t="s">
        <v>58</v>
      </c>
      <c r="M83" t="s">
        <v>57</v>
      </c>
      <c r="N83" t="s">
        <v>57</v>
      </c>
      <c r="O83" t="s">
        <v>57</v>
      </c>
      <c r="P83" t="s">
        <v>58</v>
      </c>
      <c r="Q83" t="s">
        <v>57</v>
      </c>
      <c r="S83" t="s">
        <v>96</v>
      </c>
      <c r="T83" t="s">
        <v>580</v>
      </c>
      <c r="U83" t="s">
        <v>581</v>
      </c>
      <c r="V83" t="s">
        <v>582</v>
      </c>
      <c r="W83" t="s">
        <v>570</v>
      </c>
      <c r="X83" t="s">
        <v>583</v>
      </c>
      <c r="AB83" t="s">
        <v>584</v>
      </c>
      <c r="AH83" t="s">
        <v>100</v>
      </c>
      <c r="AJ83" s="3" t="s">
        <v>477</v>
      </c>
      <c r="AK83" s="3" t="s">
        <v>143</v>
      </c>
      <c r="AL83" s="3" t="s">
        <v>67</v>
      </c>
      <c r="AM83" s="4" t="s">
        <v>585</v>
      </c>
      <c r="AN83" s="4" t="s">
        <v>574</v>
      </c>
      <c r="AO83" s="4" t="s">
        <v>586</v>
      </c>
      <c r="AP83" s="5" t="s">
        <v>587</v>
      </c>
      <c r="AQ83" s="5" t="s">
        <v>574</v>
      </c>
      <c r="AR83" s="5" t="s">
        <v>588</v>
      </c>
      <c r="AU83" s="3" t="s">
        <v>578</v>
      </c>
      <c r="AV83">
        <v>198</v>
      </c>
      <c r="AW83">
        <v>168</v>
      </c>
    </row>
    <row r="84" spans="1:49" hidden="1" x14ac:dyDescent="0.2">
      <c r="A84" t="s">
        <v>589</v>
      </c>
      <c r="B84">
        <v>2014</v>
      </c>
      <c r="C84" t="s">
        <v>506</v>
      </c>
      <c r="D84" t="s">
        <v>88</v>
      </c>
      <c r="E84" t="s">
        <v>88</v>
      </c>
      <c r="F84" t="s">
        <v>175</v>
      </c>
      <c r="G84" t="s">
        <v>590</v>
      </c>
      <c r="H84" t="s">
        <v>53</v>
      </c>
      <c r="I84" t="s">
        <v>54</v>
      </c>
      <c r="J84" t="s">
        <v>260</v>
      </c>
      <c r="K84" t="s">
        <v>56</v>
      </c>
      <c r="L84" t="s">
        <v>58</v>
      </c>
      <c r="M84" t="s">
        <v>57</v>
      </c>
      <c r="N84" t="s">
        <v>93</v>
      </c>
      <c r="O84" t="s">
        <v>57</v>
      </c>
      <c r="P84" t="s">
        <v>58</v>
      </c>
      <c r="Q84" t="s">
        <v>57</v>
      </c>
      <c r="X84" t="s">
        <v>596</v>
      </c>
      <c r="AB84" t="s">
        <v>597</v>
      </c>
      <c r="AH84" t="s">
        <v>598</v>
      </c>
      <c r="AJ84" s="3" t="s">
        <v>188</v>
      </c>
      <c r="AK84" s="3" t="s">
        <v>657</v>
      </c>
      <c r="AL84" s="3" t="s">
        <v>67</v>
      </c>
      <c r="AM84" s="4" t="s">
        <v>663</v>
      </c>
      <c r="AN84" s="4" t="s">
        <v>592</v>
      </c>
      <c r="AO84" s="4" t="s">
        <v>664</v>
      </c>
      <c r="AP84" s="5" t="s">
        <v>665</v>
      </c>
      <c r="AQ84" s="5" t="s">
        <v>592</v>
      </c>
      <c r="AR84" s="5" t="s">
        <v>588</v>
      </c>
      <c r="AU84" s="3" t="s">
        <v>189</v>
      </c>
      <c r="AV84">
        <v>365</v>
      </c>
      <c r="AW84">
        <v>365</v>
      </c>
    </row>
    <row r="85" spans="1:49" hidden="1" x14ac:dyDescent="0.2">
      <c r="A85" t="s">
        <v>589</v>
      </c>
      <c r="B85">
        <v>2014</v>
      </c>
      <c r="C85" t="s">
        <v>520</v>
      </c>
      <c r="D85" t="s">
        <v>191</v>
      </c>
      <c r="E85" t="s">
        <v>192</v>
      </c>
      <c r="F85" t="s">
        <v>175</v>
      </c>
      <c r="G85" t="s">
        <v>590</v>
      </c>
      <c r="H85" t="s">
        <v>53</v>
      </c>
      <c r="I85" t="s">
        <v>54</v>
      </c>
      <c r="J85" t="s">
        <v>260</v>
      </c>
      <c r="K85" t="s">
        <v>56</v>
      </c>
      <c r="L85" t="s">
        <v>58</v>
      </c>
      <c r="M85" t="s">
        <v>57</v>
      </c>
      <c r="N85" t="s">
        <v>93</v>
      </c>
      <c r="O85" t="s">
        <v>57</v>
      </c>
      <c r="P85" t="s">
        <v>58</v>
      </c>
      <c r="Q85" t="s">
        <v>57</v>
      </c>
      <c r="X85" t="s">
        <v>603</v>
      </c>
      <c r="AB85" t="s">
        <v>604</v>
      </c>
      <c r="AH85" t="s">
        <v>605</v>
      </c>
      <c r="AJ85" s="3" t="s">
        <v>188</v>
      </c>
      <c r="AK85" s="3" t="s">
        <v>657</v>
      </c>
      <c r="AL85" s="3" t="s">
        <v>67</v>
      </c>
      <c r="AM85" s="4" t="s">
        <v>666</v>
      </c>
      <c r="AN85" s="4" t="s">
        <v>600</v>
      </c>
      <c r="AO85" s="4" t="s">
        <v>667</v>
      </c>
      <c r="AP85" s="5" t="s">
        <v>668</v>
      </c>
      <c r="AQ85" s="5" t="s">
        <v>600</v>
      </c>
      <c r="AR85" s="5" t="s">
        <v>669</v>
      </c>
      <c r="AU85" s="3" t="s">
        <v>189</v>
      </c>
      <c r="AV85">
        <v>365</v>
      </c>
      <c r="AW85">
        <v>365</v>
      </c>
    </row>
    <row r="86" spans="1:49" hidden="1" x14ac:dyDescent="0.2">
      <c r="A86" t="s">
        <v>589</v>
      </c>
      <c r="B86">
        <v>2014</v>
      </c>
      <c r="C86" t="s">
        <v>506</v>
      </c>
      <c r="D86" t="s">
        <v>88</v>
      </c>
      <c r="E86" t="s">
        <v>88</v>
      </c>
      <c r="F86" t="s">
        <v>175</v>
      </c>
      <c r="G86" t="s">
        <v>590</v>
      </c>
      <c r="H86" t="s">
        <v>53</v>
      </c>
      <c r="I86" t="s">
        <v>54</v>
      </c>
      <c r="J86" t="s">
        <v>260</v>
      </c>
      <c r="K86" t="s">
        <v>56</v>
      </c>
      <c r="L86" t="s">
        <v>58</v>
      </c>
      <c r="M86" t="s">
        <v>57</v>
      </c>
      <c r="N86" t="s">
        <v>93</v>
      </c>
      <c r="O86" t="s">
        <v>57</v>
      </c>
      <c r="P86" t="s">
        <v>58</v>
      </c>
      <c r="Q86" t="s">
        <v>57</v>
      </c>
      <c r="X86" t="s">
        <v>596</v>
      </c>
      <c r="AB86" t="s">
        <v>597</v>
      </c>
      <c r="AH86" t="s">
        <v>598</v>
      </c>
      <c r="AJ86" s="3" t="s">
        <v>188</v>
      </c>
      <c r="AK86" s="3" t="s">
        <v>178</v>
      </c>
      <c r="AL86" s="3" t="s">
        <v>67</v>
      </c>
      <c r="AM86" s="4" t="s">
        <v>591</v>
      </c>
      <c r="AN86" s="4" t="s">
        <v>592</v>
      </c>
      <c r="AO86" s="4" t="s">
        <v>593</v>
      </c>
      <c r="AP86" s="5" t="s">
        <v>594</v>
      </c>
      <c r="AQ86" s="5" t="s">
        <v>592</v>
      </c>
      <c r="AR86" s="5" t="s">
        <v>595</v>
      </c>
      <c r="AU86" s="3" t="s">
        <v>189</v>
      </c>
      <c r="AV86">
        <v>365</v>
      </c>
      <c r="AW86">
        <v>365</v>
      </c>
    </row>
    <row r="87" spans="1:49" hidden="1" x14ac:dyDescent="0.2">
      <c r="A87" t="s">
        <v>589</v>
      </c>
      <c r="B87">
        <v>2014</v>
      </c>
      <c r="C87" t="s">
        <v>520</v>
      </c>
      <c r="D87" t="s">
        <v>191</v>
      </c>
      <c r="E87" t="s">
        <v>192</v>
      </c>
      <c r="F87" t="s">
        <v>175</v>
      </c>
      <c r="G87" t="s">
        <v>590</v>
      </c>
      <c r="H87" t="s">
        <v>53</v>
      </c>
      <c r="I87" t="s">
        <v>54</v>
      </c>
      <c r="J87" t="s">
        <v>260</v>
      </c>
      <c r="K87" t="s">
        <v>56</v>
      </c>
      <c r="L87" t="s">
        <v>58</v>
      </c>
      <c r="M87" t="s">
        <v>57</v>
      </c>
      <c r="N87" t="s">
        <v>93</v>
      </c>
      <c r="O87" t="s">
        <v>57</v>
      </c>
      <c r="P87" t="s">
        <v>58</v>
      </c>
      <c r="Q87" t="s">
        <v>57</v>
      </c>
      <c r="X87" t="s">
        <v>603</v>
      </c>
      <c r="AB87" t="s">
        <v>604</v>
      </c>
      <c r="AH87" t="s">
        <v>605</v>
      </c>
      <c r="AJ87" s="3" t="s">
        <v>188</v>
      </c>
      <c r="AK87" s="3" t="s">
        <v>178</v>
      </c>
      <c r="AL87" s="3" t="s">
        <v>67</v>
      </c>
      <c r="AM87" s="4" t="s">
        <v>599</v>
      </c>
      <c r="AN87" s="4" t="s">
        <v>600</v>
      </c>
      <c r="AO87" s="4" t="s">
        <v>593</v>
      </c>
      <c r="AP87" s="5" t="s">
        <v>601</v>
      </c>
      <c r="AQ87" s="5" t="s">
        <v>600</v>
      </c>
      <c r="AR87" s="5" t="s">
        <v>602</v>
      </c>
      <c r="AU87" s="3" t="s">
        <v>189</v>
      </c>
      <c r="AV87">
        <v>365</v>
      </c>
      <c r="AW87">
        <v>365</v>
      </c>
    </row>
    <row r="88" spans="1:49" hidden="1" x14ac:dyDescent="0.2">
      <c r="A88" t="s">
        <v>589</v>
      </c>
      <c r="B88">
        <v>2014</v>
      </c>
      <c r="C88" t="s">
        <v>506</v>
      </c>
      <c r="D88" t="s">
        <v>88</v>
      </c>
      <c r="E88" t="s">
        <v>88</v>
      </c>
      <c r="F88" t="s">
        <v>175</v>
      </c>
      <c r="G88" t="s">
        <v>590</v>
      </c>
      <c r="H88" t="s">
        <v>53</v>
      </c>
      <c r="I88" t="s">
        <v>54</v>
      </c>
      <c r="J88" t="s">
        <v>260</v>
      </c>
      <c r="K88" t="s">
        <v>56</v>
      </c>
      <c r="L88" t="s">
        <v>58</v>
      </c>
      <c r="M88" t="s">
        <v>57</v>
      </c>
      <c r="N88" t="s">
        <v>93</v>
      </c>
      <c r="O88" t="s">
        <v>57</v>
      </c>
      <c r="P88" t="s">
        <v>58</v>
      </c>
      <c r="Q88" t="s">
        <v>57</v>
      </c>
      <c r="X88" t="s">
        <v>596</v>
      </c>
      <c r="AB88" t="s">
        <v>597</v>
      </c>
      <c r="AH88" t="s">
        <v>598</v>
      </c>
      <c r="AJ88" s="3" t="s">
        <v>658</v>
      </c>
      <c r="AK88" s="3" t="s">
        <v>657</v>
      </c>
      <c r="AL88" s="3" t="s">
        <v>67</v>
      </c>
      <c r="AM88" s="4" t="s">
        <v>663</v>
      </c>
      <c r="AN88" s="4" t="s">
        <v>592</v>
      </c>
      <c r="AO88" s="4" t="s">
        <v>664</v>
      </c>
      <c r="AP88" s="5" t="s">
        <v>670</v>
      </c>
      <c r="AQ88" s="5" t="s">
        <v>592</v>
      </c>
      <c r="AR88" s="5" t="s">
        <v>671</v>
      </c>
      <c r="AU88" s="3" t="s">
        <v>103</v>
      </c>
      <c r="AV88">
        <v>180</v>
      </c>
      <c r="AW88">
        <v>365</v>
      </c>
    </row>
    <row r="89" spans="1:49" hidden="1" x14ac:dyDescent="0.2">
      <c r="A89" t="s">
        <v>589</v>
      </c>
      <c r="B89">
        <v>2014</v>
      </c>
      <c r="C89" t="s">
        <v>520</v>
      </c>
      <c r="D89" t="s">
        <v>191</v>
      </c>
      <c r="E89" t="s">
        <v>192</v>
      </c>
      <c r="F89" t="s">
        <v>175</v>
      </c>
      <c r="G89" t="s">
        <v>590</v>
      </c>
      <c r="H89" t="s">
        <v>53</v>
      </c>
      <c r="I89" t="s">
        <v>54</v>
      </c>
      <c r="J89" t="s">
        <v>260</v>
      </c>
      <c r="K89" t="s">
        <v>56</v>
      </c>
      <c r="L89" t="s">
        <v>58</v>
      </c>
      <c r="M89" t="s">
        <v>57</v>
      </c>
      <c r="N89" t="s">
        <v>93</v>
      </c>
      <c r="O89" t="s">
        <v>57</v>
      </c>
      <c r="P89" t="s">
        <v>58</v>
      </c>
      <c r="Q89" t="s">
        <v>57</v>
      </c>
      <c r="X89" t="s">
        <v>603</v>
      </c>
      <c r="AB89" t="s">
        <v>604</v>
      </c>
      <c r="AH89" t="s">
        <v>605</v>
      </c>
      <c r="AJ89" s="3" t="s">
        <v>658</v>
      </c>
      <c r="AK89" s="3" t="s">
        <v>657</v>
      </c>
      <c r="AL89" s="3" t="s">
        <v>67</v>
      </c>
      <c r="AM89" s="4" t="s">
        <v>666</v>
      </c>
      <c r="AN89" s="4" t="s">
        <v>600</v>
      </c>
      <c r="AO89" s="4" t="s">
        <v>667</v>
      </c>
      <c r="AP89" s="5" t="s">
        <v>672</v>
      </c>
      <c r="AQ89" s="5" t="s">
        <v>600</v>
      </c>
      <c r="AR89" s="5" t="s">
        <v>673</v>
      </c>
      <c r="AU89" s="3" t="s">
        <v>103</v>
      </c>
      <c r="AV89">
        <v>180</v>
      </c>
      <c r="AW89">
        <v>365</v>
      </c>
    </row>
    <row r="90" spans="1:49" hidden="1" x14ac:dyDescent="0.2">
      <c r="A90" t="s">
        <v>589</v>
      </c>
      <c r="B90">
        <v>2014</v>
      </c>
      <c r="C90" t="s">
        <v>506</v>
      </c>
      <c r="D90" t="s">
        <v>88</v>
      </c>
      <c r="E90" t="s">
        <v>88</v>
      </c>
      <c r="F90" t="s">
        <v>175</v>
      </c>
      <c r="G90" t="s">
        <v>590</v>
      </c>
      <c r="H90" t="s">
        <v>53</v>
      </c>
      <c r="I90" t="s">
        <v>54</v>
      </c>
      <c r="J90" t="s">
        <v>260</v>
      </c>
      <c r="K90" t="s">
        <v>56</v>
      </c>
      <c r="L90" t="s">
        <v>58</v>
      </c>
      <c r="M90" t="s">
        <v>57</v>
      </c>
      <c r="N90" t="s">
        <v>93</v>
      </c>
      <c r="O90" t="s">
        <v>57</v>
      </c>
      <c r="P90" t="s">
        <v>58</v>
      </c>
      <c r="Q90" t="s">
        <v>57</v>
      </c>
      <c r="X90" t="s">
        <v>596</v>
      </c>
      <c r="AB90" t="s">
        <v>597</v>
      </c>
      <c r="AH90" t="s">
        <v>598</v>
      </c>
      <c r="AJ90" s="3" t="s">
        <v>658</v>
      </c>
      <c r="AK90" s="3" t="s">
        <v>178</v>
      </c>
      <c r="AL90" s="3" t="s">
        <v>67</v>
      </c>
      <c r="AM90" s="4" t="s">
        <v>591</v>
      </c>
      <c r="AN90" s="4" t="s">
        <v>592</v>
      </c>
      <c r="AO90" s="4" t="s">
        <v>593</v>
      </c>
      <c r="AP90" s="5" t="s">
        <v>659</v>
      </c>
      <c r="AQ90" s="5" t="s">
        <v>592</v>
      </c>
      <c r="AR90" s="5" t="s">
        <v>660</v>
      </c>
      <c r="AU90" s="3" t="s">
        <v>103</v>
      </c>
      <c r="AV90">
        <v>180</v>
      </c>
      <c r="AW90">
        <v>365</v>
      </c>
    </row>
    <row r="91" spans="1:49" hidden="1" x14ac:dyDescent="0.2">
      <c r="A91" t="s">
        <v>589</v>
      </c>
      <c r="B91">
        <v>2014</v>
      </c>
      <c r="C91" t="s">
        <v>520</v>
      </c>
      <c r="D91" t="s">
        <v>191</v>
      </c>
      <c r="E91" t="s">
        <v>192</v>
      </c>
      <c r="F91" t="s">
        <v>175</v>
      </c>
      <c r="G91" t="s">
        <v>590</v>
      </c>
      <c r="H91" t="s">
        <v>53</v>
      </c>
      <c r="I91" t="s">
        <v>54</v>
      </c>
      <c r="J91" t="s">
        <v>260</v>
      </c>
      <c r="K91" t="s">
        <v>56</v>
      </c>
      <c r="L91" t="s">
        <v>58</v>
      </c>
      <c r="M91" t="s">
        <v>57</v>
      </c>
      <c r="N91" t="s">
        <v>93</v>
      </c>
      <c r="O91" t="s">
        <v>57</v>
      </c>
      <c r="P91" t="s">
        <v>58</v>
      </c>
      <c r="Q91" t="s">
        <v>57</v>
      </c>
      <c r="X91" t="s">
        <v>603</v>
      </c>
      <c r="AB91" t="s">
        <v>604</v>
      </c>
      <c r="AH91" t="s">
        <v>605</v>
      </c>
      <c r="AJ91" s="3" t="s">
        <v>658</v>
      </c>
      <c r="AK91" s="3" t="s">
        <v>178</v>
      </c>
      <c r="AL91" s="3" t="s">
        <v>67</v>
      </c>
      <c r="AM91" s="4" t="s">
        <v>599</v>
      </c>
      <c r="AN91" s="4" t="s">
        <v>600</v>
      </c>
      <c r="AO91" s="4" t="s">
        <v>593</v>
      </c>
      <c r="AP91" s="5" t="s">
        <v>661</v>
      </c>
      <c r="AQ91" s="5" t="s">
        <v>600</v>
      </c>
      <c r="AR91" s="5" t="s">
        <v>662</v>
      </c>
      <c r="AU91" s="3" t="s">
        <v>103</v>
      </c>
      <c r="AV91">
        <v>180</v>
      </c>
      <c r="AW91">
        <v>365</v>
      </c>
    </row>
    <row r="92" spans="1:49" x14ac:dyDescent="0.2">
      <c r="A92" t="s">
        <v>606</v>
      </c>
      <c r="B92">
        <v>2017</v>
      </c>
      <c r="C92" t="s">
        <v>607</v>
      </c>
      <c r="D92" t="s">
        <v>105</v>
      </c>
      <c r="E92" t="s">
        <v>608</v>
      </c>
      <c r="F92" t="s">
        <v>175</v>
      </c>
      <c r="G92" t="s">
        <v>609</v>
      </c>
      <c r="H92" t="s">
        <v>91</v>
      </c>
      <c r="I92" t="s">
        <v>54</v>
      </c>
      <c r="J92" t="s">
        <v>260</v>
      </c>
      <c r="K92" t="s">
        <v>610</v>
      </c>
      <c r="L92" t="s">
        <v>58</v>
      </c>
      <c r="M92" t="s">
        <v>58</v>
      </c>
      <c r="N92" t="s">
        <v>57</v>
      </c>
      <c r="O92" t="s">
        <v>57</v>
      </c>
      <c r="P92" t="s">
        <v>58</v>
      </c>
      <c r="Q92" t="s">
        <v>57</v>
      </c>
      <c r="T92" t="s">
        <v>611</v>
      </c>
      <c r="U92" t="s">
        <v>612</v>
      </c>
      <c r="V92" t="s">
        <v>613</v>
      </c>
      <c r="W92" t="s">
        <v>614</v>
      </c>
      <c r="X92" t="s">
        <v>615</v>
      </c>
      <c r="AB92" t="s">
        <v>616</v>
      </c>
      <c r="AH92" t="s">
        <v>64</v>
      </c>
      <c r="AJ92" s="3" t="s">
        <v>674</v>
      </c>
    </row>
    <row r="93" spans="1:49" hidden="1" x14ac:dyDescent="0.2">
      <c r="A93" t="s">
        <v>606</v>
      </c>
      <c r="B93">
        <v>2017</v>
      </c>
      <c r="C93" t="s">
        <v>617</v>
      </c>
      <c r="D93" t="s">
        <v>88</v>
      </c>
      <c r="E93" t="s">
        <v>88</v>
      </c>
      <c r="F93" t="s">
        <v>175</v>
      </c>
      <c r="G93" t="s">
        <v>609</v>
      </c>
      <c r="H93" t="s">
        <v>91</v>
      </c>
      <c r="I93" t="s">
        <v>54</v>
      </c>
      <c r="J93" t="s">
        <v>260</v>
      </c>
      <c r="K93" t="s">
        <v>610</v>
      </c>
      <c r="L93" t="s">
        <v>58</v>
      </c>
      <c r="M93" t="s">
        <v>58</v>
      </c>
      <c r="N93" t="s">
        <v>57</v>
      </c>
      <c r="O93" t="s">
        <v>57</v>
      </c>
      <c r="P93" t="s">
        <v>58</v>
      </c>
      <c r="Q93" t="s">
        <v>57</v>
      </c>
      <c r="T93" t="s">
        <v>618</v>
      </c>
      <c r="U93" t="s">
        <v>619</v>
      </c>
      <c r="V93" t="s">
        <v>569</v>
      </c>
      <c r="W93" t="s">
        <v>620</v>
      </c>
      <c r="X93" t="s">
        <v>621</v>
      </c>
      <c r="AB93" t="s">
        <v>622</v>
      </c>
      <c r="AH93" t="s">
        <v>64</v>
      </c>
      <c r="AJ93" s="3" t="s">
        <v>674</v>
      </c>
    </row>
    <row r="94" spans="1:49" hidden="1" x14ac:dyDescent="0.2">
      <c r="A94" t="s">
        <v>623</v>
      </c>
      <c r="B94">
        <v>2017</v>
      </c>
      <c r="C94" t="s">
        <v>87</v>
      </c>
      <c r="D94" t="s">
        <v>88</v>
      </c>
      <c r="E94" t="s">
        <v>88</v>
      </c>
      <c r="F94" t="s">
        <v>175</v>
      </c>
      <c r="G94" t="s">
        <v>624</v>
      </c>
      <c r="H94" t="s">
        <v>91</v>
      </c>
      <c r="I94" t="s">
        <v>54</v>
      </c>
      <c r="J94" t="s">
        <v>260</v>
      </c>
      <c r="K94" t="s">
        <v>56</v>
      </c>
      <c r="L94" t="s">
        <v>58</v>
      </c>
      <c r="M94" t="s">
        <v>57</v>
      </c>
      <c r="N94" t="s">
        <v>57</v>
      </c>
      <c r="O94" t="s">
        <v>57</v>
      </c>
      <c r="P94" t="s">
        <v>58</v>
      </c>
      <c r="Q94" t="s">
        <v>57</v>
      </c>
      <c r="R94" t="s">
        <v>625</v>
      </c>
      <c r="S94" t="s">
        <v>626</v>
      </c>
      <c r="X94" t="s">
        <v>88</v>
      </c>
      <c r="AB94" t="s">
        <v>88</v>
      </c>
      <c r="AH94" t="s">
        <v>88</v>
      </c>
      <c r="AJ94" s="3" t="s">
        <v>674</v>
      </c>
    </row>
    <row r="95" spans="1:49" x14ac:dyDescent="0.2">
      <c r="A95" t="s">
        <v>623</v>
      </c>
      <c r="B95">
        <v>2017</v>
      </c>
      <c r="C95" t="s">
        <v>627</v>
      </c>
      <c r="D95" t="s">
        <v>105</v>
      </c>
      <c r="E95" t="s">
        <v>608</v>
      </c>
      <c r="F95" t="s">
        <v>175</v>
      </c>
      <c r="G95" t="s">
        <v>624</v>
      </c>
      <c r="H95" t="s">
        <v>91</v>
      </c>
      <c r="I95" t="s">
        <v>54</v>
      </c>
      <c r="J95" t="s">
        <v>260</v>
      </c>
      <c r="K95" t="s">
        <v>56</v>
      </c>
      <c r="L95" t="s">
        <v>58</v>
      </c>
      <c r="M95" t="s">
        <v>57</v>
      </c>
      <c r="N95" t="s">
        <v>57</v>
      </c>
      <c r="O95" t="s">
        <v>57</v>
      </c>
      <c r="P95" t="s">
        <v>58</v>
      </c>
      <c r="Q95" t="s">
        <v>57</v>
      </c>
      <c r="R95" t="s">
        <v>628</v>
      </c>
      <c r="S95" t="s">
        <v>629</v>
      </c>
      <c r="X95" t="s">
        <v>630</v>
      </c>
      <c r="AB95" t="s">
        <v>631</v>
      </c>
      <c r="AH95" t="s">
        <v>64</v>
      </c>
      <c r="AJ95" s="3" t="s">
        <v>674</v>
      </c>
    </row>
    <row r="96" spans="1:49" hidden="1" x14ac:dyDescent="0.2">
      <c r="A96" t="s">
        <v>632</v>
      </c>
      <c r="B96">
        <v>2017</v>
      </c>
      <c r="C96" t="s">
        <v>174</v>
      </c>
      <c r="D96" t="s">
        <v>88</v>
      </c>
      <c r="E96" t="s">
        <v>88</v>
      </c>
      <c r="F96" t="s">
        <v>175</v>
      </c>
      <c r="G96" t="s">
        <v>633</v>
      </c>
      <c r="H96" t="s">
        <v>91</v>
      </c>
      <c r="I96" t="s">
        <v>54</v>
      </c>
      <c r="J96" t="s">
        <v>55</v>
      </c>
      <c r="K96" t="s">
        <v>634</v>
      </c>
      <c r="L96" t="s">
        <v>58</v>
      </c>
      <c r="M96" t="s">
        <v>57</v>
      </c>
      <c r="N96" t="s">
        <v>57</v>
      </c>
      <c r="O96" t="s">
        <v>57</v>
      </c>
      <c r="P96" t="s">
        <v>58</v>
      </c>
      <c r="Q96" t="s">
        <v>57</v>
      </c>
      <c r="R96" t="s">
        <v>635</v>
      </c>
      <c r="S96" t="s">
        <v>636</v>
      </c>
      <c r="X96" t="s">
        <v>637</v>
      </c>
      <c r="AB96" t="s">
        <v>638</v>
      </c>
      <c r="AH96" t="s">
        <v>639</v>
      </c>
      <c r="AJ96" s="3" t="s">
        <v>188</v>
      </c>
      <c r="AK96" s="3" t="s">
        <v>178</v>
      </c>
      <c r="AL96" s="3" t="s">
        <v>67</v>
      </c>
      <c r="AM96" s="6">
        <v>9.85</v>
      </c>
      <c r="AN96" s="6">
        <v>70</v>
      </c>
      <c r="AO96" s="6">
        <v>1.89</v>
      </c>
      <c r="AP96" s="6">
        <v>13.27</v>
      </c>
      <c r="AQ96" s="6">
        <v>70</v>
      </c>
      <c r="AR96" s="6">
        <v>3.02</v>
      </c>
      <c r="AU96" s="3" t="s">
        <v>189</v>
      </c>
      <c r="AV96">
        <v>365</v>
      </c>
      <c r="AW96">
        <v>365</v>
      </c>
    </row>
    <row r="97" spans="1:49" hidden="1" x14ac:dyDescent="0.2">
      <c r="A97" t="s">
        <v>632</v>
      </c>
      <c r="B97">
        <v>2017</v>
      </c>
      <c r="C97" t="s">
        <v>640</v>
      </c>
      <c r="D97" t="s">
        <v>191</v>
      </c>
      <c r="E97" t="s">
        <v>641</v>
      </c>
      <c r="F97" t="s">
        <v>175</v>
      </c>
      <c r="G97" t="s">
        <v>633</v>
      </c>
      <c r="H97" t="s">
        <v>91</v>
      </c>
      <c r="I97" t="s">
        <v>54</v>
      </c>
      <c r="J97" t="s">
        <v>55</v>
      </c>
      <c r="K97" t="s">
        <v>634</v>
      </c>
      <c r="L97" t="s">
        <v>58</v>
      </c>
      <c r="M97" t="s">
        <v>57</v>
      </c>
      <c r="N97" t="s">
        <v>57</v>
      </c>
      <c r="O97" t="s">
        <v>57</v>
      </c>
      <c r="P97" t="s">
        <v>58</v>
      </c>
      <c r="Q97" t="s">
        <v>57</v>
      </c>
      <c r="R97" t="s">
        <v>642</v>
      </c>
      <c r="S97" t="s">
        <v>643</v>
      </c>
      <c r="X97" t="s">
        <v>644</v>
      </c>
      <c r="AB97" t="s">
        <v>645</v>
      </c>
      <c r="AH97" t="s">
        <v>646</v>
      </c>
      <c r="AJ97" s="3" t="s">
        <v>188</v>
      </c>
      <c r="AK97" s="3" t="s">
        <v>178</v>
      </c>
      <c r="AL97" s="3" t="s">
        <v>67</v>
      </c>
      <c r="AM97" s="6">
        <v>9.8800000000000008</v>
      </c>
      <c r="AN97" s="6">
        <v>71</v>
      </c>
      <c r="AO97" s="6">
        <v>2.33</v>
      </c>
      <c r="AP97" s="6">
        <v>14.97</v>
      </c>
      <c r="AQ97" s="6">
        <v>71</v>
      </c>
      <c r="AR97" s="6">
        <v>3.03</v>
      </c>
      <c r="AU97" s="3" t="s">
        <v>189</v>
      </c>
      <c r="AV97">
        <v>365</v>
      </c>
      <c r="AW97">
        <v>365</v>
      </c>
    </row>
    <row r="98" spans="1:49" hidden="1" x14ac:dyDescent="0.2">
      <c r="A98" t="s">
        <v>647</v>
      </c>
      <c r="B98">
        <v>2010</v>
      </c>
      <c r="C98" t="s">
        <v>648</v>
      </c>
      <c r="D98" t="s">
        <v>191</v>
      </c>
      <c r="E98" t="s">
        <v>192</v>
      </c>
      <c r="F98" t="s">
        <v>175</v>
      </c>
      <c r="G98" t="s">
        <v>176</v>
      </c>
      <c r="H98" t="s">
        <v>53</v>
      </c>
      <c r="I98" t="s">
        <v>54</v>
      </c>
      <c r="J98" t="s">
        <v>260</v>
      </c>
      <c r="K98" t="s">
        <v>488</v>
      </c>
      <c r="L98" t="s">
        <v>58</v>
      </c>
      <c r="M98" t="s">
        <v>58</v>
      </c>
      <c r="N98" t="s">
        <v>93</v>
      </c>
      <c r="O98" t="s">
        <v>58</v>
      </c>
      <c r="P98" t="s">
        <v>58</v>
      </c>
      <c r="Q98" t="s">
        <v>58</v>
      </c>
      <c r="X98" t="s">
        <v>649</v>
      </c>
      <c r="AB98" t="s">
        <v>650</v>
      </c>
      <c r="AH98" t="s">
        <v>651</v>
      </c>
      <c r="AJ98" s="3" t="s">
        <v>168</v>
      </c>
      <c r="AK98" s="3" t="s">
        <v>513</v>
      </c>
      <c r="AL98" s="3" t="s">
        <v>67</v>
      </c>
      <c r="AM98" s="6">
        <v>431.4</v>
      </c>
      <c r="AN98" s="6">
        <v>25</v>
      </c>
      <c r="AO98" s="6">
        <v>126.5</v>
      </c>
      <c r="AP98" s="6">
        <v>524.70000000000005</v>
      </c>
      <c r="AQ98" s="6">
        <v>25</v>
      </c>
      <c r="AR98" s="6">
        <v>128.4</v>
      </c>
      <c r="AU98" s="3" t="s">
        <v>189</v>
      </c>
      <c r="AV98">
        <v>365</v>
      </c>
      <c r="AW98">
        <v>365</v>
      </c>
    </row>
    <row r="99" spans="1:49" hidden="1" x14ac:dyDescent="0.2">
      <c r="A99" t="s">
        <v>647</v>
      </c>
      <c r="B99">
        <v>2010</v>
      </c>
      <c r="C99" t="s">
        <v>652</v>
      </c>
      <c r="D99" t="s">
        <v>88</v>
      </c>
      <c r="E99" t="s">
        <v>88</v>
      </c>
      <c r="F99" t="s">
        <v>175</v>
      </c>
      <c r="G99" t="s">
        <v>176</v>
      </c>
      <c r="H99" t="s">
        <v>53</v>
      </c>
      <c r="I99" t="s">
        <v>54</v>
      </c>
      <c r="J99" t="s">
        <v>260</v>
      </c>
      <c r="K99" t="s">
        <v>488</v>
      </c>
      <c r="L99" t="s">
        <v>58</v>
      </c>
      <c r="M99" t="s">
        <v>58</v>
      </c>
      <c r="N99" t="s">
        <v>93</v>
      </c>
      <c r="O99" t="s">
        <v>58</v>
      </c>
      <c r="P99" t="s">
        <v>58</v>
      </c>
      <c r="Q99" t="s">
        <v>58</v>
      </c>
      <c r="X99" t="s">
        <v>653</v>
      </c>
      <c r="AB99" t="s">
        <v>654</v>
      </c>
      <c r="AH99" t="s">
        <v>655</v>
      </c>
      <c r="AJ99" s="3" t="s">
        <v>168</v>
      </c>
      <c r="AK99" s="3" t="s">
        <v>513</v>
      </c>
      <c r="AL99" s="3" t="s">
        <v>67</v>
      </c>
      <c r="AM99" s="6">
        <v>415.3</v>
      </c>
      <c r="AN99" s="6">
        <v>25</v>
      </c>
      <c r="AO99" s="6">
        <v>140.80000000000001</v>
      </c>
      <c r="AP99" s="6">
        <v>370.8</v>
      </c>
      <c r="AQ99" s="6">
        <v>25</v>
      </c>
      <c r="AR99" s="6">
        <v>132.6</v>
      </c>
      <c r="AU99" s="3" t="s">
        <v>189</v>
      </c>
      <c r="AV99">
        <v>365</v>
      </c>
      <c r="AW99">
        <v>365</v>
      </c>
    </row>
  </sheetData>
  <autoFilter ref="A1:AW99" xr:uid="{00000000-0001-0000-0000-000000000000}">
    <filterColumn colId="4">
      <filters>
        <filter val="Training and education for professional carers"/>
      </filters>
    </filterColumn>
  </autoFilter>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604D-13A0-934F-9364-9F35E6508370}">
  <dimension ref="A1:AW51"/>
  <sheetViews>
    <sheetView zoomScale="84" workbookViewId="0">
      <pane xSplit="5" ySplit="1" topLeftCell="U2" activePane="bottomRight" state="frozen"/>
      <selection pane="topRight" activeCell="F1" sqref="F1"/>
      <selection pane="bottomLeft" activeCell="A2" sqref="A2"/>
      <selection pane="bottomRight" activeCell="H52" sqref="H52"/>
    </sheetView>
  </sheetViews>
  <sheetFormatPr baseColWidth="10" defaultRowHeight="15" x14ac:dyDescent="0.2"/>
  <cols>
    <col min="1" max="35" width="10.83203125" style="8"/>
    <col min="36" max="38" width="10.83203125" style="11"/>
    <col min="39" max="41" width="10.83203125" style="13"/>
    <col min="42" max="44" width="10.83203125" style="15"/>
    <col min="45" max="46" width="10.83203125" style="8"/>
    <col min="47" max="47" width="10.83203125" style="11"/>
    <col min="48" max="16384" width="10.83203125" style="8"/>
  </cols>
  <sheetData>
    <row r="1" spans="1:49"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11" t="s">
        <v>35</v>
      </c>
      <c r="AK1" s="11" t="s">
        <v>36</v>
      </c>
      <c r="AL1" s="11" t="s">
        <v>37</v>
      </c>
      <c r="AM1" s="12" t="s">
        <v>38</v>
      </c>
      <c r="AN1" s="12" t="s">
        <v>39</v>
      </c>
      <c r="AO1" s="12" t="s">
        <v>40</v>
      </c>
      <c r="AP1" s="14" t="s">
        <v>41</v>
      </c>
      <c r="AQ1" s="14" t="s">
        <v>42</v>
      </c>
      <c r="AR1" s="14" t="s">
        <v>43</v>
      </c>
      <c r="AS1" s="8" t="s">
        <v>44</v>
      </c>
      <c r="AT1" s="8" t="s">
        <v>45</v>
      </c>
      <c r="AU1" s="11" t="s">
        <v>46</v>
      </c>
      <c r="AV1" s="8" t="s">
        <v>686</v>
      </c>
      <c r="AW1" s="8" t="s">
        <v>689</v>
      </c>
    </row>
    <row r="2" spans="1:49" x14ac:dyDescent="0.2">
      <c r="A2" s="8" t="s">
        <v>698</v>
      </c>
      <c r="B2" s="8">
        <v>2020</v>
      </c>
      <c r="C2" s="8" t="s">
        <v>699</v>
      </c>
      <c r="D2" s="8" t="s">
        <v>49</v>
      </c>
      <c r="E2" s="8" t="s">
        <v>75</v>
      </c>
      <c r="F2" s="8" t="s">
        <v>175</v>
      </c>
      <c r="G2" s="8" t="s">
        <v>700</v>
      </c>
      <c r="H2" s="8" t="s">
        <v>701</v>
      </c>
      <c r="I2" s="8" t="s">
        <v>695</v>
      </c>
      <c r="J2" s="8" t="s">
        <v>702</v>
      </c>
      <c r="K2" s="8" t="s">
        <v>703</v>
      </c>
      <c r="L2" s="8" t="s">
        <v>93</v>
      </c>
      <c r="M2" s="8" t="s">
        <v>57</v>
      </c>
      <c r="N2" s="8" t="s">
        <v>93</v>
      </c>
      <c r="O2" s="8" t="s">
        <v>93</v>
      </c>
      <c r="P2" s="8" t="s">
        <v>93</v>
      </c>
      <c r="Q2" s="8" t="s">
        <v>58</v>
      </c>
      <c r="S2" s="10">
        <v>0.52800000000000002</v>
      </c>
      <c r="X2" s="8" t="s">
        <v>736</v>
      </c>
      <c r="AA2" s="8" t="s">
        <v>395</v>
      </c>
      <c r="AJ2" s="11" t="s">
        <v>188</v>
      </c>
      <c r="AK2" s="11" t="s">
        <v>752</v>
      </c>
      <c r="AL2" s="11" t="s">
        <v>67</v>
      </c>
      <c r="AM2" s="8">
        <v>17.760000000000002</v>
      </c>
      <c r="AN2" s="8">
        <v>51</v>
      </c>
      <c r="AO2" s="8">
        <v>3.68</v>
      </c>
      <c r="AP2" s="8">
        <v>14.64</v>
      </c>
      <c r="AQ2" s="8">
        <v>51</v>
      </c>
      <c r="AR2" s="8">
        <v>2.38</v>
      </c>
      <c r="AU2" s="11" t="s">
        <v>189</v>
      </c>
      <c r="AV2" s="8">
        <v>365</v>
      </c>
      <c r="AW2" s="8">
        <v>365</v>
      </c>
    </row>
    <row r="3" spans="1:49" x14ac:dyDescent="0.2">
      <c r="A3" s="8" t="s">
        <v>698</v>
      </c>
      <c r="B3" s="8">
        <v>2020</v>
      </c>
      <c r="C3" s="8" t="s">
        <v>548</v>
      </c>
      <c r="D3" s="8" t="s">
        <v>88</v>
      </c>
      <c r="E3" s="8" t="s">
        <v>88</v>
      </c>
      <c r="F3" s="8" t="s">
        <v>175</v>
      </c>
      <c r="G3" s="8" t="s">
        <v>700</v>
      </c>
      <c r="H3" s="8" t="s">
        <v>701</v>
      </c>
      <c r="I3" s="8" t="s">
        <v>695</v>
      </c>
      <c r="J3" s="8" t="s">
        <v>702</v>
      </c>
      <c r="K3" s="8" t="s">
        <v>703</v>
      </c>
      <c r="L3" s="8" t="s">
        <v>93</v>
      </c>
      <c r="M3" s="8" t="s">
        <v>57</v>
      </c>
      <c r="N3" s="8" t="s">
        <v>93</v>
      </c>
      <c r="O3" s="8" t="s">
        <v>93</v>
      </c>
      <c r="P3" s="8" t="s">
        <v>93</v>
      </c>
      <c r="Q3" s="8" t="s">
        <v>58</v>
      </c>
      <c r="S3" s="10">
        <v>0.52900000000000003</v>
      </c>
      <c r="X3" s="8" t="s">
        <v>736</v>
      </c>
      <c r="AA3" s="8" t="s">
        <v>395</v>
      </c>
      <c r="AJ3" s="11" t="s">
        <v>188</v>
      </c>
      <c r="AK3" s="11" t="s">
        <v>752</v>
      </c>
      <c r="AL3" s="11" t="s">
        <v>67</v>
      </c>
      <c r="AM3" s="8">
        <v>17.04</v>
      </c>
      <c r="AN3" s="8">
        <v>51</v>
      </c>
      <c r="AO3" s="8">
        <v>3.52</v>
      </c>
      <c r="AP3" s="8">
        <v>12.59</v>
      </c>
      <c r="AQ3" s="8">
        <v>51</v>
      </c>
      <c r="AR3" s="8">
        <v>2.7</v>
      </c>
      <c r="AU3" s="11" t="s">
        <v>189</v>
      </c>
      <c r="AV3" s="8">
        <v>365</v>
      </c>
      <c r="AW3" s="8">
        <v>365</v>
      </c>
    </row>
    <row r="4" spans="1:49" x14ac:dyDescent="0.2">
      <c r="A4" s="8" t="s">
        <v>698</v>
      </c>
      <c r="B4" s="8">
        <v>2020</v>
      </c>
      <c r="C4" s="8" t="s">
        <v>699</v>
      </c>
      <c r="D4" s="8" t="s">
        <v>49</v>
      </c>
      <c r="E4" s="8" t="s">
        <v>75</v>
      </c>
      <c r="F4" s="8" t="s">
        <v>175</v>
      </c>
      <c r="G4" s="8" t="s">
        <v>700</v>
      </c>
      <c r="H4" s="8" t="s">
        <v>701</v>
      </c>
      <c r="I4" s="8" t="s">
        <v>695</v>
      </c>
      <c r="J4" s="8" t="s">
        <v>702</v>
      </c>
      <c r="K4" s="8" t="s">
        <v>703</v>
      </c>
      <c r="L4" s="8" t="s">
        <v>93</v>
      </c>
      <c r="M4" s="8" t="s">
        <v>57</v>
      </c>
      <c r="N4" s="8" t="s">
        <v>93</v>
      </c>
      <c r="O4" s="8" t="s">
        <v>93</v>
      </c>
      <c r="P4" s="8" t="s">
        <v>93</v>
      </c>
      <c r="Q4" s="8" t="s">
        <v>58</v>
      </c>
      <c r="S4" s="10">
        <v>0.52800000000000002</v>
      </c>
      <c r="X4" s="8" t="s">
        <v>736</v>
      </c>
      <c r="AA4" s="8" t="s">
        <v>395</v>
      </c>
      <c r="AJ4" s="11" t="s">
        <v>753</v>
      </c>
      <c r="AK4" s="11" t="s">
        <v>754</v>
      </c>
      <c r="AL4" s="11" t="s">
        <v>67</v>
      </c>
      <c r="AM4" s="13">
        <v>19.32</v>
      </c>
      <c r="AN4" s="13">
        <v>51</v>
      </c>
      <c r="AO4" s="13">
        <v>3.53</v>
      </c>
      <c r="AP4" s="15">
        <v>7.21</v>
      </c>
      <c r="AQ4" s="15">
        <v>51</v>
      </c>
      <c r="AR4" s="15">
        <v>2.88</v>
      </c>
      <c r="AU4" s="11" t="s">
        <v>189</v>
      </c>
      <c r="AV4" s="8">
        <v>365</v>
      </c>
      <c r="AW4" s="8">
        <v>365</v>
      </c>
    </row>
    <row r="5" spans="1:49" x14ac:dyDescent="0.2">
      <c r="A5" s="8" t="s">
        <v>698</v>
      </c>
      <c r="B5" s="8">
        <v>2020</v>
      </c>
      <c r="C5" s="8" t="s">
        <v>548</v>
      </c>
      <c r="D5" s="8" t="s">
        <v>88</v>
      </c>
      <c r="E5" s="8" t="s">
        <v>88</v>
      </c>
      <c r="F5" s="8" t="s">
        <v>175</v>
      </c>
      <c r="G5" s="8" t="s">
        <v>700</v>
      </c>
      <c r="H5" s="8" t="s">
        <v>701</v>
      </c>
      <c r="I5" s="8" t="s">
        <v>695</v>
      </c>
      <c r="J5" s="8" t="s">
        <v>702</v>
      </c>
      <c r="K5" s="8" t="s">
        <v>703</v>
      </c>
      <c r="L5" s="8" t="s">
        <v>93</v>
      </c>
      <c r="M5" s="8" t="s">
        <v>57</v>
      </c>
      <c r="N5" s="8" t="s">
        <v>93</v>
      </c>
      <c r="O5" s="8" t="s">
        <v>93</v>
      </c>
      <c r="P5" s="8" t="s">
        <v>93</v>
      </c>
      <c r="Q5" s="8" t="s">
        <v>58</v>
      </c>
      <c r="S5" s="10">
        <v>0.52900000000000003</v>
      </c>
      <c r="X5" s="8" t="s">
        <v>736</v>
      </c>
      <c r="AA5" s="8" t="s">
        <v>395</v>
      </c>
      <c r="AJ5" s="11" t="s">
        <v>753</v>
      </c>
      <c r="AK5" s="11" t="s">
        <v>754</v>
      </c>
      <c r="AL5" s="11" t="s">
        <v>67</v>
      </c>
      <c r="AM5" s="13">
        <v>19.47</v>
      </c>
      <c r="AN5" s="13">
        <v>51</v>
      </c>
      <c r="AO5" s="13">
        <v>3.37</v>
      </c>
      <c r="AP5" s="15">
        <v>10.37</v>
      </c>
      <c r="AQ5" s="15">
        <v>51</v>
      </c>
      <c r="AR5" s="15">
        <v>2.17</v>
      </c>
      <c r="AU5" s="11" t="s">
        <v>189</v>
      </c>
      <c r="AV5" s="8">
        <v>365</v>
      </c>
      <c r="AW5" s="8">
        <v>365</v>
      </c>
    </row>
    <row r="6" spans="1:49" x14ac:dyDescent="0.2">
      <c r="A6" s="8" t="s">
        <v>698</v>
      </c>
      <c r="B6" s="8">
        <v>2020</v>
      </c>
      <c r="C6" s="8" t="s">
        <v>699</v>
      </c>
      <c r="D6" s="8" t="s">
        <v>49</v>
      </c>
      <c r="E6" s="8" t="s">
        <v>75</v>
      </c>
      <c r="F6" s="8" t="s">
        <v>175</v>
      </c>
      <c r="G6" s="8" t="s">
        <v>700</v>
      </c>
      <c r="H6" s="8" t="s">
        <v>701</v>
      </c>
      <c r="I6" s="8" t="s">
        <v>695</v>
      </c>
      <c r="J6" s="8" t="s">
        <v>702</v>
      </c>
      <c r="K6" s="8" t="s">
        <v>703</v>
      </c>
      <c r="L6" s="8" t="s">
        <v>93</v>
      </c>
      <c r="M6" s="8" t="s">
        <v>57</v>
      </c>
      <c r="N6" s="8" t="s">
        <v>93</v>
      </c>
      <c r="O6" s="8" t="s">
        <v>93</v>
      </c>
      <c r="P6" s="8" t="s">
        <v>93</v>
      </c>
      <c r="Q6" s="8" t="s">
        <v>58</v>
      </c>
      <c r="S6" s="10">
        <v>0.52800000000000002</v>
      </c>
      <c r="X6" s="8" t="s">
        <v>736</v>
      </c>
      <c r="AA6" s="8" t="s">
        <v>395</v>
      </c>
      <c r="AJ6" s="11" t="s">
        <v>656</v>
      </c>
      <c r="AK6" s="11" t="s">
        <v>755</v>
      </c>
      <c r="AL6" s="11" t="s">
        <v>67</v>
      </c>
      <c r="AM6" s="13">
        <v>14.53</v>
      </c>
      <c r="AN6" s="13">
        <v>51</v>
      </c>
      <c r="AO6" s="13">
        <v>1.77</v>
      </c>
      <c r="AP6" s="15">
        <v>11.41</v>
      </c>
      <c r="AQ6" s="15">
        <v>51</v>
      </c>
      <c r="AR6" s="15">
        <v>1.08</v>
      </c>
      <c r="AU6" s="11" t="s">
        <v>189</v>
      </c>
      <c r="AV6" s="8">
        <v>365</v>
      </c>
      <c r="AW6" s="8">
        <v>365</v>
      </c>
    </row>
    <row r="7" spans="1:49" x14ac:dyDescent="0.2">
      <c r="A7" s="8" t="s">
        <v>698</v>
      </c>
      <c r="B7" s="8">
        <v>2020</v>
      </c>
      <c r="C7" s="8" t="s">
        <v>548</v>
      </c>
      <c r="D7" s="8" t="s">
        <v>88</v>
      </c>
      <c r="E7" s="8" t="s">
        <v>88</v>
      </c>
      <c r="F7" s="8" t="s">
        <v>175</v>
      </c>
      <c r="G7" s="8" t="s">
        <v>700</v>
      </c>
      <c r="H7" s="8" t="s">
        <v>701</v>
      </c>
      <c r="I7" s="8" t="s">
        <v>695</v>
      </c>
      <c r="J7" s="8" t="s">
        <v>702</v>
      </c>
      <c r="K7" s="8" t="s">
        <v>703</v>
      </c>
      <c r="L7" s="8" t="s">
        <v>93</v>
      </c>
      <c r="M7" s="8" t="s">
        <v>57</v>
      </c>
      <c r="N7" s="8" t="s">
        <v>93</v>
      </c>
      <c r="O7" s="8" t="s">
        <v>93</v>
      </c>
      <c r="P7" s="8" t="s">
        <v>93</v>
      </c>
      <c r="Q7" s="8" t="s">
        <v>58</v>
      </c>
      <c r="S7" s="10">
        <v>0.52900000000000003</v>
      </c>
      <c r="X7" s="8" t="s">
        <v>736</v>
      </c>
      <c r="AA7" s="8" t="s">
        <v>395</v>
      </c>
      <c r="AJ7" s="11" t="s">
        <v>656</v>
      </c>
      <c r="AK7" s="11" t="s">
        <v>755</v>
      </c>
      <c r="AL7" s="11" t="s">
        <v>67</v>
      </c>
      <c r="AM7" s="13">
        <v>15.02</v>
      </c>
      <c r="AN7" s="13">
        <v>51</v>
      </c>
      <c r="AO7" s="13">
        <v>1.82</v>
      </c>
      <c r="AP7" s="15">
        <v>9.31</v>
      </c>
      <c r="AQ7" s="15">
        <v>51</v>
      </c>
      <c r="AR7" s="15">
        <v>1.52</v>
      </c>
      <c r="AU7" s="11" t="s">
        <v>189</v>
      </c>
      <c r="AV7" s="8">
        <v>365</v>
      </c>
      <c r="AW7" s="8">
        <v>365</v>
      </c>
    </row>
    <row r="8" spans="1:49" x14ac:dyDescent="0.2">
      <c r="A8" s="8" t="s">
        <v>713</v>
      </c>
      <c r="B8" s="8">
        <v>2019</v>
      </c>
      <c r="C8" s="8" t="s">
        <v>118</v>
      </c>
      <c r="D8" s="8" t="s">
        <v>49</v>
      </c>
      <c r="E8" s="8" t="s">
        <v>75</v>
      </c>
      <c r="F8" s="8" t="s">
        <v>279</v>
      </c>
      <c r="G8" s="8" t="s">
        <v>714</v>
      </c>
      <c r="H8" s="8" t="s">
        <v>715</v>
      </c>
      <c r="I8" s="8" t="s">
        <v>716</v>
      </c>
      <c r="J8" s="8" t="s">
        <v>452</v>
      </c>
      <c r="K8" s="8" t="s">
        <v>56</v>
      </c>
      <c r="L8" s="8" t="s">
        <v>712</v>
      </c>
      <c r="M8" s="8" t="s">
        <v>57</v>
      </c>
      <c r="N8" s="8" t="s">
        <v>93</v>
      </c>
      <c r="O8" s="8" t="s">
        <v>58</v>
      </c>
      <c r="P8" s="8" t="s">
        <v>58</v>
      </c>
      <c r="Q8" s="8" t="s">
        <v>57</v>
      </c>
      <c r="R8" s="8" t="s">
        <v>724</v>
      </c>
      <c r="T8" s="8" t="s">
        <v>730</v>
      </c>
      <c r="U8" s="9">
        <v>0.88</v>
      </c>
      <c r="X8" s="8" t="s">
        <v>741</v>
      </c>
      <c r="AA8" s="8" t="s">
        <v>395</v>
      </c>
      <c r="AJ8" s="7" t="s">
        <v>317</v>
      </c>
      <c r="AK8" s="7" t="s">
        <v>756</v>
      </c>
      <c r="AL8" s="7" t="s">
        <v>67</v>
      </c>
      <c r="AM8" s="16">
        <v>4.5</v>
      </c>
      <c r="AN8" s="16">
        <v>27</v>
      </c>
      <c r="AO8" s="16">
        <v>3.04</v>
      </c>
      <c r="AP8" s="16">
        <v>0.4</v>
      </c>
      <c r="AQ8" s="16">
        <v>25</v>
      </c>
      <c r="AR8" s="16">
        <v>0.7</v>
      </c>
      <c r="AU8" s="11" t="s">
        <v>774</v>
      </c>
      <c r="AV8" s="8">
        <v>91</v>
      </c>
      <c r="AW8" s="8">
        <v>56</v>
      </c>
    </row>
    <row r="9" spans="1:49" x14ac:dyDescent="0.2">
      <c r="A9" s="8" t="s">
        <v>713</v>
      </c>
      <c r="B9" s="8">
        <v>2019</v>
      </c>
      <c r="C9" s="8" t="s">
        <v>87</v>
      </c>
      <c r="D9" s="8" t="s">
        <v>88</v>
      </c>
      <c r="E9" s="8" t="s">
        <v>88</v>
      </c>
      <c r="F9" s="8" t="s">
        <v>279</v>
      </c>
      <c r="G9" s="8" t="s">
        <v>714</v>
      </c>
      <c r="H9" s="8" t="s">
        <v>715</v>
      </c>
      <c r="I9" s="8" t="s">
        <v>716</v>
      </c>
      <c r="J9" s="8" t="s">
        <v>452</v>
      </c>
      <c r="K9" s="8" t="s">
        <v>56</v>
      </c>
      <c r="L9" s="8" t="s">
        <v>712</v>
      </c>
      <c r="M9" s="8" t="s">
        <v>57</v>
      </c>
      <c r="N9" s="8" t="s">
        <v>93</v>
      </c>
      <c r="O9" s="8" t="s">
        <v>58</v>
      </c>
      <c r="P9" s="8" t="s">
        <v>58</v>
      </c>
      <c r="Q9" s="8" t="s">
        <v>57</v>
      </c>
      <c r="R9" s="8" t="s">
        <v>725</v>
      </c>
      <c r="T9" s="8" t="s">
        <v>731</v>
      </c>
      <c r="U9" s="9">
        <v>0.72</v>
      </c>
      <c r="X9" s="8" t="s">
        <v>742</v>
      </c>
      <c r="AA9" s="8" t="s">
        <v>395</v>
      </c>
      <c r="AJ9" s="7" t="s">
        <v>317</v>
      </c>
      <c r="AK9" s="7" t="s">
        <v>756</v>
      </c>
      <c r="AL9" s="7" t="s">
        <v>67</v>
      </c>
      <c r="AM9" s="16">
        <v>4.8</v>
      </c>
      <c r="AN9" s="7">
        <v>27</v>
      </c>
      <c r="AO9" s="16">
        <v>3.6</v>
      </c>
      <c r="AP9" s="16">
        <v>5.08</v>
      </c>
      <c r="AQ9" s="16">
        <v>25</v>
      </c>
      <c r="AR9" s="16">
        <v>3.7</v>
      </c>
      <c r="AU9" s="11" t="s">
        <v>774</v>
      </c>
      <c r="AV9" s="8">
        <v>91</v>
      </c>
      <c r="AW9" s="8">
        <v>56</v>
      </c>
    </row>
    <row r="10" spans="1:49" x14ac:dyDescent="0.2">
      <c r="A10" s="8" t="s">
        <v>713</v>
      </c>
      <c r="B10" s="8">
        <v>2019</v>
      </c>
      <c r="C10" s="8" t="s">
        <v>118</v>
      </c>
      <c r="D10" s="8" t="s">
        <v>49</v>
      </c>
      <c r="E10" s="8" t="s">
        <v>75</v>
      </c>
      <c r="F10" s="8" t="s">
        <v>279</v>
      </c>
      <c r="G10" s="8" t="s">
        <v>714</v>
      </c>
      <c r="H10" s="8" t="s">
        <v>715</v>
      </c>
      <c r="I10" s="8" t="s">
        <v>716</v>
      </c>
      <c r="J10" s="8" t="s">
        <v>452</v>
      </c>
      <c r="K10" s="8" t="s">
        <v>56</v>
      </c>
      <c r="L10" s="8" t="s">
        <v>712</v>
      </c>
      <c r="M10" s="8" t="s">
        <v>57</v>
      </c>
      <c r="N10" s="8" t="s">
        <v>93</v>
      </c>
      <c r="O10" s="8" t="s">
        <v>58</v>
      </c>
      <c r="P10" s="8" t="s">
        <v>58</v>
      </c>
      <c r="Q10" s="8" t="s">
        <v>57</v>
      </c>
      <c r="R10" s="8" t="s">
        <v>724</v>
      </c>
      <c r="T10" s="8" t="s">
        <v>730</v>
      </c>
      <c r="U10" s="9">
        <v>0.88</v>
      </c>
      <c r="X10" s="8" t="s">
        <v>741</v>
      </c>
      <c r="AA10" s="8" t="s">
        <v>395</v>
      </c>
      <c r="AJ10" s="7" t="s">
        <v>757</v>
      </c>
      <c r="AK10" s="7" t="s">
        <v>756</v>
      </c>
      <c r="AL10" s="7" t="s">
        <v>67</v>
      </c>
      <c r="AM10" s="7">
        <v>11.6</v>
      </c>
      <c r="AN10" s="7">
        <v>27</v>
      </c>
      <c r="AO10" s="7">
        <v>2.8</v>
      </c>
      <c r="AP10" s="7">
        <v>3.4</v>
      </c>
      <c r="AQ10" s="7">
        <v>25</v>
      </c>
      <c r="AR10" s="7">
        <v>1.5</v>
      </c>
      <c r="AU10" s="11" t="s">
        <v>774</v>
      </c>
      <c r="AV10" s="8">
        <v>91</v>
      </c>
      <c r="AW10" s="8">
        <v>56</v>
      </c>
    </row>
    <row r="11" spans="1:49" x14ac:dyDescent="0.2">
      <c r="A11" s="8" t="s">
        <v>713</v>
      </c>
      <c r="B11" s="8">
        <v>2019</v>
      </c>
      <c r="C11" s="8" t="s">
        <v>87</v>
      </c>
      <c r="D11" s="8" t="s">
        <v>88</v>
      </c>
      <c r="E11" s="8" t="s">
        <v>88</v>
      </c>
      <c r="F11" s="8" t="s">
        <v>279</v>
      </c>
      <c r="G11" s="8" t="s">
        <v>714</v>
      </c>
      <c r="H11" s="8" t="s">
        <v>715</v>
      </c>
      <c r="I11" s="8" t="s">
        <v>716</v>
      </c>
      <c r="J11" s="8" t="s">
        <v>452</v>
      </c>
      <c r="K11" s="8" t="s">
        <v>56</v>
      </c>
      <c r="L11" s="8" t="s">
        <v>712</v>
      </c>
      <c r="M11" s="8" t="s">
        <v>57</v>
      </c>
      <c r="N11" s="8" t="s">
        <v>93</v>
      </c>
      <c r="O11" s="8" t="s">
        <v>58</v>
      </c>
      <c r="P11" s="8" t="s">
        <v>58</v>
      </c>
      <c r="Q11" s="8" t="s">
        <v>57</v>
      </c>
      <c r="R11" s="8" t="s">
        <v>725</v>
      </c>
      <c r="T11" s="8" t="s">
        <v>731</v>
      </c>
      <c r="U11" s="9">
        <v>0.72</v>
      </c>
      <c r="X11" s="8" t="s">
        <v>742</v>
      </c>
      <c r="AA11" s="8" t="s">
        <v>395</v>
      </c>
      <c r="AJ11" s="7" t="s">
        <v>757</v>
      </c>
      <c r="AK11" s="7" t="s">
        <v>756</v>
      </c>
      <c r="AL11" s="7" t="s">
        <v>67</v>
      </c>
      <c r="AM11" s="7">
        <v>10.039999999999999</v>
      </c>
      <c r="AN11" s="7">
        <v>27</v>
      </c>
      <c r="AO11" s="7">
        <v>4.0199999999999996</v>
      </c>
      <c r="AP11" s="7">
        <v>10.5</v>
      </c>
      <c r="AQ11" s="7">
        <v>25</v>
      </c>
      <c r="AR11" s="7">
        <v>3.7</v>
      </c>
      <c r="AU11" s="11" t="s">
        <v>774</v>
      </c>
      <c r="AV11" s="8">
        <v>91</v>
      </c>
      <c r="AW11" s="8">
        <v>56</v>
      </c>
    </row>
    <row r="12" spans="1:49" x14ac:dyDescent="0.2">
      <c r="A12" s="8" t="s">
        <v>713</v>
      </c>
      <c r="B12" s="8">
        <v>2019</v>
      </c>
      <c r="C12" s="8" t="s">
        <v>118</v>
      </c>
      <c r="D12" s="8" t="s">
        <v>49</v>
      </c>
      <c r="E12" s="8" t="s">
        <v>75</v>
      </c>
      <c r="F12" s="8" t="s">
        <v>279</v>
      </c>
      <c r="G12" s="8" t="s">
        <v>714</v>
      </c>
      <c r="H12" s="8" t="s">
        <v>715</v>
      </c>
      <c r="I12" s="8" t="s">
        <v>716</v>
      </c>
      <c r="J12" s="8" t="s">
        <v>452</v>
      </c>
      <c r="K12" s="8" t="s">
        <v>56</v>
      </c>
      <c r="L12" s="8" t="s">
        <v>712</v>
      </c>
      <c r="M12" s="8" t="s">
        <v>57</v>
      </c>
      <c r="N12" s="8" t="s">
        <v>93</v>
      </c>
      <c r="O12" s="8" t="s">
        <v>58</v>
      </c>
      <c r="P12" s="8" t="s">
        <v>58</v>
      </c>
      <c r="Q12" s="8" t="s">
        <v>57</v>
      </c>
      <c r="R12" s="8" t="s">
        <v>724</v>
      </c>
      <c r="T12" s="8" t="s">
        <v>730</v>
      </c>
      <c r="U12" s="9">
        <v>0.88</v>
      </c>
      <c r="X12" s="8" t="s">
        <v>741</v>
      </c>
      <c r="AA12" s="8" t="s">
        <v>395</v>
      </c>
      <c r="AJ12" s="7" t="s">
        <v>751</v>
      </c>
      <c r="AK12" s="7" t="s">
        <v>756</v>
      </c>
      <c r="AL12" s="7" t="s">
        <v>67</v>
      </c>
      <c r="AM12" s="7">
        <v>39.9</v>
      </c>
      <c r="AN12" s="7">
        <v>27</v>
      </c>
      <c r="AO12" s="7">
        <v>8.4</v>
      </c>
      <c r="AP12" s="7">
        <v>16.079999999999998</v>
      </c>
      <c r="AQ12" s="7">
        <v>25</v>
      </c>
      <c r="AR12" s="7">
        <v>3.7</v>
      </c>
      <c r="AU12" s="11" t="s">
        <v>774</v>
      </c>
      <c r="AV12" s="8">
        <v>91</v>
      </c>
      <c r="AW12" s="8">
        <v>56</v>
      </c>
    </row>
    <row r="13" spans="1:49" x14ac:dyDescent="0.2">
      <c r="A13" s="8" t="s">
        <v>713</v>
      </c>
      <c r="B13" s="8">
        <v>2019</v>
      </c>
      <c r="C13" s="8" t="s">
        <v>87</v>
      </c>
      <c r="D13" s="8" t="s">
        <v>88</v>
      </c>
      <c r="E13" s="8" t="s">
        <v>88</v>
      </c>
      <c r="F13" s="8" t="s">
        <v>279</v>
      </c>
      <c r="G13" s="8" t="s">
        <v>714</v>
      </c>
      <c r="H13" s="8" t="s">
        <v>715</v>
      </c>
      <c r="I13" s="8" t="s">
        <v>716</v>
      </c>
      <c r="J13" s="8" t="s">
        <v>452</v>
      </c>
      <c r="K13" s="8" t="s">
        <v>56</v>
      </c>
      <c r="L13" s="8" t="s">
        <v>712</v>
      </c>
      <c r="M13" s="8" t="s">
        <v>57</v>
      </c>
      <c r="N13" s="8" t="s">
        <v>93</v>
      </c>
      <c r="O13" s="8" t="s">
        <v>58</v>
      </c>
      <c r="P13" s="8" t="s">
        <v>58</v>
      </c>
      <c r="Q13" s="8" t="s">
        <v>57</v>
      </c>
      <c r="R13" s="8" t="s">
        <v>725</v>
      </c>
      <c r="T13" s="8" t="s">
        <v>731</v>
      </c>
      <c r="U13" s="9">
        <v>0.72</v>
      </c>
      <c r="X13" s="8" t="s">
        <v>742</v>
      </c>
      <c r="AA13" s="8" t="s">
        <v>395</v>
      </c>
      <c r="AJ13" s="7" t="s">
        <v>751</v>
      </c>
      <c r="AK13" s="7" t="s">
        <v>756</v>
      </c>
      <c r="AL13" s="7" t="s">
        <v>67</v>
      </c>
      <c r="AM13" s="7">
        <v>32.04</v>
      </c>
      <c r="AN13" s="7">
        <v>27</v>
      </c>
      <c r="AO13" s="7">
        <v>7.02</v>
      </c>
      <c r="AP13" s="7">
        <v>32.9</v>
      </c>
      <c r="AQ13" s="7">
        <v>25</v>
      </c>
      <c r="AR13" s="7">
        <v>7.2</v>
      </c>
      <c r="AU13" s="11" t="s">
        <v>774</v>
      </c>
      <c r="AV13" s="8">
        <v>91</v>
      </c>
      <c r="AW13" s="8">
        <v>56</v>
      </c>
    </row>
    <row r="14" spans="1:49" x14ac:dyDescent="0.2">
      <c r="A14" s="8" t="s">
        <v>708</v>
      </c>
      <c r="B14" s="8">
        <v>2020</v>
      </c>
      <c r="C14" s="8" t="s">
        <v>312</v>
      </c>
      <c r="D14" s="8" t="s">
        <v>105</v>
      </c>
      <c r="E14" s="8" t="s">
        <v>106</v>
      </c>
      <c r="F14" s="8" t="s">
        <v>89</v>
      </c>
      <c r="G14" s="8" t="s">
        <v>709</v>
      </c>
      <c r="H14" s="8" t="s">
        <v>710</v>
      </c>
      <c r="I14" s="8" t="s">
        <v>711</v>
      </c>
      <c r="J14" s="8" t="s">
        <v>452</v>
      </c>
      <c r="K14" s="8" t="s">
        <v>56</v>
      </c>
      <c r="L14" s="8" t="s">
        <v>712</v>
      </c>
      <c r="M14" s="8" t="s">
        <v>712</v>
      </c>
      <c r="N14" s="8" t="s">
        <v>57</v>
      </c>
      <c r="O14" s="8" t="s">
        <v>57</v>
      </c>
      <c r="P14" s="8" t="s">
        <v>57</v>
      </c>
      <c r="Q14" s="8" t="s">
        <v>57</v>
      </c>
      <c r="X14" s="8" t="s">
        <v>739</v>
      </c>
      <c r="AA14" s="8" t="s">
        <v>395</v>
      </c>
      <c r="AJ14" s="11" t="s">
        <v>65</v>
      </c>
      <c r="AK14" s="11" t="s">
        <v>234</v>
      </c>
      <c r="AL14" s="11" t="s">
        <v>67</v>
      </c>
      <c r="AM14" s="13">
        <v>55.36</v>
      </c>
      <c r="AN14" s="13">
        <v>157</v>
      </c>
      <c r="AO14" s="13">
        <f>0.45*SQRT(AN14)</f>
        <v>5.6384838387637508</v>
      </c>
      <c r="AP14" s="15">
        <v>53.87</v>
      </c>
      <c r="AQ14" s="15">
        <v>157</v>
      </c>
      <c r="AR14" s="15">
        <f>0.49*SQRT(AQ14)</f>
        <v>6.1396824022094174</v>
      </c>
      <c r="AU14" s="11" t="s">
        <v>749</v>
      </c>
      <c r="AV14" s="8">
        <v>30</v>
      </c>
      <c r="AW14" s="8">
        <v>30</v>
      </c>
    </row>
    <row r="15" spans="1:49" x14ac:dyDescent="0.2">
      <c r="A15" s="8" t="s">
        <v>708</v>
      </c>
      <c r="B15" s="8">
        <v>2020</v>
      </c>
      <c r="C15" s="8" t="s">
        <v>87</v>
      </c>
      <c r="D15" s="8" t="s">
        <v>88</v>
      </c>
      <c r="E15" s="8" t="s">
        <v>88</v>
      </c>
      <c r="F15" s="8" t="s">
        <v>89</v>
      </c>
      <c r="G15" s="8" t="s">
        <v>709</v>
      </c>
      <c r="H15" s="8" t="s">
        <v>710</v>
      </c>
      <c r="I15" s="8" t="s">
        <v>711</v>
      </c>
      <c r="J15" s="8" t="s">
        <v>452</v>
      </c>
      <c r="K15" s="8" t="s">
        <v>56</v>
      </c>
      <c r="L15" s="8" t="s">
        <v>712</v>
      </c>
      <c r="M15" s="8" t="s">
        <v>712</v>
      </c>
      <c r="N15" s="8" t="s">
        <v>57</v>
      </c>
      <c r="O15" s="8" t="s">
        <v>57</v>
      </c>
      <c r="P15" s="8" t="s">
        <v>57</v>
      </c>
      <c r="Q15" s="8" t="s">
        <v>57</v>
      </c>
      <c r="X15" s="8" t="s">
        <v>740</v>
      </c>
      <c r="AA15" s="8" t="s">
        <v>395</v>
      </c>
      <c r="AJ15" s="11" t="s">
        <v>65</v>
      </c>
      <c r="AK15" s="11" t="s">
        <v>234</v>
      </c>
      <c r="AL15" s="11" t="s">
        <v>67</v>
      </c>
      <c r="AM15" s="13">
        <v>54.14</v>
      </c>
      <c r="AN15" s="13">
        <v>157</v>
      </c>
      <c r="AO15" s="13">
        <f>0.45*SQRT(AN15)</f>
        <v>5.6384838387637508</v>
      </c>
      <c r="AP15" s="15">
        <v>19.61</v>
      </c>
      <c r="AQ15" s="15">
        <v>157</v>
      </c>
      <c r="AR15" s="15">
        <f>0.49*SQRT(AQ15)</f>
        <v>6.1396824022094174</v>
      </c>
      <c r="AU15" s="11" t="s">
        <v>749</v>
      </c>
      <c r="AV15" s="8">
        <v>30</v>
      </c>
      <c r="AW15" s="8">
        <v>30</v>
      </c>
    </row>
    <row r="16" spans="1:49" x14ac:dyDescent="0.2">
      <c r="A16" s="8" t="s">
        <v>708</v>
      </c>
      <c r="B16" s="8">
        <v>2020</v>
      </c>
      <c r="C16" s="8" t="s">
        <v>312</v>
      </c>
      <c r="D16" s="8" t="s">
        <v>105</v>
      </c>
      <c r="E16" s="8" t="s">
        <v>106</v>
      </c>
      <c r="F16" s="8" t="s">
        <v>89</v>
      </c>
      <c r="G16" s="8" t="s">
        <v>709</v>
      </c>
      <c r="H16" s="8" t="s">
        <v>710</v>
      </c>
      <c r="I16" s="8" t="s">
        <v>711</v>
      </c>
      <c r="J16" s="8" t="s">
        <v>452</v>
      </c>
      <c r="K16" s="8" t="s">
        <v>56</v>
      </c>
      <c r="L16" s="8" t="s">
        <v>712</v>
      </c>
      <c r="M16" s="8" t="s">
        <v>712</v>
      </c>
      <c r="N16" s="8" t="s">
        <v>57</v>
      </c>
      <c r="O16" s="8" t="s">
        <v>57</v>
      </c>
      <c r="P16" s="8" t="s">
        <v>57</v>
      </c>
      <c r="Q16" s="8" t="s">
        <v>57</v>
      </c>
      <c r="X16" s="8" t="s">
        <v>739</v>
      </c>
      <c r="AA16" s="8" t="s">
        <v>395</v>
      </c>
      <c r="AJ16" s="1" t="s">
        <v>758</v>
      </c>
      <c r="AK16" s="1" t="s">
        <v>234</v>
      </c>
      <c r="AL16" s="1" t="s">
        <v>67</v>
      </c>
      <c r="AM16" s="1">
        <v>180.88</v>
      </c>
      <c r="AN16" s="1">
        <v>157</v>
      </c>
      <c r="AO16" s="7">
        <f>1.67*SQRT(AN16)</f>
        <v>20.925040023856585</v>
      </c>
      <c r="AP16" s="1">
        <v>182.36</v>
      </c>
      <c r="AQ16" s="1">
        <v>157</v>
      </c>
      <c r="AR16" s="7">
        <f>1.82*SQRT(AQ16)</f>
        <v>22.804534636777834</v>
      </c>
      <c r="AU16" s="11" t="s">
        <v>749</v>
      </c>
      <c r="AV16" s="8">
        <v>30</v>
      </c>
      <c r="AW16" s="8">
        <v>30</v>
      </c>
    </row>
    <row r="17" spans="1:49" x14ac:dyDescent="0.2">
      <c r="A17" s="8" t="s">
        <v>708</v>
      </c>
      <c r="B17" s="8">
        <v>2020</v>
      </c>
      <c r="C17" s="8" t="s">
        <v>87</v>
      </c>
      <c r="D17" s="8" t="s">
        <v>88</v>
      </c>
      <c r="E17" s="8" t="s">
        <v>88</v>
      </c>
      <c r="F17" s="8" t="s">
        <v>89</v>
      </c>
      <c r="G17" s="8" t="s">
        <v>709</v>
      </c>
      <c r="H17" s="8" t="s">
        <v>710</v>
      </c>
      <c r="I17" s="8" t="s">
        <v>711</v>
      </c>
      <c r="J17" s="8" t="s">
        <v>452</v>
      </c>
      <c r="K17" s="8" t="s">
        <v>56</v>
      </c>
      <c r="L17" s="8" t="s">
        <v>712</v>
      </c>
      <c r="M17" s="8" t="s">
        <v>712</v>
      </c>
      <c r="N17" s="8" t="s">
        <v>57</v>
      </c>
      <c r="O17" s="8" t="s">
        <v>57</v>
      </c>
      <c r="P17" s="8" t="s">
        <v>57</v>
      </c>
      <c r="Q17" s="8" t="s">
        <v>57</v>
      </c>
      <c r="X17" s="8" t="s">
        <v>740</v>
      </c>
      <c r="AA17" s="8" t="s">
        <v>395</v>
      </c>
      <c r="AJ17" s="1" t="s">
        <v>758</v>
      </c>
      <c r="AK17" s="1" t="s">
        <v>234</v>
      </c>
      <c r="AL17" s="1" t="s">
        <v>67</v>
      </c>
      <c r="AM17" s="1">
        <v>180.24</v>
      </c>
      <c r="AN17" s="1">
        <v>157</v>
      </c>
      <c r="AO17" s="7">
        <f>1.67*SQRT(AN17)</f>
        <v>20.925040023856585</v>
      </c>
      <c r="AP17" s="1">
        <v>279.73</v>
      </c>
      <c r="AQ17" s="1">
        <v>157</v>
      </c>
      <c r="AR17" s="7">
        <f>1.82*SQRT(AQ17)</f>
        <v>22.804534636777834</v>
      </c>
      <c r="AU17" s="11" t="s">
        <v>749</v>
      </c>
      <c r="AV17" s="8">
        <v>30</v>
      </c>
      <c r="AW17" s="8">
        <v>30</v>
      </c>
    </row>
    <row r="18" spans="1:49" x14ac:dyDescent="0.2">
      <c r="A18" s="8" t="s">
        <v>691</v>
      </c>
      <c r="B18" s="8">
        <v>2020</v>
      </c>
      <c r="C18" s="8" t="s">
        <v>692</v>
      </c>
      <c r="D18" s="8" t="s">
        <v>105</v>
      </c>
      <c r="E18" s="8" t="s">
        <v>106</v>
      </c>
      <c r="F18" s="8" t="s">
        <v>747</v>
      </c>
      <c r="G18" s="8" t="s">
        <v>693</v>
      </c>
      <c r="H18" s="8" t="s">
        <v>694</v>
      </c>
      <c r="I18" s="8" t="s">
        <v>695</v>
      </c>
      <c r="J18" s="8" t="s">
        <v>696</v>
      </c>
      <c r="K18" s="8" t="s">
        <v>56</v>
      </c>
      <c r="L18" s="8" t="s">
        <v>93</v>
      </c>
      <c r="M18" s="8" t="s">
        <v>58</v>
      </c>
      <c r="N18" s="8" t="s">
        <v>93</v>
      </c>
      <c r="O18" s="8" t="s">
        <v>58</v>
      </c>
      <c r="P18" s="8" t="s">
        <v>93</v>
      </c>
      <c r="Q18" s="8" t="s">
        <v>93</v>
      </c>
      <c r="S18" s="9">
        <v>0.76</v>
      </c>
      <c r="T18" s="8" t="s">
        <v>726</v>
      </c>
      <c r="U18" s="9">
        <v>0.92</v>
      </c>
      <c r="X18" s="8" t="s">
        <v>734</v>
      </c>
      <c r="AA18" s="8" t="s">
        <v>395</v>
      </c>
      <c r="AJ18" s="11" t="s">
        <v>65</v>
      </c>
      <c r="AK18" s="11" t="s">
        <v>66</v>
      </c>
      <c r="AL18" s="11" t="s">
        <v>67</v>
      </c>
      <c r="AM18" s="13">
        <v>6.7</v>
      </c>
      <c r="AN18" s="13">
        <v>25</v>
      </c>
      <c r="AO18" s="13">
        <v>2.1</v>
      </c>
      <c r="AP18" s="15">
        <v>2.9</v>
      </c>
      <c r="AQ18" s="15">
        <v>25</v>
      </c>
      <c r="AR18" s="15">
        <v>2.4</v>
      </c>
      <c r="AU18" s="11" t="s">
        <v>238</v>
      </c>
      <c r="AV18" s="8">
        <v>90</v>
      </c>
      <c r="AW18" s="8">
        <v>35</v>
      </c>
    </row>
    <row r="19" spans="1:49" x14ac:dyDescent="0.2">
      <c r="A19" s="8" t="s">
        <v>691</v>
      </c>
      <c r="B19" s="8">
        <v>2020</v>
      </c>
      <c r="C19" s="8" t="s">
        <v>697</v>
      </c>
      <c r="D19" s="8" t="s">
        <v>88</v>
      </c>
      <c r="E19" s="8" t="s">
        <v>88</v>
      </c>
      <c r="F19" s="8" t="s">
        <v>747</v>
      </c>
      <c r="G19" s="8" t="s">
        <v>693</v>
      </c>
      <c r="H19" s="8" t="s">
        <v>694</v>
      </c>
      <c r="I19" s="8" t="s">
        <v>695</v>
      </c>
      <c r="J19" s="8" t="s">
        <v>696</v>
      </c>
      <c r="K19" s="8" t="s">
        <v>56</v>
      </c>
      <c r="L19" s="8" t="s">
        <v>93</v>
      </c>
      <c r="M19" s="8" t="s">
        <v>58</v>
      </c>
      <c r="N19" s="8" t="s">
        <v>93</v>
      </c>
      <c r="O19" s="8" t="s">
        <v>58</v>
      </c>
      <c r="P19" s="8" t="s">
        <v>93</v>
      </c>
      <c r="Q19" s="8" t="s">
        <v>93</v>
      </c>
      <c r="S19" s="10">
        <v>0.76900000000000002</v>
      </c>
      <c r="T19" s="8" t="s">
        <v>727</v>
      </c>
      <c r="U19" s="10">
        <v>0.80800000000000005</v>
      </c>
      <c r="X19" s="8" t="s">
        <v>735</v>
      </c>
      <c r="AA19" s="8" t="s">
        <v>395</v>
      </c>
      <c r="AJ19" s="11" t="s">
        <v>65</v>
      </c>
      <c r="AK19" s="11" t="s">
        <v>66</v>
      </c>
      <c r="AL19" s="11" t="s">
        <v>67</v>
      </c>
      <c r="AM19" s="13">
        <v>6.8</v>
      </c>
      <c r="AN19" s="13">
        <v>26</v>
      </c>
      <c r="AO19" s="13">
        <v>2.2999999999999998</v>
      </c>
      <c r="AP19" s="15">
        <v>5.5</v>
      </c>
      <c r="AQ19" s="15">
        <v>26</v>
      </c>
      <c r="AR19" s="15">
        <v>3.4</v>
      </c>
      <c r="AU19" s="11" t="s">
        <v>238</v>
      </c>
      <c r="AV19" s="8">
        <v>90</v>
      </c>
      <c r="AW19" s="8">
        <v>35</v>
      </c>
    </row>
    <row r="20" spans="1:49" x14ac:dyDescent="0.2">
      <c r="A20" s="8" t="s">
        <v>691</v>
      </c>
      <c r="B20" s="8">
        <v>2020</v>
      </c>
      <c r="C20" s="8" t="s">
        <v>692</v>
      </c>
      <c r="D20" s="8" t="s">
        <v>105</v>
      </c>
      <c r="E20" s="8" t="s">
        <v>106</v>
      </c>
      <c r="F20" s="8" t="s">
        <v>747</v>
      </c>
      <c r="G20" s="8" t="s">
        <v>693</v>
      </c>
      <c r="H20" s="8" t="s">
        <v>694</v>
      </c>
      <c r="I20" s="8" t="s">
        <v>695</v>
      </c>
      <c r="J20" s="8" t="s">
        <v>696</v>
      </c>
      <c r="K20" s="8" t="s">
        <v>56</v>
      </c>
      <c r="L20" s="8" t="s">
        <v>93</v>
      </c>
      <c r="M20" s="8" t="s">
        <v>58</v>
      </c>
      <c r="N20" s="8" t="s">
        <v>93</v>
      </c>
      <c r="O20" s="8" t="s">
        <v>58</v>
      </c>
      <c r="P20" s="8" t="s">
        <v>93</v>
      </c>
      <c r="Q20" s="8" t="s">
        <v>93</v>
      </c>
      <c r="S20" s="9">
        <v>0.76</v>
      </c>
      <c r="T20" s="8" t="s">
        <v>726</v>
      </c>
      <c r="U20" s="9">
        <v>0.92</v>
      </c>
      <c r="X20" s="8" t="s">
        <v>734</v>
      </c>
      <c r="AA20" s="8" t="s">
        <v>395</v>
      </c>
      <c r="AJ20" s="11" t="s">
        <v>751</v>
      </c>
      <c r="AK20" s="3" t="s">
        <v>750</v>
      </c>
      <c r="AL20" s="3" t="s">
        <v>67</v>
      </c>
      <c r="AM20" s="1">
        <v>4.0999999999999996</v>
      </c>
      <c r="AN20" s="1">
        <v>25</v>
      </c>
      <c r="AO20" s="1">
        <v>3</v>
      </c>
      <c r="AP20" s="2">
        <v>0.9</v>
      </c>
      <c r="AQ20" s="2">
        <v>25</v>
      </c>
      <c r="AR20" s="2">
        <v>1</v>
      </c>
      <c r="AS20" s="1"/>
      <c r="AU20" s="11" t="s">
        <v>238</v>
      </c>
      <c r="AV20" s="8">
        <v>90</v>
      </c>
      <c r="AW20" s="8">
        <v>35</v>
      </c>
    </row>
    <row r="21" spans="1:49" x14ac:dyDescent="0.2">
      <c r="A21" s="8" t="s">
        <v>691</v>
      </c>
      <c r="B21" s="8">
        <v>2020</v>
      </c>
      <c r="C21" s="8" t="s">
        <v>697</v>
      </c>
      <c r="D21" s="8" t="s">
        <v>88</v>
      </c>
      <c r="E21" s="8" t="s">
        <v>88</v>
      </c>
      <c r="F21" s="8" t="s">
        <v>747</v>
      </c>
      <c r="G21" s="8" t="s">
        <v>693</v>
      </c>
      <c r="H21" s="8" t="s">
        <v>694</v>
      </c>
      <c r="I21" s="8" t="s">
        <v>695</v>
      </c>
      <c r="J21" s="8" t="s">
        <v>696</v>
      </c>
      <c r="K21" s="8" t="s">
        <v>56</v>
      </c>
      <c r="L21" s="8" t="s">
        <v>93</v>
      </c>
      <c r="M21" s="8" t="s">
        <v>58</v>
      </c>
      <c r="N21" s="8" t="s">
        <v>93</v>
      </c>
      <c r="O21" s="8" t="s">
        <v>58</v>
      </c>
      <c r="P21" s="8" t="s">
        <v>93</v>
      </c>
      <c r="Q21" s="8" t="s">
        <v>93</v>
      </c>
      <c r="S21" s="10">
        <v>0.76900000000000002</v>
      </c>
      <c r="T21" s="8" t="s">
        <v>727</v>
      </c>
      <c r="U21" s="10">
        <v>0.80800000000000005</v>
      </c>
      <c r="X21" s="8" t="s">
        <v>735</v>
      </c>
      <c r="AA21" s="8" t="s">
        <v>395</v>
      </c>
      <c r="AJ21" s="11" t="s">
        <v>751</v>
      </c>
      <c r="AK21" s="3" t="s">
        <v>750</v>
      </c>
      <c r="AL21" s="3" t="s">
        <v>67</v>
      </c>
      <c r="AM21" s="1">
        <v>4.5999999999999996</v>
      </c>
      <c r="AN21" s="1">
        <v>26</v>
      </c>
      <c r="AO21" s="1">
        <v>2.8</v>
      </c>
      <c r="AP21" s="2">
        <v>2.9</v>
      </c>
      <c r="AQ21" s="2">
        <v>26</v>
      </c>
      <c r="AR21" s="2">
        <v>2.8</v>
      </c>
      <c r="AS21" s="1"/>
      <c r="AU21" s="11" t="s">
        <v>238</v>
      </c>
      <c r="AV21" s="8">
        <v>90</v>
      </c>
      <c r="AW21" s="8">
        <v>35</v>
      </c>
    </row>
    <row r="22" spans="1:49" x14ac:dyDescent="0.2">
      <c r="A22" s="8" t="s">
        <v>717</v>
      </c>
      <c r="B22" s="8">
        <v>2019</v>
      </c>
      <c r="C22" s="8" t="s">
        <v>118</v>
      </c>
      <c r="D22" s="8" t="s">
        <v>49</v>
      </c>
      <c r="E22" s="8" t="s">
        <v>75</v>
      </c>
      <c r="F22" s="8" t="s">
        <v>175</v>
      </c>
      <c r="G22" s="8" t="s">
        <v>718</v>
      </c>
      <c r="H22" s="8" t="s">
        <v>719</v>
      </c>
      <c r="I22" s="8" t="s">
        <v>54</v>
      </c>
      <c r="J22" s="8" t="s">
        <v>121</v>
      </c>
      <c r="K22" s="8" t="s">
        <v>56</v>
      </c>
      <c r="L22" s="8" t="s">
        <v>93</v>
      </c>
      <c r="M22" s="8" t="s">
        <v>712</v>
      </c>
      <c r="N22" s="8" t="s">
        <v>58</v>
      </c>
      <c r="O22" s="8" t="s">
        <v>58</v>
      </c>
      <c r="P22" s="8" t="s">
        <v>58</v>
      </c>
      <c r="Q22" s="8" t="s">
        <v>58</v>
      </c>
      <c r="S22" s="10">
        <v>0.71430000000000005</v>
      </c>
      <c r="T22" s="8" t="s">
        <v>732</v>
      </c>
      <c r="U22" s="10">
        <v>0.55359999999999998</v>
      </c>
      <c r="X22" s="8" t="s">
        <v>743</v>
      </c>
      <c r="AA22" s="8" t="s">
        <v>395</v>
      </c>
      <c r="AJ22" s="1" t="s">
        <v>317</v>
      </c>
      <c r="AK22" s="1" t="s">
        <v>764</v>
      </c>
      <c r="AL22" s="1" t="s">
        <v>67</v>
      </c>
      <c r="AM22" s="1">
        <v>13.93</v>
      </c>
      <c r="AN22" s="1">
        <v>56</v>
      </c>
      <c r="AO22" s="1">
        <v>3.45</v>
      </c>
      <c r="AP22" s="1">
        <v>10.19</v>
      </c>
      <c r="AQ22" s="1">
        <v>47</v>
      </c>
      <c r="AR22" s="1">
        <v>2.78</v>
      </c>
      <c r="AU22" s="11" t="s">
        <v>773</v>
      </c>
      <c r="AV22" s="8">
        <v>210</v>
      </c>
      <c r="AW22" s="8">
        <v>150</v>
      </c>
    </row>
    <row r="23" spans="1:49" x14ac:dyDescent="0.2">
      <c r="A23" s="8" t="s">
        <v>717</v>
      </c>
      <c r="B23" s="8">
        <v>2019</v>
      </c>
      <c r="C23" s="8" t="s">
        <v>548</v>
      </c>
      <c r="D23" s="8" t="s">
        <v>88</v>
      </c>
      <c r="E23" s="8" t="s">
        <v>88</v>
      </c>
      <c r="F23" s="8" t="s">
        <v>175</v>
      </c>
      <c r="G23" s="8" t="s">
        <v>718</v>
      </c>
      <c r="H23" s="8" t="s">
        <v>719</v>
      </c>
      <c r="I23" s="8" t="s">
        <v>54</v>
      </c>
      <c r="J23" s="8" t="s">
        <v>121</v>
      </c>
      <c r="K23" s="8" t="s">
        <v>56</v>
      </c>
      <c r="L23" s="8" t="s">
        <v>93</v>
      </c>
      <c r="M23" s="8" t="s">
        <v>712</v>
      </c>
      <c r="N23" s="8" t="s">
        <v>58</v>
      </c>
      <c r="O23" s="8" t="s">
        <v>58</v>
      </c>
      <c r="P23" s="8" t="s">
        <v>58</v>
      </c>
      <c r="Q23" s="8" t="s">
        <v>58</v>
      </c>
      <c r="S23" s="10">
        <v>0.63390000000000002</v>
      </c>
      <c r="T23" s="8" t="s">
        <v>733</v>
      </c>
      <c r="U23" s="10">
        <v>0.69640000000000002</v>
      </c>
      <c r="X23" s="8" t="s">
        <v>744</v>
      </c>
      <c r="AA23" s="8" t="s">
        <v>395</v>
      </c>
      <c r="AJ23" s="1" t="s">
        <v>317</v>
      </c>
      <c r="AK23" s="1" t="s">
        <v>764</v>
      </c>
      <c r="AL23" s="1" t="s">
        <v>67</v>
      </c>
      <c r="AM23" s="1">
        <v>13.21</v>
      </c>
      <c r="AN23" s="1">
        <v>56</v>
      </c>
      <c r="AO23" s="1">
        <v>3.11</v>
      </c>
      <c r="AP23" s="1">
        <v>12.21</v>
      </c>
      <c r="AQ23" s="1">
        <v>35</v>
      </c>
      <c r="AR23" s="1">
        <v>3.56</v>
      </c>
      <c r="AU23" s="11" t="s">
        <v>773</v>
      </c>
      <c r="AV23" s="8">
        <v>210</v>
      </c>
      <c r="AW23" s="8">
        <v>150</v>
      </c>
    </row>
    <row r="24" spans="1:49" x14ac:dyDescent="0.2">
      <c r="A24" s="8" t="s">
        <v>717</v>
      </c>
      <c r="B24" s="8">
        <v>2019</v>
      </c>
      <c r="C24" s="8" t="s">
        <v>118</v>
      </c>
      <c r="D24" s="8" t="s">
        <v>49</v>
      </c>
      <c r="E24" s="8" t="s">
        <v>75</v>
      </c>
      <c r="F24" s="8" t="s">
        <v>175</v>
      </c>
      <c r="G24" s="8" t="s">
        <v>718</v>
      </c>
      <c r="H24" s="8" t="s">
        <v>719</v>
      </c>
      <c r="I24" s="8" t="s">
        <v>54</v>
      </c>
      <c r="J24" s="8" t="s">
        <v>121</v>
      </c>
      <c r="K24" s="8" t="s">
        <v>56</v>
      </c>
      <c r="L24" s="8" t="s">
        <v>93</v>
      </c>
      <c r="M24" s="8" t="s">
        <v>712</v>
      </c>
      <c r="N24" s="8" t="s">
        <v>58</v>
      </c>
      <c r="O24" s="8" t="s">
        <v>58</v>
      </c>
      <c r="P24" s="8" t="s">
        <v>58</v>
      </c>
      <c r="Q24" s="8" t="s">
        <v>58</v>
      </c>
      <c r="S24" s="10">
        <v>0.71430000000000005</v>
      </c>
      <c r="T24" s="8" t="s">
        <v>732</v>
      </c>
      <c r="U24" s="10">
        <v>0.55359999999999998</v>
      </c>
      <c r="X24" s="8" t="s">
        <v>743</v>
      </c>
      <c r="AA24" s="8" t="s">
        <v>395</v>
      </c>
      <c r="AJ24" s="1" t="s">
        <v>317</v>
      </c>
      <c r="AK24" s="1" t="s">
        <v>764</v>
      </c>
      <c r="AL24" s="1" t="s">
        <v>67</v>
      </c>
      <c r="AM24" s="1">
        <v>13.93</v>
      </c>
      <c r="AN24" s="1">
        <v>56</v>
      </c>
      <c r="AO24" s="1">
        <v>3.45</v>
      </c>
      <c r="AP24" s="1">
        <v>9.4</v>
      </c>
      <c r="AQ24" s="1">
        <v>54</v>
      </c>
      <c r="AR24" s="1">
        <v>3.39</v>
      </c>
      <c r="AU24" s="11" t="s">
        <v>772</v>
      </c>
      <c r="AV24" s="8">
        <v>150</v>
      </c>
      <c r="AW24" s="8">
        <v>150</v>
      </c>
    </row>
    <row r="25" spans="1:49" x14ac:dyDescent="0.2">
      <c r="A25" s="8" t="s">
        <v>717</v>
      </c>
      <c r="B25" s="8">
        <v>2019</v>
      </c>
      <c r="C25" s="8" t="s">
        <v>548</v>
      </c>
      <c r="D25" s="8" t="s">
        <v>88</v>
      </c>
      <c r="E25" s="8" t="s">
        <v>88</v>
      </c>
      <c r="F25" s="8" t="s">
        <v>175</v>
      </c>
      <c r="G25" s="8" t="s">
        <v>718</v>
      </c>
      <c r="H25" s="8" t="s">
        <v>719</v>
      </c>
      <c r="I25" s="8" t="s">
        <v>54</v>
      </c>
      <c r="J25" s="8" t="s">
        <v>121</v>
      </c>
      <c r="K25" s="8" t="s">
        <v>56</v>
      </c>
      <c r="L25" s="8" t="s">
        <v>93</v>
      </c>
      <c r="M25" s="8" t="s">
        <v>712</v>
      </c>
      <c r="N25" s="8" t="s">
        <v>58</v>
      </c>
      <c r="O25" s="8" t="s">
        <v>58</v>
      </c>
      <c r="P25" s="8" t="s">
        <v>58</v>
      </c>
      <c r="Q25" s="8" t="s">
        <v>58</v>
      </c>
      <c r="S25" s="10">
        <v>0.63390000000000002</v>
      </c>
      <c r="T25" s="8" t="s">
        <v>733</v>
      </c>
      <c r="U25" s="10">
        <v>0.69640000000000002</v>
      </c>
      <c r="X25" s="8" t="s">
        <v>744</v>
      </c>
      <c r="AA25" s="8" t="s">
        <v>395</v>
      </c>
      <c r="AJ25" s="1" t="s">
        <v>317</v>
      </c>
      <c r="AK25" s="1" t="s">
        <v>764</v>
      </c>
      <c r="AL25" s="1" t="s">
        <v>67</v>
      </c>
      <c r="AM25" s="1">
        <v>13.21</v>
      </c>
      <c r="AN25" s="1">
        <v>56</v>
      </c>
      <c r="AO25" s="1">
        <v>3.11</v>
      </c>
      <c r="AP25" s="1">
        <v>11.96</v>
      </c>
      <c r="AQ25" s="1">
        <v>45</v>
      </c>
      <c r="AR25" s="1">
        <v>3.4</v>
      </c>
      <c r="AU25" s="11" t="s">
        <v>772</v>
      </c>
      <c r="AV25" s="8">
        <v>150</v>
      </c>
      <c r="AW25" s="8">
        <v>150</v>
      </c>
    </row>
    <row r="26" spans="1:49" x14ac:dyDescent="0.2">
      <c r="A26" s="8" t="s">
        <v>704</v>
      </c>
      <c r="B26" s="8">
        <v>2019</v>
      </c>
      <c r="C26" s="8" t="s">
        <v>118</v>
      </c>
      <c r="D26" s="8" t="s">
        <v>191</v>
      </c>
      <c r="E26" s="8" t="s">
        <v>192</v>
      </c>
      <c r="F26" s="8" t="s">
        <v>258</v>
      </c>
      <c r="G26" s="8" t="s">
        <v>705</v>
      </c>
      <c r="H26" s="8" t="s">
        <v>706</v>
      </c>
      <c r="I26" s="8" t="s">
        <v>706</v>
      </c>
      <c r="J26" s="8" t="s">
        <v>707</v>
      </c>
      <c r="K26" s="8" t="s">
        <v>56</v>
      </c>
      <c r="L26" s="8" t="s">
        <v>93</v>
      </c>
      <c r="M26" s="8" t="s">
        <v>57</v>
      </c>
      <c r="N26" s="8" t="s">
        <v>93</v>
      </c>
      <c r="O26" s="8" t="s">
        <v>58</v>
      </c>
      <c r="P26" s="8" t="s">
        <v>58</v>
      </c>
      <c r="Q26" s="8" t="s">
        <v>57</v>
      </c>
      <c r="R26" s="8" t="s">
        <v>722</v>
      </c>
      <c r="S26" s="10">
        <v>0.76700000000000002</v>
      </c>
      <c r="T26" s="8" t="s">
        <v>728</v>
      </c>
      <c r="U26" s="10">
        <v>0.83330000000000004</v>
      </c>
      <c r="X26" s="8" t="s">
        <v>737</v>
      </c>
      <c r="AA26" s="8" t="s">
        <v>395</v>
      </c>
      <c r="AJ26" s="11" t="s">
        <v>65</v>
      </c>
      <c r="AK26" s="11" t="s">
        <v>66</v>
      </c>
      <c r="AL26" s="11" t="s">
        <v>67</v>
      </c>
      <c r="AM26" s="13">
        <v>31.43</v>
      </c>
      <c r="AN26" s="13">
        <v>30</v>
      </c>
      <c r="AO26" s="13">
        <v>18.18</v>
      </c>
      <c r="AP26" s="15">
        <v>27.87</v>
      </c>
      <c r="AQ26" s="15">
        <v>26</v>
      </c>
      <c r="AR26" s="15">
        <v>18.39</v>
      </c>
      <c r="AU26" s="11" t="s">
        <v>748</v>
      </c>
      <c r="AV26" s="8">
        <v>112</v>
      </c>
      <c r="AW26" s="8">
        <v>112</v>
      </c>
    </row>
    <row r="27" spans="1:49" x14ac:dyDescent="0.2">
      <c r="A27" s="8" t="s">
        <v>704</v>
      </c>
      <c r="B27" s="8">
        <v>2019</v>
      </c>
      <c r="C27" s="8" t="s">
        <v>87</v>
      </c>
      <c r="D27" s="8" t="s">
        <v>88</v>
      </c>
      <c r="E27" s="8" t="s">
        <v>88</v>
      </c>
      <c r="F27" s="8" t="s">
        <v>258</v>
      </c>
      <c r="G27" s="8" t="s">
        <v>705</v>
      </c>
      <c r="H27" s="8" t="s">
        <v>706</v>
      </c>
      <c r="I27" s="8" t="s">
        <v>706</v>
      </c>
      <c r="J27" s="8" t="s">
        <v>707</v>
      </c>
      <c r="K27" s="8" t="s">
        <v>56</v>
      </c>
      <c r="L27" s="8" t="s">
        <v>93</v>
      </c>
      <c r="M27" s="8" t="s">
        <v>57</v>
      </c>
      <c r="N27" s="8" t="s">
        <v>93</v>
      </c>
      <c r="O27" s="8" t="s">
        <v>58</v>
      </c>
      <c r="P27" s="8" t="s">
        <v>58</v>
      </c>
      <c r="Q27" s="8" t="s">
        <v>57</v>
      </c>
      <c r="R27" s="8" t="s">
        <v>723</v>
      </c>
      <c r="S27" s="10">
        <v>0.67700000000000005</v>
      </c>
      <c r="T27" s="8" t="s">
        <v>729</v>
      </c>
      <c r="U27" s="10">
        <v>0.74229999999999996</v>
      </c>
      <c r="X27" s="8" t="s">
        <v>738</v>
      </c>
      <c r="AA27" s="8" t="s">
        <v>395</v>
      </c>
      <c r="AJ27" s="11" t="s">
        <v>65</v>
      </c>
      <c r="AK27" s="11" t="s">
        <v>66</v>
      </c>
      <c r="AL27" s="11" t="s">
        <v>67</v>
      </c>
      <c r="AM27" s="13">
        <v>40.17</v>
      </c>
      <c r="AN27" s="13">
        <v>31</v>
      </c>
      <c r="AO27" s="13">
        <v>18.100000000000001</v>
      </c>
      <c r="AP27" s="15">
        <v>40.700000000000003</v>
      </c>
      <c r="AQ27" s="15">
        <v>28</v>
      </c>
      <c r="AR27" s="15">
        <v>17.66</v>
      </c>
      <c r="AU27" s="11" t="s">
        <v>748</v>
      </c>
      <c r="AV27" s="8">
        <v>112</v>
      </c>
      <c r="AW27" s="8">
        <v>112</v>
      </c>
    </row>
    <row r="28" spans="1:49" x14ac:dyDescent="0.2">
      <c r="A28" s="8" t="s">
        <v>704</v>
      </c>
      <c r="B28" s="8">
        <v>2019</v>
      </c>
      <c r="C28" s="8" t="s">
        <v>118</v>
      </c>
      <c r="D28" s="8" t="s">
        <v>191</v>
      </c>
      <c r="E28" s="8" t="s">
        <v>192</v>
      </c>
      <c r="F28" s="8" t="s">
        <v>258</v>
      </c>
      <c r="G28" s="8" t="s">
        <v>705</v>
      </c>
      <c r="H28" s="8" t="s">
        <v>706</v>
      </c>
      <c r="I28" s="8" t="s">
        <v>706</v>
      </c>
      <c r="J28" s="8" t="s">
        <v>707</v>
      </c>
      <c r="K28" s="8" t="s">
        <v>56</v>
      </c>
      <c r="L28" s="8" t="s">
        <v>93</v>
      </c>
      <c r="M28" s="8" t="s">
        <v>57</v>
      </c>
      <c r="N28" s="8" t="s">
        <v>93</v>
      </c>
      <c r="O28" s="8" t="s">
        <v>58</v>
      </c>
      <c r="P28" s="8" t="s">
        <v>58</v>
      </c>
      <c r="Q28" s="8" t="s">
        <v>57</v>
      </c>
      <c r="R28" s="8" t="s">
        <v>722</v>
      </c>
      <c r="S28" s="10">
        <v>0.76700000000000002</v>
      </c>
      <c r="T28" s="8" t="s">
        <v>728</v>
      </c>
      <c r="U28" s="10">
        <v>0.83330000000000004</v>
      </c>
      <c r="X28" s="8" t="s">
        <v>737</v>
      </c>
      <c r="AA28" s="8" t="s">
        <v>395</v>
      </c>
      <c r="AJ28" s="1" t="s">
        <v>760</v>
      </c>
      <c r="AK28" s="1" t="s">
        <v>759</v>
      </c>
      <c r="AL28" s="1" t="s">
        <v>67</v>
      </c>
      <c r="AM28" s="1">
        <v>41.75</v>
      </c>
      <c r="AN28" s="1">
        <v>30</v>
      </c>
      <c r="AO28" s="1">
        <v>10</v>
      </c>
      <c r="AP28" s="1">
        <v>45.41</v>
      </c>
      <c r="AQ28" s="1">
        <v>26</v>
      </c>
      <c r="AR28" s="1">
        <v>7.94</v>
      </c>
      <c r="AS28" s="1"/>
      <c r="AU28" s="11" t="s">
        <v>748</v>
      </c>
      <c r="AV28" s="8">
        <v>112</v>
      </c>
      <c r="AW28" s="8">
        <v>112</v>
      </c>
    </row>
    <row r="29" spans="1:49" x14ac:dyDescent="0.2">
      <c r="A29" s="8" t="s">
        <v>704</v>
      </c>
      <c r="B29" s="8">
        <v>2019</v>
      </c>
      <c r="C29" s="8" t="s">
        <v>87</v>
      </c>
      <c r="D29" s="8" t="s">
        <v>88</v>
      </c>
      <c r="E29" s="8" t="s">
        <v>88</v>
      </c>
      <c r="F29" s="8" t="s">
        <v>258</v>
      </c>
      <c r="G29" s="8" t="s">
        <v>705</v>
      </c>
      <c r="H29" s="8" t="s">
        <v>706</v>
      </c>
      <c r="I29" s="8" t="s">
        <v>706</v>
      </c>
      <c r="J29" s="8" t="s">
        <v>707</v>
      </c>
      <c r="K29" s="8" t="s">
        <v>56</v>
      </c>
      <c r="L29" s="8" t="s">
        <v>93</v>
      </c>
      <c r="M29" s="8" t="s">
        <v>57</v>
      </c>
      <c r="N29" s="8" t="s">
        <v>93</v>
      </c>
      <c r="O29" s="8" t="s">
        <v>58</v>
      </c>
      <c r="P29" s="8" t="s">
        <v>58</v>
      </c>
      <c r="Q29" s="8" t="s">
        <v>57</v>
      </c>
      <c r="R29" s="8" t="s">
        <v>723</v>
      </c>
      <c r="S29" s="10">
        <v>0.67700000000000005</v>
      </c>
      <c r="T29" s="8" t="s">
        <v>729</v>
      </c>
      <c r="U29" s="10">
        <v>0.74229999999999996</v>
      </c>
      <c r="X29" s="8" t="s">
        <v>738</v>
      </c>
      <c r="AA29" s="8" t="s">
        <v>395</v>
      </c>
      <c r="AJ29" s="1" t="s">
        <v>760</v>
      </c>
      <c r="AK29" s="1" t="s">
        <v>759</v>
      </c>
      <c r="AL29" s="1" t="s">
        <v>67</v>
      </c>
      <c r="AM29" s="1">
        <v>41.59</v>
      </c>
      <c r="AN29" s="1">
        <v>31</v>
      </c>
      <c r="AO29" s="1">
        <v>9.7799999999999994</v>
      </c>
      <c r="AP29" s="1">
        <v>37.74</v>
      </c>
      <c r="AQ29" s="1">
        <v>28</v>
      </c>
      <c r="AR29" s="1">
        <v>10.77</v>
      </c>
      <c r="AS29" s="1"/>
      <c r="AU29" s="11" t="s">
        <v>748</v>
      </c>
      <c r="AV29" s="8">
        <v>112</v>
      </c>
      <c r="AW29" s="8">
        <v>112</v>
      </c>
    </row>
    <row r="30" spans="1:49" x14ac:dyDescent="0.2">
      <c r="A30" s="8" t="s">
        <v>704</v>
      </c>
      <c r="B30" s="8">
        <v>2019</v>
      </c>
      <c r="C30" s="8" t="s">
        <v>118</v>
      </c>
      <c r="D30" s="8" t="s">
        <v>191</v>
      </c>
      <c r="E30" s="8" t="s">
        <v>192</v>
      </c>
      <c r="F30" s="8" t="s">
        <v>258</v>
      </c>
      <c r="G30" s="8" t="s">
        <v>705</v>
      </c>
      <c r="H30" s="8" t="s">
        <v>706</v>
      </c>
      <c r="I30" s="8" t="s">
        <v>706</v>
      </c>
      <c r="J30" s="8" t="s">
        <v>707</v>
      </c>
      <c r="K30" s="8" t="s">
        <v>56</v>
      </c>
      <c r="L30" s="8" t="s">
        <v>93</v>
      </c>
      <c r="M30" s="8" t="s">
        <v>57</v>
      </c>
      <c r="N30" s="8" t="s">
        <v>93</v>
      </c>
      <c r="O30" s="8" t="s">
        <v>58</v>
      </c>
      <c r="P30" s="8" t="s">
        <v>58</v>
      </c>
      <c r="Q30" s="8" t="s">
        <v>57</v>
      </c>
      <c r="R30" s="8" t="s">
        <v>722</v>
      </c>
      <c r="S30" s="10">
        <v>0.76700000000000002</v>
      </c>
      <c r="T30" s="8" t="s">
        <v>728</v>
      </c>
      <c r="U30" s="10">
        <v>0.83330000000000004</v>
      </c>
      <c r="X30" s="8" t="s">
        <v>737</v>
      </c>
      <c r="AA30" s="8" t="s">
        <v>395</v>
      </c>
      <c r="AJ30" s="7" t="s">
        <v>317</v>
      </c>
      <c r="AK30" s="7" t="s">
        <v>761</v>
      </c>
      <c r="AL30" s="7" t="s">
        <v>67</v>
      </c>
      <c r="AM30" s="7">
        <v>11.87</v>
      </c>
      <c r="AN30" s="7">
        <v>30</v>
      </c>
      <c r="AO30" s="7">
        <v>9.73</v>
      </c>
      <c r="AP30" s="7">
        <v>10.5</v>
      </c>
      <c r="AQ30" s="7">
        <v>26</v>
      </c>
      <c r="AR30" s="7">
        <v>8.6999999999999993</v>
      </c>
      <c r="AS30" s="1"/>
      <c r="AU30" s="11" t="s">
        <v>748</v>
      </c>
      <c r="AV30" s="8">
        <v>112</v>
      </c>
      <c r="AW30" s="8">
        <v>112</v>
      </c>
    </row>
    <row r="31" spans="1:49" x14ac:dyDescent="0.2">
      <c r="A31" s="8" t="s">
        <v>704</v>
      </c>
      <c r="B31" s="8">
        <v>2019</v>
      </c>
      <c r="C31" s="8" t="s">
        <v>87</v>
      </c>
      <c r="D31" s="8" t="s">
        <v>88</v>
      </c>
      <c r="E31" s="8" t="s">
        <v>88</v>
      </c>
      <c r="F31" s="8" t="s">
        <v>258</v>
      </c>
      <c r="G31" s="8" t="s">
        <v>705</v>
      </c>
      <c r="H31" s="8" t="s">
        <v>706</v>
      </c>
      <c r="I31" s="8" t="s">
        <v>706</v>
      </c>
      <c r="J31" s="8" t="s">
        <v>707</v>
      </c>
      <c r="K31" s="8" t="s">
        <v>56</v>
      </c>
      <c r="L31" s="8" t="s">
        <v>93</v>
      </c>
      <c r="M31" s="8" t="s">
        <v>57</v>
      </c>
      <c r="N31" s="8" t="s">
        <v>93</v>
      </c>
      <c r="O31" s="8" t="s">
        <v>58</v>
      </c>
      <c r="P31" s="8" t="s">
        <v>58</v>
      </c>
      <c r="Q31" s="8" t="s">
        <v>57</v>
      </c>
      <c r="R31" s="8" t="s">
        <v>723</v>
      </c>
      <c r="S31" s="10">
        <v>0.67700000000000005</v>
      </c>
      <c r="T31" s="8" t="s">
        <v>729</v>
      </c>
      <c r="U31" s="10">
        <v>0.74229999999999996</v>
      </c>
      <c r="X31" s="8" t="s">
        <v>738</v>
      </c>
      <c r="AA31" s="8" t="s">
        <v>395</v>
      </c>
      <c r="AJ31" s="7" t="s">
        <v>317</v>
      </c>
      <c r="AK31" s="7" t="s">
        <v>761</v>
      </c>
      <c r="AL31" s="7" t="s">
        <v>67</v>
      </c>
      <c r="AM31" s="7">
        <v>9.35</v>
      </c>
      <c r="AN31" s="7">
        <v>31</v>
      </c>
      <c r="AO31" s="7">
        <v>8.06</v>
      </c>
      <c r="AP31" s="7">
        <v>14.64</v>
      </c>
      <c r="AQ31" s="7">
        <v>28</v>
      </c>
      <c r="AR31" s="7">
        <v>10.06</v>
      </c>
      <c r="AS31" s="1"/>
      <c r="AU31" s="11" t="s">
        <v>748</v>
      </c>
      <c r="AV31" s="8">
        <v>112</v>
      </c>
      <c r="AW31" s="8">
        <v>112</v>
      </c>
    </row>
    <row r="32" spans="1:49" x14ac:dyDescent="0.2">
      <c r="A32" s="8" t="s">
        <v>704</v>
      </c>
      <c r="B32" s="8">
        <v>2019</v>
      </c>
      <c r="C32" s="8" t="s">
        <v>118</v>
      </c>
      <c r="D32" s="8" t="s">
        <v>191</v>
      </c>
      <c r="E32" s="8" t="s">
        <v>192</v>
      </c>
      <c r="F32" s="8" t="s">
        <v>258</v>
      </c>
      <c r="G32" s="8" t="s">
        <v>705</v>
      </c>
      <c r="H32" s="8" t="s">
        <v>706</v>
      </c>
      <c r="I32" s="8" t="s">
        <v>706</v>
      </c>
      <c r="J32" s="8" t="s">
        <v>707</v>
      </c>
      <c r="K32" s="8" t="s">
        <v>56</v>
      </c>
      <c r="L32" s="8" t="s">
        <v>93</v>
      </c>
      <c r="M32" s="8" t="s">
        <v>57</v>
      </c>
      <c r="N32" s="8" t="s">
        <v>93</v>
      </c>
      <c r="O32" s="8" t="s">
        <v>58</v>
      </c>
      <c r="P32" s="8" t="s">
        <v>58</v>
      </c>
      <c r="Q32" s="8" t="s">
        <v>57</v>
      </c>
      <c r="R32" s="8" t="s">
        <v>722</v>
      </c>
      <c r="S32" s="10">
        <v>0.76700000000000002</v>
      </c>
      <c r="T32" s="8" t="s">
        <v>728</v>
      </c>
      <c r="U32" s="10">
        <v>0.83330000000000004</v>
      </c>
      <c r="X32" s="8" t="s">
        <v>737</v>
      </c>
      <c r="AA32" s="8" t="s">
        <v>395</v>
      </c>
      <c r="AJ32" s="7" t="s">
        <v>317</v>
      </c>
      <c r="AK32" s="7" t="s">
        <v>762</v>
      </c>
      <c r="AL32" s="7" t="s">
        <v>67</v>
      </c>
      <c r="AM32" s="7">
        <v>11.62</v>
      </c>
      <c r="AN32" s="7">
        <v>30</v>
      </c>
      <c r="AO32" s="7">
        <v>8.34</v>
      </c>
      <c r="AP32" s="7">
        <v>9.68</v>
      </c>
      <c r="AQ32" s="7">
        <v>26</v>
      </c>
      <c r="AR32" s="7">
        <v>8.4499999999999993</v>
      </c>
      <c r="AS32" s="1"/>
      <c r="AU32" s="11" t="s">
        <v>748</v>
      </c>
      <c r="AV32" s="8">
        <v>112</v>
      </c>
      <c r="AW32" s="8">
        <v>112</v>
      </c>
    </row>
    <row r="33" spans="1:49" x14ac:dyDescent="0.2">
      <c r="A33" s="8" t="s">
        <v>704</v>
      </c>
      <c r="B33" s="8">
        <v>2019</v>
      </c>
      <c r="C33" s="8" t="s">
        <v>87</v>
      </c>
      <c r="D33" s="8" t="s">
        <v>88</v>
      </c>
      <c r="E33" s="8" t="s">
        <v>88</v>
      </c>
      <c r="F33" s="8" t="s">
        <v>258</v>
      </c>
      <c r="G33" s="8" t="s">
        <v>705</v>
      </c>
      <c r="H33" s="8" t="s">
        <v>706</v>
      </c>
      <c r="I33" s="8" t="s">
        <v>706</v>
      </c>
      <c r="J33" s="8" t="s">
        <v>707</v>
      </c>
      <c r="K33" s="8" t="s">
        <v>56</v>
      </c>
      <c r="L33" s="8" t="s">
        <v>93</v>
      </c>
      <c r="M33" s="8" t="s">
        <v>57</v>
      </c>
      <c r="N33" s="8" t="s">
        <v>93</v>
      </c>
      <c r="O33" s="8" t="s">
        <v>58</v>
      </c>
      <c r="P33" s="8" t="s">
        <v>58</v>
      </c>
      <c r="Q33" s="8" t="s">
        <v>57</v>
      </c>
      <c r="R33" s="8" t="s">
        <v>723</v>
      </c>
      <c r="S33" s="10">
        <v>0.67700000000000005</v>
      </c>
      <c r="T33" s="8" t="s">
        <v>729</v>
      </c>
      <c r="U33" s="10">
        <v>0.74229999999999996</v>
      </c>
      <c r="X33" s="8" t="s">
        <v>738</v>
      </c>
      <c r="AA33" s="8" t="s">
        <v>395</v>
      </c>
      <c r="AJ33" s="7" t="s">
        <v>317</v>
      </c>
      <c r="AK33" s="7" t="s">
        <v>762</v>
      </c>
      <c r="AL33" s="7" t="s">
        <v>67</v>
      </c>
      <c r="AM33" s="7">
        <v>15.23</v>
      </c>
      <c r="AN33" s="7">
        <v>31</v>
      </c>
      <c r="AO33" s="7">
        <v>7.7</v>
      </c>
      <c r="AP33" s="7">
        <v>20.64</v>
      </c>
      <c r="AQ33" s="7">
        <v>28</v>
      </c>
      <c r="AR33" s="7">
        <v>8.94</v>
      </c>
      <c r="AS33" s="1"/>
      <c r="AU33" s="11" t="s">
        <v>748</v>
      </c>
      <c r="AV33" s="8">
        <v>112</v>
      </c>
      <c r="AW33" s="8">
        <v>112</v>
      </c>
    </row>
    <row r="34" spans="1:49" x14ac:dyDescent="0.2">
      <c r="A34" s="8" t="s">
        <v>704</v>
      </c>
      <c r="B34" s="8">
        <v>2019</v>
      </c>
      <c r="C34" s="8" t="s">
        <v>118</v>
      </c>
      <c r="D34" s="8" t="s">
        <v>191</v>
      </c>
      <c r="E34" s="8" t="s">
        <v>192</v>
      </c>
      <c r="F34" s="8" t="s">
        <v>258</v>
      </c>
      <c r="G34" s="8" t="s">
        <v>705</v>
      </c>
      <c r="H34" s="8" t="s">
        <v>706</v>
      </c>
      <c r="I34" s="8" t="s">
        <v>706</v>
      </c>
      <c r="J34" s="8" t="s">
        <v>707</v>
      </c>
      <c r="K34" s="8" t="s">
        <v>56</v>
      </c>
      <c r="L34" s="8" t="s">
        <v>93</v>
      </c>
      <c r="M34" s="8" t="s">
        <v>57</v>
      </c>
      <c r="N34" s="8" t="s">
        <v>93</v>
      </c>
      <c r="O34" s="8" t="s">
        <v>58</v>
      </c>
      <c r="P34" s="8" t="s">
        <v>58</v>
      </c>
      <c r="Q34" s="8" t="s">
        <v>57</v>
      </c>
      <c r="R34" s="8" t="s">
        <v>722</v>
      </c>
      <c r="S34" s="10">
        <v>0.76700000000000002</v>
      </c>
      <c r="T34" s="8" t="s">
        <v>728</v>
      </c>
      <c r="U34" s="10">
        <v>0.83330000000000004</v>
      </c>
      <c r="X34" s="8" t="s">
        <v>737</v>
      </c>
      <c r="AA34" s="8" t="s">
        <v>395</v>
      </c>
      <c r="AJ34" s="7" t="s">
        <v>765</v>
      </c>
      <c r="AK34" s="7" t="s">
        <v>763</v>
      </c>
      <c r="AL34" s="7" t="s">
        <v>67</v>
      </c>
      <c r="AM34" s="7">
        <v>10.06</v>
      </c>
      <c r="AN34" s="7">
        <v>30</v>
      </c>
      <c r="AO34" s="7">
        <v>8.89</v>
      </c>
      <c r="AP34" s="7">
        <v>6.18</v>
      </c>
      <c r="AQ34" s="7">
        <v>26</v>
      </c>
      <c r="AR34" s="7">
        <v>7.26</v>
      </c>
      <c r="AS34" s="1"/>
      <c r="AU34" s="11" t="s">
        <v>748</v>
      </c>
      <c r="AV34" s="8">
        <v>112</v>
      </c>
      <c r="AW34" s="8">
        <v>112</v>
      </c>
    </row>
    <row r="35" spans="1:49" x14ac:dyDescent="0.2">
      <c r="A35" s="8" t="s">
        <v>704</v>
      </c>
      <c r="B35" s="8">
        <v>2019</v>
      </c>
      <c r="C35" s="8" t="s">
        <v>87</v>
      </c>
      <c r="D35" s="8" t="s">
        <v>88</v>
      </c>
      <c r="E35" s="8" t="s">
        <v>88</v>
      </c>
      <c r="F35" s="8" t="s">
        <v>258</v>
      </c>
      <c r="G35" s="8" t="s">
        <v>705</v>
      </c>
      <c r="H35" s="8" t="s">
        <v>706</v>
      </c>
      <c r="I35" s="8" t="s">
        <v>706</v>
      </c>
      <c r="J35" s="8" t="s">
        <v>707</v>
      </c>
      <c r="K35" s="8" t="s">
        <v>56</v>
      </c>
      <c r="L35" s="8" t="s">
        <v>93</v>
      </c>
      <c r="M35" s="8" t="s">
        <v>57</v>
      </c>
      <c r="N35" s="8" t="s">
        <v>93</v>
      </c>
      <c r="O35" s="8" t="s">
        <v>58</v>
      </c>
      <c r="P35" s="8" t="s">
        <v>58</v>
      </c>
      <c r="Q35" s="8" t="s">
        <v>57</v>
      </c>
      <c r="R35" s="8" t="s">
        <v>723</v>
      </c>
      <c r="S35" s="10">
        <v>0.67700000000000005</v>
      </c>
      <c r="T35" s="8" t="s">
        <v>729</v>
      </c>
      <c r="U35" s="10">
        <v>0.74229999999999996</v>
      </c>
      <c r="X35" s="8" t="s">
        <v>738</v>
      </c>
      <c r="AA35" s="8" t="s">
        <v>395</v>
      </c>
      <c r="AJ35" s="7" t="s">
        <v>765</v>
      </c>
      <c r="AK35" s="7" t="s">
        <v>763</v>
      </c>
      <c r="AL35" s="7" t="s">
        <v>67</v>
      </c>
      <c r="AM35" s="7">
        <v>12.23</v>
      </c>
      <c r="AN35" s="7">
        <v>31</v>
      </c>
      <c r="AO35" s="7">
        <v>8.0500000000000007</v>
      </c>
      <c r="AP35" s="7">
        <v>15.47</v>
      </c>
      <c r="AQ35" s="7">
        <v>28</v>
      </c>
      <c r="AR35" s="7">
        <v>9.2799999999999994</v>
      </c>
      <c r="AS35" s="1"/>
      <c r="AU35" s="11" t="s">
        <v>748</v>
      </c>
      <c r="AV35" s="8">
        <v>112</v>
      </c>
      <c r="AW35" s="8">
        <v>112</v>
      </c>
    </row>
    <row r="36" spans="1:49" x14ac:dyDescent="0.2">
      <c r="A36" s="8" t="s">
        <v>704</v>
      </c>
      <c r="B36" s="8">
        <v>2019</v>
      </c>
      <c r="C36" s="8" t="s">
        <v>118</v>
      </c>
      <c r="D36" s="8" t="s">
        <v>191</v>
      </c>
      <c r="E36" s="8" t="s">
        <v>192</v>
      </c>
      <c r="F36" s="8" t="s">
        <v>258</v>
      </c>
      <c r="G36" s="8" t="s">
        <v>705</v>
      </c>
      <c r="H36" s="8" t="s">
        <v>706</v>
      </c>
      <c r="I36" s="8" t="s">
        <v>706</v>
      </c>
      <c r="J36" s="8" t="s">
        <v>707</v>
      </c>
      <c r="K36" s="8" t="s">
        <v>56</v>
      </c>
      <c r="L36" s="8" t="s">
        <v>93</v>
      </c>
      <c r="M36" s="8" t="s">
        <v>57</v>
      </c>
      <c r="N36" s="8" t="s">
        <v>93</v>
      </c>
      <c r="O36" s="8" t="s">
        <v>58</v>
      </c>
      <c r="P36" s="8" t="s">
        <v>58</v>
      </c>
      <c r="Q36" s="8" t="s">
        <v>57</v>
      </c>
      <c r="R36" s="8" t="s">
        <v>722</v>
      </c>
      <c r="S36" s="10">
        <v>0.76700000000000002</v>
      </c>
      <c r="T36" s="8" t="s">
        <v>728</v>
      </c>
      <c r="U36" s="10">
        <v>0.83330000000000004</v>
      </c>
      <c r="X36" s="8" t="s">
        <v>737</v>
      </c>
      <c r="AA36" s="8" t="s">
        <v>395</v>
      </c>
      <c r="AJ36" s="7" t="s">
        <v>766</v>
      </c>
      <c r="AK36" s="7" t="s">
        <v>513</v>
      </c>
      <c r="AL36" s="7" t="s">
        <v>67</v>
      </c>
      <c r="AM36" s="7">
        <v>41.79</v>
      </c>
      <c r="AN36" s="7">
        <v>30</v>
      </c>
      <c r="AO36" s="7">
        <v>9.0239999999999991</v>
      </c>
      <c r="AP36" s="7">
        <v>44.87</v>
      </c>
      <c r="AQ36" s="7">
        <v>26</v>
      </c>
      <c r="AR36" s="7">
        <v>8.94</v>
      </c>
      <c r="AS36" s="1"/>
      <c r="AU36" s="11" t="s">
        <v>748</v>
      </c>
      <c r="AV36" s="8">
        <v>112</v>
      </c>
      <c r="AW36" s="8">
        <v>112</v>
      </c>
    </row>
    <row r="37" spans="1:49" x14ac:dyDescent="0.2">
      <c r="A37" s="8" t="s">
        <v>704</v>
      </c>
      <c r="B37" s="8">
        <v>2019</v>
      </c>
      <c r="C37" s="8" t="s">
        <v>87</v>
      </c>
      <c r="D37" s="8" t="s">
        <v>88</v>
      </c>
      <c r="E37" s="8" t="s">
        <v>88</v>
      </c>
      <c r="F37" s="8" t="s">
        <v>258</v>
      </c>
      <c r="G37" s="8" t="s">
        <v>705</v>
      </c>
      <c r="H37" s="8" t="s">
        <v>706</v>
      </c>
      <c r="I37" s="8" t="s">
        <v>706</v>
      </c>
      <c r="J37" s="8" t="s">
        <v>707</v>
      </c>
      <c r="K37" s="8" t="s">
        <v>56</v>
      </c>
      <c r="L37" s="8" t="s">
        <v>93</v>
      </c>
      <c r="M37" s="8" t="s">
        <v>57</v>
      </c>
      <c r="N37" s="8" t="s">
        <v>93</v>
      </c>
      <c r="O37" s="8" t="s">
        <v>58</v>
      </c>
      <c r="P37" s="8" t="s">
        <v>58</v>
      </c>
      <c r="Q37" s="8" t="s">
        <v>57</v>
      </c>
      <c r="R37" s="8" t="s">
        <v>723</v>
      </c>
      <c r="S37" s="10">
        <v>0.67700000000000005</v>
      </c>
      <c r="T37" s="8" t="s">
        <v>729</v>
      </c>
      <c r="U37" s="10">
        <v>0.74229999999999996</v>
      </c>
      <c r="X37" s="8" t="s">
        <v>738</v>
      </c>
      <c r="AA37" s="8" t="s">
        <v>395</v>
      </c>
      <c r="AJ37" s="7" t="s">
        <v>766</v>
      </c>
      <c r="AK37" s="7" t="s">
        <v>513</v>
      </c>
      <c r="AL37" s="7" t="s">
        <v>67</v>
      </c>
      <c r="AM37" s="7">
        <v>42.18</v>
      </c>
      <c r="AN37" s="7">
        <v>31</v>
      </c>
      <c r="AO37" s="7">
        <v>10.52</v>
      </c>
      <c r="AP37" s="7">
        <v>39.47</v>
      </c>
      <c r="AQ37" s="7">
        <v>28</v>
      </c>
      <c r="AR37" s="7">
        <v>9.39</v>
      </c>
      <c r="AS37" s="1"/>
      <c r="AU37" s="11" t="s">
        <v>748</v>
      </c>
      <c r="AV37" s="8">
        <v>112</v>
      </c>
      <c r="AW37" s="8">
        <v>112</v>
      </c>
    </row>
    <row r="38" spans="1:49" x14ac:dyDescent="0.2">
      <c r="A38" s="8" t="s">
        <v>704</v>
      </c>
      <c r="B38" s="8">
        <v>2019</v>
      </c>
      <c r="C38" s="8" t="s">
        <v>118</v>
      </c>
      <c r="D38" s="8" t="s">
        <v>191</v>
      </c>
      <c r="E38" s="8" t="s">
        <v>192</v>
      </c>
      <c r="F38" s="8" t="s">
        <v>258</v>
      </c>
      <c r="G38" s="8" t="s">
        <v>705</v>
      </c>
      <c r="H38" s="8" t="s">
        <v>706</v>
      </c>
      <c r="I38" s="8" t="s">
        <v>706</v>
      </c>
      <c r="J38" s="8" t="s">
        <v>707</v>
      </c>
      <c r="K38" s="8" t="s">
        <v>56</v>
      </c>
      <c r="L38" s="8" t="s">
        <v>93</v>
      </c>
      <c r="M38" s="8" t="s">
        <v>57</v>
      </c>
      <c r="N38" s="8" t="s">
        <v>93</v>
      </c>
      <c r="O38" s="8" t="s">
        <v>58</v>
      </c>
      <c r="P38" s="8" t="s">
        <v>58</v>
      </c>
      <c r="Q38" s="8" t="s">
        <v>57</v>
      </c>
      <c r="R38" s="8" t="s">
        <v>722</v>
      </c>
      <c r="S38" s="10">
        <v>0.76700000000000002</v>
      </c>
      <c r="T38" s="8" t="s">
        <v>728</v>
      </c>
      <c r="U38" s="10">
        <v>0.83330000000000004</v>
      </c>
      <c r="X38" s="8" t="s">
        <v>737</v>
      </c>
      <c r="AA38" s="8" t="s">
        <v>395</v>
      </c>
      <c r="AJ38" s="7" t="s">
        <v>168</v>
      </c>
      <c r="AK38" s="7" t="s">
        <v>767</v>
      </c>
      <c r="AL38" s="7" t="s">
        <v>67</v>
      </c>
      <c r="AM38" s="7">
        <v>31.18</v>
      </c>
      <c r="AN38" s="7">
        <v>22</v>
      </c>
      <c r="AO38" s="7">
        <v>6.14</v>
      </c>
      <c r="AP38" s="7">
        <v>31.79</v>
      </c>
      <c r="AQ38" s="7">
        <v>17</v>
      </c>
      <c r="AR38" s="7">
        <v>5.41</v>
      </c>
      <c r="AS38" s="1"/>
      <c r="AU38" s="11" t="s">
        <v>748</v>
      </c>
      <c r="AV38" s="8">
        <v>112</v>
      </c>
      <c r="AW38" s="8">
        <v>112</v>
      </c>
    </row>
    <row r="39" spans="1:49" x14ac:dyDescent="0.2">
      <c r="A39" s="8" t="s">
        <v>704</v>
      </c>
      <c r="B39" s="8">
        <v>2019</v>
      </c>
      <c r="C39" s="8" t="s">
        <v>87</v>
      </c>
      <c r="D39" s="8" t="s">
        <v>88</v>
      </c>
      <c r="E39" s="8" t="s">
        <v>88</v>
      </c>
      <c r="F39" s="8" t="s">
        <v>258</v>
      </c>
      <c r="G39" s="8" t="s">
        <v>705</v>
      </c>
      <c r="H39" s="8" t="s">
        <v>706</v>
      </c>
      <c r="I39" s="8" t="s">
        <v>706</v>
      </c>
      <c r="J39" s="8" t="s">
        <v>707</v>
      </c>
      <c r="K39" s="8" t="s">
        <v>56</v>
      </c>
      <c r="L39" s="8" t="s">
        <v>93</v>
      </c>
      <c r="M39" s="8" t="s">
        <v>57</v>
      </c>
      <c r="N39" s="8" t="s">
        <v>93</v>
      </c>
      <c r="O39" s="8" t="s">
        <v>58</v>
      </c>
      <c r="P39" s="8" t="s">
        <v>58</v>
      </c>
      <c r="Q39" s="8" t="s">
        <v>57</v>
      </c>
      <c r="R39" s="8" t="s">
        <v>723</v>
      </c>
      <c r="S39" s="10">
        <v>0.67700000000000005</v>
      </c>
      <c r="T39" s="8" t="s">
        <v>729</v>
      </c>
      <c r="U39" s="10">
        <v>0.74229999999999996</v>
      </c>
      <c r="X39" s="8" t="s">
        <v>738</v>
      </c>
      <c r="AA39" s="8" t="s">
        <v>395</v>
      </c>
      <c r="AJ39" s="7" t="s">
        <v>168</v>
      </c>
      <c r="AK39" s="7" t="s">
        <v>767</v>
      </c>
      <c r="AL39" s="7" t="s">
        <v>67</v>
      </c>
      <c r="AM39" s="7">
        <v>33.29</v>
      </c>
      <c r="AN39" s="7">
        <v>20</v>
      </c>
      <c r="AO39" s="7">
        <v>4.96</v>
      </c>
      <c r="AP39" s="7">
        <v>32.39</v>
      </c>
      <c r="AQ39" s="7">
        <v>17</v>
      </c>
      <c r="AR39" s="7">
        <v>4.33</v>
      </c>
      <c r="AS39" s="1"/>
      <c r="AU39" s="11" t="s">
        <v>748</v>
      </c>
      <c r="AV39" s="8">
        <v>112</v>
      </c>
      <c r="AW39" s="8">
        <v>112</v>
      </c>
    </row>
    <row r="40" spans="1:49" x14ac:dyDescent="0.2">
      <c r="A40" s="8" t="s">
        <v>704</v>
      </c>
      <c r="B40" s="8">
        <v>2019</v>
      </c>
      <c r="C40" s="8" t="s">
        <v>118</v>
      </c>
      <c r="D40" s="8" t="s">
        <v>191</v>
      </c>
      <c r="E40" s="8" t="s">
        <v>192</v>
      </c>
      <c r="F40" s="8" t="s">
        <v>258</v>
      </c>
      <c r="G40" s="8" t="s">
        <v>705</v>
      </c>
      <c r="H40" s="8" t="s">
        <v>706</v>
      </c>
      <c r="I40" s="8" t="s">
        <v>706</v>
      </c>
      <c r="J40" s="8" t="s">
        <v>707</v>
      </c>
      <c r="K40" s="8" t="s">
        <v>56</v>
      </c>
      <c r="L40" s="8" t="s">
        <v>93</v>
      </c>
      <c r="M40" s="8" t="s">
        <v>57</v>
      </c>
      <c r="N40" s="8" t="s">
        <v>93</v>
      </c>
      <c r="O40" s="8" t="s">
        <v>58</v>
      </c>
      <c r="P40" s="8" t="s">
        <v>58</v>
      </c>
      <c r="Q40" s="8" t="s">
        <v>57</v>
      </c>
      <c r="R40" s="8" t="s">
        <v>722</v>
      </c>
      <c r="S40" s="10">
        <v>0.76700000000000002</v>
      </c>
      <c r="T40" s="8" t="s">
        <v>728</v>
      </c>
      <c r="U40" s="10">
        <v>0.83330000000000004</v>
      </c>
      <c r="X40" s="8" t="s">
        <v>737</v>
      </c>
      <c r="AA40" s="8" t="s">
        <v>395</v>
      </c>
      <c r="AJ40" s="7" t="s">
        <v>753</v>
      </c>
      <c r="AK40" s="7" t="s">
        <v>768</v>
      </c>
      <c r="AL40" s="7" t="s">
        <v>67</v>
      </c>
      <c r="AM40" s="7">
        <v>31.18</v>
      </c>
      <c r="AN40" s="7">
        <v>30</v>
      </c>
      <c r="AO40" s="7">
        <v>23.79</v>
      </c>
      <c r="AP40" s="7">
        <v>26.5</v>
      </c>
      <c r="AQ40" s="7">
        <v>26</v>
      </c>
      <c r="AR40" s="7">
        <v>21.99</v>
      </c>
      <c r="AS40" s="1"/>
      <c r="AU40" s="11" t="s">
        <v>748</v>
      </c>
      <c r="AV40" s="8">
        <v>112</v>
      </c>
      <c r="AW40" s="8">
        <v>112</v>
      </c>
    </row>
    <row r="41" spans="1:49" x14ac:dyDescent="0.2">
      <c r="A41" s="8" t="s">
        <v>704</v>
      </c>
      <c r="B41" s="8">
        <v>2019</v>
      </c>
      <c r="C41" s="8" t="s">
        <v>87</v>
      </c>
      <c r="D41" s="8" t="s">
        <v>88</v>
      </c>
      <c r="E41" s="8" t="s">
        <v>88</v>
      </c>
      <c r="F41" s="8" t="s">
        <v>258</v>
      </c>
      <c r="G41" s="8" t="s">
        <v>705</v>
      </c>
      <c r="H41" s="8" t="s">
        <v>706</v>
      </c>
      <c r="I41" s="8" t="s">
        <v>706</v>
      </c>
      <c r="J41" s="8" t="s">
        <v>707</v>
      </c>
      <c r="K41" s="8" t="s">
        <v>56</v>
      </c>
      <c r="L41" s="8" t="s">
        <v>93</v>
      </c>
      <c r="M41" s="8" t="s">
        <v>57</v>
      </c>
      <c r="N41" s="8" t="s">
        <v>93</v>
      </c>
      <c r="O41" s="8" t="s">
        <v>58</v>
      </c>
      <c r="P41" s="8" t="s">
        <v>58</v>
      </c>
      <c r="Q41" s="8" t="s">
        <v>57</v>
      </c>
      <c r="R41" s="8" t="s">
        <v>723</v>
      </c>
      <c r="S41" s="10">
        <v>0.67700000000000005</v>
      </c>
      <c r="T41" s="8" t="s">
        <v>729</v>
      </c>
      <c r="U41" s="10">
        <v>0.74229999999999996</v>
      </c>
      <c r="X41" s="8" t="s">
        <v>738</v>
      </c>
      <c r="AA41" s="8" t="s">
        <v>395</v>
      </c>
      <c r="AJ41" s="7" t="s">
        <v>753</v>
      </c>
      <c r="AK41" s="7" t="s">
        <v>768</v>
      </c>
      <c r="AL41" s="7" t="s">
        <v>67</v>
      </c>
      <c r="AM41" s="7">
        <v>19.41</v>
      </c>
      <c r="AN41" s="7">
        <v>31</v>
      </c>
      <c r="AO41" s="7">
        <v>16.09</v>
      </c>
      <c r="AP41" s="7">
        <v>30.7</v>
      </c>
      <c r="AQ41" s="7">
        <v>28</v>
      </c>
      <c r="AR41" s="7">
        <v>23.78</v>
      </c>
      <c r="AS41" s="1"/>
      <c r="AU41" s="11" t="s">
        <v>748</v>
      </c>
      <c r="AV41" s="8">
        <v>112</v>
      </c>
      <c r="AW41" s="8">
        <v>112</v>
      </c>
    </row>
    <row r="42" spans="1:49" x14ac:dyDescent="0.2">
      <c r="A42" s="8" t="s">
        <v>720</v>
      </c>
      <c r="B42" s="8">
        <v>2020</v>
      </c>
      <c r="C42" s="8" t="s">
        <v>118</v>
      </c>
      <c r="D42" s="8" t="s">
        <v>49</v>
      </c>
      <c r="E42" s="8" t="s">
        <v>75</v>
      </c>
      <c r="F42" s="8" t="s">
        <v>279</v>
      </c>
      <c r="G42" s="8" t="s">
        <v>721</v>
      </c>
      <c r="K42" s="8" t="s">
        <v>56</v>
      </c>
      <c r="L42" s="8" t="s">
        <v>93</v>
      </c>
      <c r="M42" s="8" t="s">
        <v>712</v>
      </c>
      <c r="N42" s="8" t="s">
        <v>93</v>
      </c>
      <c r="O42" s="8" t="s">
        <v>93</v>
      </c>
      <c r="P42" s="8" t="s">
        <v>93</v>
      </c>
      <c r="Q42" s="8" t="s">
        <v>93</v>
      </c>
      <c r="X42" s="8" t="s">
        <v>745</v>
      </c>
      <c r="AA42" s="8" t="s">
        <v>395</v>
      </c>
      <c r="AJ42" s="1" t="s">
        <v>765</v>
      </c>
      <c r="AK42" s="1" t="s">
        <v>769</v>
      </c>
      <c r="AL42" s="1" t="s">
        <v>67</v>
      </c>
      <c r="AM42" s="1">
        <v>74.11</v>
      </c>
      <c r="AN42" s="1">
        <v>35</v>
      </c>
      <c r="AO42" s="1">
        <v>4.7300000000000004</v>
      </c>
      <c r="AP42" s="1">
        <v>70.510000000000005</v>
      </c>
      <c r="AQ42" s="1"/>
      <c r="AR42" s="1">
        <v>3.78</v>
      </c>
      <c r="AU42" s="11" t="s">
        <v>770</v>
      </c>
      <c r="AV42" s="8">
        <v>58</v>
      </c>
      <c r="AW42" s="8">
        <v>28</v>
      </c>
    </row>
    <row r="43" spans="1:49" x14ac:dyDescent="0.2">
      <c r="A43" s="8" t="s">
        <v>720</v>
      </c>
      <c r="B43" s="8">
        <v>2020</v>
      </c>
      <c r="C43" s="8" t="s">
        <v>548</v>
      </c>
      <c r="D43" s="8" t="s">
        <v>88</v>
      </c>
      <c r="E43" s="8" t="s">
        <v>88</v>
      </c>
      <c r="F43" s="8" t="s">
        <v>279</v>
      </c>
      <c r="G43" s="8" t="s">
        <v>721</v>
      </c>
      <c r="K43" s="8" t="s">
        <v>56</v>
      </c>
      <c r="L43" s="8" t="s">
        <v>93</v>
      </c>
      <c r="M43" s="8" t="s">
        <v>712</v>
      </c>
      <c r="N43" s="8" t="s">
        <v>93</v>
      </c>
      <c r="O43" s="8" t="s">
        <v>93</v>
      </c>
      <c r="P43" s="8" t="s">
        <v>93</v>
      </c>
      <c r="Q43" s="8" t="s">
        <v>93</v>
      </c>
      <c r="X43" s="8" t="s">
        <v>746</v>
      </c>
      <c r="AA43" s="8" t="s">
        <v>395</v>
      </c>
      <c r="AJ43" s="1" t="s">
        <v>765</v>
      </c>
      <c r="AK43" s="1" t="s">
        <v>769</v>
      </c>
      <c r="AL43" s="1" t="s">
        <v>67</v>
      </c>
      <c r="AM43" s="1">
        <v>75.63</v>
      </c>
      <c r="AN43" s="1">
        <v>35</v>
      </c>
      <c r="AO43" s="1">
        <v>3.08</v>
      </c>
      <c r="AP43" s="1">
        <v>76.45</v>
      </c>
      <c r="AQ43" s="1"/>
      <c r="AR43" s="1">
        <v>3.45</v>
      </c>
      <c r="AU43" s="11" t="s">
        <v>770</v>
      </c>
      <c r="AV43" s="8">
        <v>58</v>
      </c>
      <c r="AW43" s="8">
        <v>28</v>
      </c>
    </row>
    <row r="44" spans="1:49" x14ac:dyDescent="0.2">
      <c r="A44" s="8" t="s">
        <v>720</v>
      </c>
      <c r="B44" s="8">
        <v>2020</v>
      </c>
      <c r="C44" s="8" t="s">
        <v>118</v>
      </c>
      <c r="D44" s="8" t="s">
        <v>49</v>
      </c>
      <c r="E44" s="8" t="s">
        <v>75</v>
      </c>
      <c r="F44" s="8" t="s">
        <v>279</v>
      </c>
      <c r="G44" s="8" t="s">
        <v>721</v>
      </c>
      <c r="K44" s="8" t="s">
        <v>56</v>
      </c>
      <c r="L44" s="8" t="s">
        <v>93</v>
      </c>
      <c r="M44" s="8" t="s">
        <v>712</v>
      </c>
      <c r="N44" s="8" t="s">
        <v>93</v>
      </c>
      <c r="O44" s="8" t="s">
        <v>93</v>
      </c>
      <c r="P44" s="8" t="s">
        <v>93</v>
      </c>
      <c r="Q44" s="8" t="s">
        <v>93</v>
      </c>
      <c r="X44" s="8" t="s">
        <v>745</v>
      </c>
      <c r="AA44" s="8" t="s">
        <v>395</v>
      </c>
      <c r="AJ44" s="1" t="s">
        <v>765</v>
      </c>
      <c r="AK44" s="1" t="s">
        <v>769</v>
      </c>
      <c r="AL44" s="1" t="s">
        <v>67</v>
      </c>
      <c r="AM44" s="1">
        <v>74.11</v>
      </c>
      <c r="AN44" s="1">
        <v>35</v>
      </c>
      <c r="AO44" s="1">
        <v>4.7300000000000004</v>
      </c>
      <c r="AP44" s="1">
        <v>70.31</v>
      </c>
      <c r="AQ44" s="1"/>
      <c r="AR44" s="1">
        <v>3.78</v>
      </c>
      <c r="AU44" s="11" t="s">
        <v>771</v>
      </c>
      <c r="AV44" s="8">
        <v>118</v>
      </c>
      <c r="AW44" s="8">
        <v>28</v>
      </c>
    </row>
    <row r="45" spans="1:49" x14ac:dyDescent="0.2">
      <c r="A45" s="8" t="s">
        <v>720</v>
      </c>
      <c r="B45" s="8">
        <v>2020</v>
      </c>
      <c r="C45" s="8" t="s">
        <v>548</v>
      </c>
      <c r="D45" s="8" t="s">
        <v>88</v>
      </c>
      <c r="E45" s="8" t="s">
        <v>88</v>
      </c>
      <c r="F45" s="8" t="s">
        <v>279</v>
      </c>
      <c r="G45" s="8" t="s">
        <v>721</v>
      </c>
      <c r="K45" s="8" t="s">
        <v>56</v>
      </c>
      <c r="L45" s="8" t="s">
        <v>93</v>
      </c>
      <c r="M45" s="8" t="s">
        <v>712</v>
      </c>
      <c r="N45" s="8" t="s">
        <v>93</v>
      </c>
      <c r="O45" s="8" t="s">
        <v>93</v>
      </c>
      <c r="P45" s="8" t="s">
        <v>93</v>
      </c>
      <c r="Q45" s="8" t="s">
        <v>93</v>
      </c>
      <c r="X45" s="8" t="s">
        <v>746</v>
      </c>
      <c r="AA45" s="8" t="s">
        <v>395</v>
      </c>
      <c r="AJ45" s="1" t="s">
        <v>765</v>
      </c>
      <c r="AK45" s="1" t="s">
        <v>769</v>
      </c>
      <c r="AL45" s="1" t="s">
        <v>67</v>
      </c>
      <c r="AM45" s="1">
        <v>75.63</v>
      </c>
      <c r="AN45" s="1">
        <v>35</v>
      </c>
      <c r="AO45" s="1">
        <v>3.08</v>
      </c>
      <c r="AP45" s="1">
        <v>76.22</v>
      </c>
      <c r="AQ45" s="1"/>
      <c r="AR45" s="1">
        <v>5.08</v>
      </c>
      <c r="AU45" s="11" t="s">
        <v>771</v>
      </c>
      <c r="AV45" s="8">
        <v>118</v>
      </c>
      <c r="AW45" s="8">
        <v>28</v>
      </c>
    </row>
    <row r="46" spans="1:49" x14ac:dyDescent="0.2">
      <c r="S46" s="10"/>
      <c r="U46" s="10"/>
      <c r="AJ46" s="1"/>
      <c r="AK46" s="1"/>
      <c r="AL46" s="1"/>
      <c r="AM46" s="1"/>
      <c r="AN46" s="1"/>
      <c r="AO46" s="1"/>
      <c r="AP46" s="1"/>
      <c r="AQ46" s="1"/>
      <c r="AR46" s="1"/>
    </row>
    <row r="47" spans="1:49" x14ac:dyDescent="0.2">
      <c r="S47" s="10"/>
      <c r="U47" s="10"/>
      <c r="AJ47" s="1"/>
      <c r="AK47" s="1"/>
      <c r="AL47" s="1"/>
      <c r="AM47" s="1"/>
      <c r="AN47" s="1"/>
      <c r="AO47" s="1"/>
      <c r="AP47" s="1"/>
      <c r="AQ47" s="1"/>
      <c r="AR47" s="1"/>
    </row>
    <row r="48" spans="1:49" x14ac:dyDescent="0.2">
      <c r="S48" s="10"/>
      <c r="U48" s="10"/>
      <c r="AJ48" s="1"/>
      <c r="AK48" s="1"/>
      <c r="AL48" s="1"/>
      <c r="AM48" s="1"/>
      <c r="AN48" s="1"/>
      <c r="AO48" s="1"/>
      <c r="AP48" s="1"/>
      <c r="AQ48" s="1"/>
      <c r="AR48" s="1"/>
    </row>
    <row r="49" spans="19:44" x14ac:dyDescent="0.2">
      <c r="S49" s="10"/>
      <c r="U49" s="10"/>
      <c r="AJ49" s="1"/>
      <c r="AK49" s="1"/>
      <c r="AL49" s="1"/>
      <c r="AM49" s="1"/>
      <c r="AN49" s="1"/>
      <c r="AO49" s="1"/>
      <c r="AP49" s="1"/>
      <c r="AQ49" s="1"/>
      <c r="AR49" s="1"/>
    </row>
    <row r="50" spans="19:44" x14ac:dyDescent="0.2">
      <c r="S50" s="10"/>
      <c r="U50" s="10"/>
      <c r="AJ50" s="1"/>
      <c r="AK50" s="1"/>
      <c r="AL50" s="1"/>
      <c r="AM50" s="1"/>
      <c r="AN50" s="1"/>
      <c r="AO50" s="1"/>
      <c r="AP50" s="1"/>
      <c r="AQ50" s="1"/>
      <c r="AR50" s="1"/>
    </row>
    <row r="51" spans="19:44" x14ac:dyDescent="0.2">
      <c r="S51" s="10"/>
      <c r="U51" s="10"/>
      <c r="AJ51" s="1"/>
      <c r="AK51" s="1"/>
      <c r="AL51" s="1"/>
      <c r="AM51" s="1"/>
      <c r="AN51" s="1"/>
      <c r="AO51" s="1"/>
      <c r="AP51" s="1"/>
      <c r="AQ51" s="1"/>
      <c r="AR51" s="1"/>
    </row>
  </sheetData>
  <autoFilter ref="A1:AW45" xr:uid="{A32F604D-13A0-934F-9364-9F35E6508370}">
    <sortState xmlns:xlrd2="http://schemas.microsoft.com/office/spreadsheetml/2017/richdata2" ref="A2:AW45">
      <sortCondition ref="A1:A45"/>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1C32-B846-BA40-AC29-728AE41F5431}">
  <dimension ref="A3:G34"/>
  <sheetViews>
    <sheetView zoomScale="115" workbookViewId="0">
      <selection activeCell="A18" sqref="A18"/>
    </sheetView>
  </sheetViews>
  <sheetFormatPr baseColWidth="10" defaultRowHeight="15" x14ac:dyDescent="0.2"/>
  <cols>
    <col min="1" max="1" width="33.83203125" bestFit="1" customWidth="1"/>
    <col min="2" max="2" width="28.83203125" bestFit="1" customWidth="1"/>
    <col min="3" max="3" width="13.83203125" bestFit="1" customWidth="1"/>
    <col min="4" max="4" width="15.33203125" bestFit="1" customWidth="1"/>
    <col min="5" max="5" width="27.33203125" bestFit="1" customWidth="1"/>
    <col min="6" max="6" width="6.33203125" bestFit="1" customWidth="1"/>
    <col min="7" max="7" width="10.1640625" bestFit="1" customWidth="1"/>
    <col min="8" max="8" width="26.6640625" bestFit="1" customWidth="1"/>
    <col min="9" max="9" width="11.33203125" bestFit="1" customWidth="1"/>
    <col min="10" max="10" width="16.33203125" bestFit="1" customWidth="1"/>
    <col min="11" max="11" width="15.5" bestFit="1" customWidth="1"/>
    <col min="12" max="12" width="14.33203125" bestFit="1" customWidth="1"/>
    <col min="13" max="13" width="14.6640625" bestFit="1" customWidth="1"/>
    <col min="14" max="14" width="45.6640625" bestFit="1" customWidth="1"/>
    <col min="15" max="15" width="16.5" bestFit="1" customWidth="1"/>
    <col min="16" max="16" width="21.5" bestFit="1" customWidth="1"/>
    <col min="17" max="17" width="36.1640625" bestFit="1" customWidth="1"/>
    <col min="18" max="18" width="16.5" bestFit="1" customWidth="1"/>
    <col min="19" max="19" width="11.33203125" bestFit="1" customWidth="1"/>
    <col min="20" max="20" width="15.83203125" bestFit="1" customWidth="1"/>
    <col min="21" max="21" width="28.1640625" bestFit="1" customWidth="1"/>
    <col min="22" max="22" width="18.1640625" bestFit="1" customWidth="1"/>
    <col min="23" max="23" width="19.83203125" bestFit="1" customWidth="1"/>
    <col min="24" max="24" width="15.33203125" bestFit="1" customWidth="1"/>
    <col min="25" max="25" width="47.6640625" bestFit="1" customWidth="1"/>
    <col min="26" max="26" width="29" bestFit="1" customWidth="1"/>
    <col min="27" max="27" width="9" bestFit="1" customWidth="1"/>
    <col min="28" max="28" width="18.1640625" bestFit="1" customWidth="1"/>
    <col min="29" max="29" width="23.1640625" bestFit="1" customWidth="1"/>
    <col min="30" max="30" width="34.6640625" bestFit="1" customWidth="1"/>
    <col min="31" max="31" width="31.1640625" bestFit="1" customWidth="1"/>
    <col min="32" max="32" width="14" bestFit="1" customWidth="1"/>
    <col min="33" max="33" width="21.6640625" bestFit="1" customWidth="1"/>
    <col min="34" max="34" width="20.83203125" bestFit="1" customWidth="1"/>
    <col min="35" max="36" width="6.6640625" bestFit="1" customWidth="1"/>
    <col min="37" max="37" width="7" bestFit="1" customWidth="1"/>
    <col min="38" max="38" width="10" bestFit="1" customWidth="1"/>
  </cols>
  <sheetData>
    <row r="3" spans="1:7" x14ac:dyDescent="0.2">
      <c r="A3" s="18" t="s">
        <v>782</v>
      </c>
      <c r="B3" s="18" t="s">
        <v>781</v>
      </c>
    </row>
    <row r="4" spans="1:7" x14ac:dyDescent="0.2">
      <c r="A4" s="18" t="s">
        <v>779</v>
      </c>
      <c r="B4" t="s">
        <v>191</v>
      </c>
      <c r="C4" t="s">
        <v>88</v>
      </c>
      <c r="D4" t="s">
        <v>49</v>
      </c>
      <c r="E4" t="s">
        <v>105</v>
      </c>
      <c r="F4" t="s">
        <v>783</v>
      </c>
      <c r="G4" t="s">
        <v>780</v>
      </c>
    </row>
    <row r="5" spans="1:7" x14ac:dyDescent="0.2">
      <c r="A5" s="19" t="s">
        <v>765</v>
      </c>
      <c r="B5">
        <v>26</v>
      </c>
      <c r="C5">
        <v>123</v>
      </c>
      <c r="D5">
        <v>95</v>
      </c>
      <c r="G5">
        <v>244</v>
      </c>
    </row>
    <row r="6" spans="1:7" x14ac:dyDescent="0.2">
      <c r="A6" s="19" t="s">
        <v>65</v>
      </c>
      <c r="B6">
        <v>26</v>
      </c>
      <c r="C6">
        <v>600</v>
      </c>
      <c r="D6">
        <v>341</v>
      </c>
      <c r="E6">
        <v>281</v>
      </c>
      <c r="G6">
        <v>1248</v>
      </c>
    </row>
    <row r="7" spans="1:7" x14ac:dyDescent="0.2">
      <c r="A7" s="21" t="s">
        <v>86</v>
      </c>
      <c r="C7">
        <v>26</v>
      </c>
      <c r="E7">
        <v>33</v>
      </c>
      <c r="G7">
        <v>59</v>
      </c>
    </row>
    <row r="8" spans="1:7" x14ac:dyDescent="0.2">
      <c r="A8" s="21" t="s">
        <v>708</v>
      </c>
      <c r="C8">
        <v>157</v>
      </c>
      <c r="E8">
        <v>157</v>
      </c>
      <c r="G8">
        <v>314</v>
      </c>
    </row>
    <row r="9" spans="1:7" x14ac:dyDescent="0.2">
      <c r="A9" s="21" t="s">
        <v>117</v>
      </c>
      <c r="C9">
        <v>29</v>
      </c>
      <c r="E9">
        <v>27</v>
      </c>
      <c r="G9">
        <v>56</v>
      </c>
    </row>
    <row r="10" spans="1:7" x14ac:dyDescent="0.2">
      <c r="A10" s="21" t="s">
        <v>691</v>
      </c>
      <c r="C10">
        <v>26</v>
      </c>
      <c r="E10">
        <v>25</v>
      </c>
      <c r="G10">
        <v>51</v>
      </c>
    </row>
    <row r="11" spans="1:7" x14ac:dyDescent="0.2">
      <c r="A11" s="21" t="s">
        <v>226</v>
      </c>
      <c r="C11">
        <v>39</v>
      </c>
      <c r="E11">
        <v>39</v>
      </c>
      <c r="G11">
        <v>78</v>
      </c>
    </row>
    <row r="12" spans="1:7" x14ac:dyDescent="0.2">
      <c r="A12" s="21" t="s">
        <v>256</v>
      </c>
      <c r="C12">
        <v>20</v>
      </c>
      <c r="D12">
        <v>20</v>
      </c>
      <c r="G12">
        <v>40</v>
      </c>
    </row>
    <row r="13" spans="1:7" x14ac:dyDescent="0.2">
      <c r="A13" s="21" t="s">
        <v>277</v>
      </c>
      <c r="C13">
        <v>62</v>
      </c>
      <c r="D13">
        <v>116</v>
      </c>
      <c r="G13">
        <v>178</v>
      </c>
    </row>
    <row r="14" spans="1:7" x14ac:dyDescent="0.2">
      <c r="A14" s="21" t="s">
        <v>303</v>
      </c>
      <c r="C14">
        <v>10</v>
      </c>
      <c r="D14">
        <v>10</v>
      </c>
      <c r="G14">
        <v>20</v>
      </c>
    </row>
    <row r="15" spans="1:7" x14ac:dyDescent="0.2">
      <c r="A15" s="21" t="s">
        <v>376</v>
      </c>
      <c r="C15">
        <v>50</v>
      </c>
      <c r="D15">
        <v>50</v>
      </c>
      <c r="G15">
        <v>100</v>
      </c>
    </row>
    <row r="16" spans="1:7" x14ac:dyDescent="0.2">
      <c r="A16" s="21" t="s">
        <v>427</v>
      </c>
      <c r="C16">
        <v>118</v>
      </c>
      <c r="D16">
        <v>110</v>
      </c>
      <c r="G16">
        <v>228</v>
      </c>
    </row>
    <row r="17" spans="1:7" x14ac:dyDescent="0.2">
      <c r="A17" s="21" t="s">
        <v>449</v>
      </c>
      <c r="C17">
        <v>35</v>
      </c>
      <c r="D17">
        <v>35</v>
      </c>
      <c r="G17">
        <v>70</v>
      </c>
    </row>
    <row r="18" spans="1:7" x14ac:dyDescent="0.2">
      <c r="A18" s="21" t="s">
        <v>704</v>
      </c>
      <c r="B18">
        <v>26</v>
      </c>
      <c r="C18">
        <v>28</v>
      </c>
      <c r="G18">
        <v>54</v>
      </c>
    </row>
    <row r="19" spans="1:7" x14ac:dyDescent="0.2">
      <c r="A19" s="19" t="s">
        <v>317</v>
      </c>
      <c r="B19">
        <v>26</v>
      </c>
      <c r="C19">
        <v>143</v>
      </c>
      <c r="D19">
        <v>136</v>
      </c>
      <c r="G19">
        <v>305</v>
      </c>
    </row>
    <row r="20" spans="1:7" x14ac:dyDescent="0.2">
      <c r="A20" s="19" t="s">
        <v>142</v>
      </c>
      <c r="C20">
        <v>29</v>
      </c>
      <c r="E20">
        <v>27</v>
      </c>
      <c r="G20">
        <v>56</v>
      </c>
    </row>
    <row r="21" spans="1:7" x14ac:dyDescent="0.2">
      <c r="A21" s="19" t="s">
        <v>751</v>
      </c>
      <c r="C21">
        <v>51</v>
      </c>
      <c r="D21">
        <v>25</v>
      </c>
      <c r="E21">
        <v>25</v>
      </c>
      <c r="G21">
        <v>101</v>
      </c>
    </row>
    <row r="22" spans="1:7" x14ac:dyDescent="0.2">
      <c r="A22" s="19" t="s">
        <v>165</v>
      </c>
      <c r="B22">
        <v>26</v>
      </c>
      <c r="C22">
        <v>144</v>
      </c>
      <c r="E22">
        <v>108</v>
      </c>
      <c r="G22">
        <v>278</v>
      </c>
    </row>
    <row r="23" spans="1:7" x14ac:dyDescent="0.2">
      <c r="A23" s="19" t="s">
        <v>766</v>
      </c>
      <c r="B23">
        <v>26</v>
      </c>
      <c r="C23">
        <v>28</v>
      </c>
      <c r="G23">
        <v>54</v>
      </c>
    </row>
    <row r="24" spans="1:7" x14ac:dyDescent="0.2">
      <c r="A24" s="19" t="s">
        <v>147</v>
      </c>
      <c r="B24">
        <v>26</v>
      </c>
      <c r="C24">
        <v>57</v>
      </c>
      <c r="E24">
        <v>27</v>
      </c>
      <c r="G24">
        <v>110</v>
      </c>
    </row>
    <row r="25" spans="1:7" x14ac:dyDescent="0.2">
      <c r="A25" s="19" t="s">
        <v>775</v>
      </c>
      <c r="C25">
        <v>108</v>
      </c>
      <c r="D25">
        <v>108</v>
      </c>
      <c r="G25">
        <v>216</v>
      </c>
    </row>
    <row r="26" spans="1:7" x14ac:dyDescent="0.2">
      <c r="A26" s="19" t="s">
        <v>477</v>
      </c>
      <c r="C26">
        <v>260</v>
      </c>
      <c r="D26">
        <v>192</v>
      </c>
      <c r="E26">
        <v>66</v>
      </c>
      <c r="G26">
        <v>518</v>
      </c>
    </row>
    <row r="27" spans="1:7" x14ac:dyDescent="0.2">
      <c r="A27" s="19" t="s">
        <v>411</v>
      </c>
      <c r="C27">
        <v>28</v>
      </c>
      <c r="D27">
        <v>26</v>
      </c>
      <c r="G27">
        <v>54</v>
      </c>
    </row>
    <row r="28" spans="1:7" x14ac:dyDescent="0.2">
      <c r="A28" s="19" t="s">
        <v>656</v>
      </c>
      <c r="B28">
        <v>40</v>
      </c>
      <c r="C28">
        <v>91</v>
      </c>
      <c r="D28">
        <v>51</v>
      </c>
      <c r="G28">
        <v>182</v>
      </c>
    </row>
    <row r="29" spans="1:7" x14ac:dyDescent="0.2">
      <c r="A29" s="19" t="s">
        <v>658</v>
      </c>
      <c r="B29">
        <v>124</v>
      </c>
      <c r="C29">
        <v>122</v>
      </c>
      <c r="G29">
        <v>246</v>
      </c>
    </row>
    <row r="30" spans="1:7" x14ac:dyDescent="0.2">
      <c r="A30" s="19" t="s">
        <v>188</v>
      </c>
      <c r="B30">
        <v>303</v>
      </c>
      <c r="C30">
        <v>411</v>
      </c>
      <c r="D30">
        <v>51</v>
      </c>
      <c r="E30">
        <v>60</v>
      </c>
      <c r="G30">
        <v>825</v>
      </c>
    </row>
    <row r="31" spans="1:7" x14ac:dyDescent="0.2">
      <c r="A31" s="19" t="s">
        <v>753</v>
      </c>
      <c r="B31">
        <v>26</v>
      </c>
      <c r="C31">
        <v>79</v>
      </c>
      <c r="D31">
        <v>51</v>
      </c>
      <c r="G31">
        <v>156</v>
      </c>
    </row>
    <row r="32" spans="1:7" x14ac:dyDescent="0.2">
      <c r="A32" s="19" t="s">
        <v>168</v>
      </c>
      <c r="B32">
        <v>61</v>
      </c>
      <c r="C32">
        <v>247</v>
      </c>
      <c r="E32">
        <v>184</v>
      </c>
      <c r="G32">
        <v>492</v>
      </c>
    </row>
    <row r="33" spans="1:7" x14ac:dyDescent="0.2">
      <c r="A33" s="19" t="s">
        <v>783</v>
      </c>
    </row>
    <row r="34" spans="1:7" x14ac:dyDescent="0.2">
      <c r="A34" s="19" t="s">
        <v>780</v>
      </c>
      <c r="B34">
        <v>710</v>
      </c>
      <c r="C34">
        <v>2521</v>
      </c>
      <c r="D34">
        <v>1076</v>
      </c>
      <c r="E34">
        <v>778</v>
      </c>
      <c r="G34">
        <v>5085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6E42-7453-9D4E-A430-82DC30A59557}">
  <dimension ref="A1:BJ152"/>
  <sheetViews>
    <sheetView tabSelected="1" zoomScale="117" workbookViewId="0">
      <pane xSplit="6" ySplit="1" topLeftCell="N2" activePane="bottomRight" state="frozen"/>
      <selection pane="topRight" activeCell="G1" sqref="G1"/>
      <selection pane="bottomLeft" activeCell="A2" sqref="A2"/>
      <selection pane="bottomRight" activeCell="X110" sqref="X110"/>
    </sheetView>
  </sheetViews>
  <sheetFormatPr baseColWidth="10" defaultRowHeight="15" x14ac:dyDescent="0.2"/>
  <cols>
    <col min="2" max="2" width="20.1640625" customWidth="1"/>
    <col min="7" max="7" width="10.83203125" style="33"/>
    <col min="8" max="8" width="21.5" customWidth="1"/>
    <col min="15" max="20" width="10.83203125" style="35"/>
    <col min="21" max="26" width="10.83203125" style="52"/>
    <col min="27" max="32" width="10.83203125" style="33"/>
    <col min="45" max="45" width="17.83203125" style="1" customWidth="1"/>
    <col min="46" max="47" width="10.83203125" style="1"/>
    <col min="48" max="48" width="10.83203125" style="26"/>
    <col min="49" max="49" width="10.83203125" style="27"/>
    <col min="50" max="50" width="10.83203125" style="26"/>
    <col min="51" max="51" width="10.83203125" style="30"/>
    <col min="52" max="52" width="10.83203125" style="31"/>
    <col min="53" max="53" width="10.83203125" style="30"/>
    <col min="54" max="55" width="10.83203125" style="26"/>
    <col min="56" max="58" width="10.83203125" style="23"/>
    <col min="59" max="61" width="10.83203125" style="33"/>
  </cols>
  <sheetData>
    <row r="1" spans="1:59" x14ac:dyDescent="0.2">
      <c r="A1" t="s">
        <v>785</v>
      </c>
      <c r="B1" s="17" t="s">
        <v>0</v>
      </c>
      <c r="C1" s="17" t="s">
        <v>1</v>
      </c>
      <c r="D1" s="17" t="s">
        <v>2</v>
      </c>
      <c r="E1" s="17" t="s">
        <v>803</v>
      </c>
      <c r="F1" s="17" t="s">
        <v>790</v>
      </c>
      <c r="G1" s="32" t="s">
        <v>3</v>
      </c>
      <c r="H1" s="17" t="s">
        <v>4</v>
      </c>
      <c r="I1" s="17" t="s">
        <v>5</v>
      </c>
      <c r="J1" s="17" t="s">
        <v>6</v>
      </c>
      <c r="K1" s="17" t="s">
        <v>7</v>
      </c>
      <c r="L1" s="17" t="s">
        <v>8</v>
      </c>
      <c r="M1" s="17" t="s">
        <v>9</v>
      </c>
      <c r="N1" s="17" t="s">
        <v>10</v>
      </c>
      <c r="O1" s="34" t="s">
        <v>11</v>
      </c>
      <c r="P1" s="34" t="s">
        <v>12</v>
      </c>
      <c r="Q1" s="34" t="s">
        <v>13</v>
      </c>
      <c r="R1" s="34" t="s">
        <v>14</v>
      </c>
      <c r="S1" s="34" t="s">
        <v>15</v>
      </c>
      <c r="T1" s="34" t="s">
        <v>16</v>
      </c>
      <c r="U1" s="51" t="s">
        <v>822</v>
      </c>
      <c r="V1" s="51" t="s">
        <v>823</v>
      </c>
      <c r="W1" s="51" t="s">
        <v>824</v>
      </c>
      <c r="X1" s="51" t="s">
        <v>825</v>
      </c>
      <c r="Y1" s="51" t="s">
        <v>826</v>
      </c>
      <c r="Z1" s="51" t="s">
        <v>827</v>
      </c>
      <c r="AA1" s="32" t="s">
        <v>17</v>
      </c>
      <c r="AB1" s="32" t="s">
        <v>18</v>
      </c>
      <c r="AC1" s="32" t="s">
        <v>19</v>
      </c>
      <c r="AD1" s="32" t="s">
        <v>20</v>
      </c>
      <c r="AE1" s="32" t="s">
        <v>21</v>
      </c>
      <c r="AF1" s="32" t="s">
        <v>22</v>
      </c>
      <c r="AG1" s="17" t="s">
        <v>23</v>
      </c>
      <c r="AH1" s="17" t="s">
        <v>24</v>
      </c>
      <c r="AI1" s="17" t="s">
        <v>25</v>
      </c>
      <c r="AJ1" s="17" t="s">
        <v>26</v>
      </c>
      <c r="AK1" s="17" t="s">
        <v>27</v>
      </c>
      <c r="AL1" s="17" t="s">
        <v>28</v>
      </c>
      <c r="AM1" s="17" t="s">
        <v>29</v>
      </c>
      <c r="AN1" s="17" t="s">
        <v>30</v>
      </c>
      <c r="AO1" s="17" t="s">
        <v>31</v>
      </c>
      <c r="AP1" s="17" t="s">
        <v>32</v>
      </c>
      <c r="AQ1" s="17" t="s">
        <v>33</v>
      </c>
      <c r="AR1" s="17" t="s">
        <v>34</v>
      </c>
      <c r="AS1" s="20" t="s">
        <v>35</v>
      </c>
      <c r="AT1" s="20" t="s">
        <v>36</v>
      </c>
      <c r="AU1" s="20" t="s">
        <v>37</v>
      </c>
      <c r="AV1" s="24" t="s">
        <v>38</v>
      </c>
      <c r="AW1" s="25" t="s">
        <v>39</v>
      </c>
      <c r="AX1" s="24" t="s">
        <v>40</v>
      </c>
      <c r="AY1" s="28" t="s">
        <v>41</v>
      </c>
      <c r="AZ1" s="29" t="s">
        <v>42</v>
      </c>
      <c r="BA1" s="28" t="s">
        <v>43</v>
      </c>
      <c r="BB1" s="24" t="s">
        <v>44</v>
      </c>
      <c r="BC1" s="24" t="s">
        <v>45</v>
      </c>
      <c r="BD1" s="22" t="s">
        <v>46</v>
      </c>
      <c r="BE1" s="22" t="s">
        <v>686</v>
      </c>
      <c r="BF1" s="22" t="s">
        <v>689</v>
      </c>
      <c r="BG1" s="32"/>
    </row>
    <row r="2" spans="1:59" x14ac:dyDescent="0.2">
      <c r="A2" t="s">
        <v>787</v>
      </c>
      <c r="B2" s="17" t="s">
        <v>86</v>
      </c>
      <c r="C2" s="17">
        <v>2008</v>
      </c>
      <c r="D2" s="17" t="s">
        <v>104</v>
      </c>
      <c r="E2" s="17" t="s">
        <v>792</v>
      </c>
      <c r="F2" s="17" t="s">
        <v>795</v>
      </c>
      <c r="G2" s="32" t="s">
        <v>105</v>
      </c>
      <c r="H2" s="8" t="s">
        <v>106</v>
      </c>
      <c r="I2" s="17" t="s">
        <v>89</v>
      </c>
      <c r="J2" s="17" t="s">
        <v>90</v>
      </c>
      <c r="K2" s="17" t="s">
        <v>91</v>
      </c>
      <c r="L2" s="17" t="s">
        <v>54</v>
      </c>
      <c r="M2" s="17" t="s">
        <v>92</v>
      </c>
      <c r="N2" s="17" t="s">
        <v>56</v>
      </c>
      <c r="O2" s="34" t="s">
        <v>93</v>
      </c>
      <c r="P2" s="34" t="s">
        <v>58</v>
      </c>
      <c r="Q2" s="34" t="s">
        <v>93</v>
      </c>
      <c r="R2" s="34" t="s">
        <v>57</v>
      </c>
      <c r="S2" s="34" t="s">
        <v>58</v>
      </c>
      <c r="T2" s="34" t="s">
        <v>57</v>
      </c>
      <c r="U2" s="51" t="s">
        <v>93</v>
      </c>
      <c r="V2" s="51" t="s">
        <v>58</v>
      </c>
      <c r="W2" s="51" t="s">
        <v>93</v>
      </c>
      <c r="X2" s="51" t="s">
        <v>57</v>
      </c>
      <c r="Y2" s="51" t="s">
        <v>58</v>
      </c>
      <c r="Z2" s="51" t="s">
        <v>57</v>
      </c>
      <c r="AA2" s="32" t="s">
        <v>107</v>
      </c>
      <c r="AB2" s="32" t="s">
        <v>108</v>
      </c>
      <c r="AC2" s="32" t="s">
        <v>109</v>
      </c>
      <c r="AD2" s="32" t="s">
        <v>110</v>
      </c>
      <c r="AE2" s="32"/>
      <c r="AF2" s="32"/>
      <c r="AG2" s="17" t="s">
        <v>111</v>
      </c>
      <c r="AH2" s="17"/>
      <c r="AI2" s="17"/>
      <c r="AJ2" s="17"/>
      <c r="AK2" s="17" t="s">
        <v>112</v>
      </c>
      <c r="AL2" s="17"/>
      <c r="AM2" s="17"/>
      <c r="AN2" s="17"/>
      <c r="AO2" s="17"/>
      <c r="AP2" s="17"/>
      <c r="AQ2" s="17" t="s">
        <v>64</v>
      </c>
      <c r="AR2" s="17"/>
      <c r="AS2" s="20" t="s">
        <v>65</v>
      </c>
      <c r="AT2" s="20" t="s">
        <v>66</v>
      </c>
      <c r="AU2" s="20" t="s">
        <v>820</v>
      </c>
      <c r="AV2" s="24"/>
      <c r="AW2" s="25"/>
      <c r="AX2" s="24"/>
      <c r="AY2" s="28">
        <f>-3.29</f>
        <v>-3.29</v>
      </c>
      <c r="AZ2" s="29">
        <v>33</v>
      </c>
      <c r="BA2" s="28">
        <f>SQRT(AZ2+AZ3)*(BC2-BB2)/(2*TINV(1-0.95,AZ2+AZ3-1))</f>
        <v>13.39209897120349</v>
      </c>
      <c r="BB2" s="24">
        <v>-6.78</v>
      </c>
      <c r="BC2" s="24">
        <v>0.2</v>
      </c>
      <c r="BD2" s="22" t="s">
        <v>103</v>
      </c>
      <c r="BE2" s="22">
        <v>180</v>
      </c>
      <c r="BF2" s="22">
        <v>180</v>
      </c>
    </row>
    <row r="3" spans="1:59" x14ac:dyDescent="0.2">
      <c r="A3" t="s">
        <v>787</v>
      </c>
      <c r="B3" s="17" t="s">
        <v>86</v>
      </c>
      <c r="C3" s="17">
        <v>2008</v>
      </c>
      <c r="D3" s="17" t="s">
        <v>87</v>
      </c>
      <c r="E3" s="17" t="s">
        <v>88</v>
      </c>
      <c r="F3" s="8" t="s">
        <v>807</v>
      </c>
      <c r="G3" s="17" t="s">
        <v>88</v>
      </c>
      <c r="H3" s="17" t="s">
        <v>88</v>
      </c>
      <c r="I3" s="17" t="s">
        <v>89</v>
      </c>
      <c r="J3" s="17" t="s">
        <v>90</v>
      </c>
      <c r="K3" s="17" t="s">
        <v>91</v>
      </c>
      <c r="L3" s="17" t="s">
        <v>54</v>
      </c>
      <c r="M3" s="17" t="s">
        <v>92</v>
      </c>
      <c r="N3" s="17" t="s">
        <v>56</v>
      </c>
      <c r="O3" s="34" t="s">
        <v>93</v>
      </c>
      <c r="P3" s="34" t="s">
        <v>58</v>
      </c>
      <c r="Q3" s="34" t="s">
        <v>93</v>
      </c>
      <c r="R3" s="34" t="s">
        <v>57</v>
      </c>
      <c r="S3" s="34" t="s">
        <v>58</v>
      </c>
      <c r="T3" s="34" t="s">
        <v>57</v>
      </c>
      <c r="U3" s="51" t="s">
        <v>93</v>
      </c>
      <c r="V3" s="51" t="s">
        <v>58</v>
      </c>
      <c r="W3" s="51" t="s">
        <v>93</v>
      </c>
      <c r="X3" s="51" t="s">
        <v>57</v>
      </c>
      <c r="Y3" s="51" t="s">
        <v>58</v>
      </c>
      <c r="Z3" s="51" t="s">
        <v>57</v>
      </c>
      <c r="AA3" s="32" t="s">
        <v>94</v>
      </c>
      <c r="AB3" s="32" t="s">
        <v>95</v>
      </c>
      <c r="AC3" s="32" t="s">
        <v>96</v>
      </c>
      <c r="AD3" s="32" t="s">
        <v>97</v>
      </c>
      <c r="AE3" s="32"/>
      <c r="AF3" s="32"/>
      <c r="AG3" s="17" t="s">
        <v>98</v>
      </c>
      <c r="AH3" s="17"/>
      <c r="AI3" s="17"/>
      <c r="AJ3" s="17"/>
      <c r="AK3" s="17" t="s">
        <v>99</v>
      </c>
      <c r="AL3" s="17"/>
      <c r="AM3" s="17"/>
      <c r="AN3" s="17"/>
      <c r="AO3" s="17"/>
      <c r="AP3" s="17"/>
      <c r="AQ3" s="17" t="s">
        <v>100</v>
      </c>
      <c r="AR3" s="17"/>
      <c r="AS3" s="20" t="s">
        <v>65</v>
      </c>
      <c r="AT3" s="20" t="s">
        <v>66</v>
      </c>
      <c r="AU3" s="20" t="s">
        <v>820</v>
      </c>
      <c r="AV3" s="24"/>
      <c r="AW3" s="25"/>
      <c r="AX3" s="24"/>
      <c r="AY3" s="28"/>
      <c r="AZ3" s="29">
        <v>26</v>
      </c>
      <c r="BA3" s="28"/>
      <c r="BB3" s="24"/>
      <c r="BC3" s="24"/>
      <c r="BD3" s="22" t="s">
        <v>103</v>
      </c>
      <c r="BE3" s="22">
        <v>180</v>
      </c>
      <c r="BF3" s="22">
        <v>180</v>
      </c>
    </row>
    <row r="4" spans="1:59" x14ac:dyDescent="0.2">
      <c r="A4" t="s">
        <v>786</v>
      </c>
      <c r="B4" s="8" t="s">
        <v>698</v>
      </c>
      <c r="C4" s="8">
        <v>2020</v>
      </c>
      <c r="D4" s="8" t="s">
        <v>699</v>
      </c>
      <c r="E4" s="17" t="s">
        <v>791</v>
      </c>
      <c r="F4" s="8" t="s">
        <v>811</v>
      </c>
      <c r="G4" s="36" t="s">
        <v>49</v>
      </c>
      <c r="H4" s="8" t="s">
        <v>75</v>
      </c>
      <c r="I4" s="8" t="s">
        <v>175</v>
      </c>
      <c r="J4" s="8" t="s">
        <v>700</v>
      </c>
      <c r="K4" s="8" t="s">
        <v>701</v>
      </c>
      <c r="L4" s="8" t="s">
        <v>695</v>
      </c>
      <c r="M4" s="8" t="s">
        <v>702</v>
      </c>
      <c r="N4" s="8" t="s">
        <v>703</v>
      </c>
      <c r="O4" s="37" t="s">
        <v>93</v>
      </c>
      <c r="P4" s="37" t="s">
        <v>712</v>
      </c>
      <c r="Q4" s="37" t="s">
        <v>93</v>
      </c>
      <c r="R4" s="37" t="s">
        <v>57</v>
      </c>
      <c r="S4" s="37" t="s">
        <v>58</v>
      </c>
      <c r="T4" s="37" t="s">
        <v>57</v>
      </c>
      <c r="U4" s="53" t="s">
        <v>93</v>
      </c>
      <c r="V4" s="53" t="s">
        <v>57</v>
      </c>
      <c r="W4" s="53" t="s">
        <v>93</v>
      </c>
      <c r="X4" s="53" t="s">
        <v>93</v>
      </c>
      <c r="Y4" s="53" t="s">
        <v>93</v>
      </c>
      <c r="Z4" s="53" t="s">
        <v>58</v>
      </c>
      <c r="AA4" s="36"/>
      <c r="AB4" s="38">
        <v>0.52800000000000002</v>
      </c>
      <c r="AC4" s="36"/>
      <c r="AD4" s="36"/>
      <c r="AE4" s="36"/>
      <c r="AF4" s="36"/>
      <c r="AG4" s="8" t="s">
        <v>736</v>
      </c>
      <c r="AH4" s="8"/>
      <c r="AI4" s="8"/>
      <c r="AJ4" s="8" t="s">
        <v>395</v>
      </c>
      <c r="AK4" s="8"/>
      <c r="AL4" s="8"/>
      <c r="AM4" s="8"/>
      <c r="AN4" s="8"/>
      <c r="AO4" s="8"/>
      <c r="AP4" s="8"/>
      <c r="AQ4" s="8"/>
      <c r="AR4" s="8"/>
      <c r="AS4" s="13" t="s">
        <v>656</v>
      </c>
      <c r="AT4" s="13" t="s">
        <v>755</v>
      </c>
      <c r="AU4" s="13" t="s">
        <v>67</v>
      </c>
      <c r="AV4" s="42">
        <v>14.53</v>
      </c>
      <c r="AW4" s="43">
        <v>51</v>
      </c>
      <c r="AX4" s="42">
        <v>1.77</v>
      </c>
      <c r="AY4" s="40">
        <v>11.41</v>
      </c>
      <c r="AZ4" s="41">
        <v>51</v>
      </c>
      <c r="BA4" s="40">
        <v>1.08</v>
      </c>
      <c r="BB4" s="42"/>
      <c r="BC4" s="42"/>
      <c r="BD4" s="44" t="s">
        <v>189</v>
      </c>
      <c r="BE4" s="44">
        <v>365</v>
      </c>
      <c r="BF4" s="44">
        <v>365</v>
      </c>
    </row>
    <row r="5" spans="1:59" x14ac:dyDescent="0.2">
      <c r="A5" t="s">
        <v>786</v>
      </c>
      <c r="B5" s="8" t="s">
        <v>698</v>
      </c>
      <c r="C5" s="8">
        <v>2020</v>
      </c>
      <c r="D5" s="8" t="s">
        <v>548</v>
      </c>
      <c r="E5" s="8" t="s">
        <v>88</v>
      </c>
      <c r="F5" s="8" t="s">
        <v>807</v>
      </c>
      <c r="G5" s="8" t="s">
        <v>88</v>
      </c>
      <c r="H5" s="8" t="s">
        <v>88</v>
      </c>
      <c r="I5" s="8" t="s">
        <v>175</v>
      </c>
      <c r="J5" s="8" t="s">
        <v>700</v>
      </c>
      <c r="K5" s="8" t="s">
        <v>701</v>
      </c>
      <c r="L5" s="8" t="s">
        <v>695</v>
      </c>
      <c r="M5" s="8" t="s">
        <v>702</v>
      </c>
      <c r="N5" s="8" t="s">
        <v>703</v>
      </c>
      <c r="O5" s="37" t="s">
        <v>93</v>
      </c>
      <c r="P5" s="37" t="s">
        <v>712</v>
      </c>
      <c r="Q5" s="37" t="s">
        <v>93</v>
      </c>
      <c r="R5" s="37" t="s">
        <v>57</v>
      </c>
      <c r="S5" s="37" t="s">
        <v>58</v>
      </c>
      <c r="T5" s="37" t="s">
        <v>57</v>
      </c>
      <c r="U5" s="53" t="s">
        <v>93</v>
      </c>
      <c r="V5" s="53" t="s">
        <v>57</v>
      </c>
      <c r="W5" s="53" t="s">
        <v>93</v>
      </c>
      <c r="X5" s="53" t="s">
        <v>93</v>
      </c>
      <c r="Y5" s="53" t="s">
        <v>93</v>
      </c>
      <c r="Z5" s="53" t="s">
        <v>58</v>
      </c>
      <c r="AA5" s="36"/>
      <c r="AB5" s="38">
        <v>0.52900000000000003</v>
      </c>
      <c r="AC5" s="36"/>
      <c r="AD5" s="36"/>
      <c r="AE5" s="36"/>
      <c r="AF5" s="36"/>
      <c r="AG5" s="8" t="s">
        <v>736</v>
      </c>
      <c r="AH5" s="8"/>
      <c r="AI5" s="8"/>
      <c r="AJ5" s="8" t="s">
        <v>395</v>
      </c>
      <c r="AK5" s="8"/>
      <c r="AL5" s="8"/>
      <c r="AM5" s="8"/>
      <c r="AN5" s="8"/>
      <c r="AO5" s="8"/>
      <c r="AP5" s="8"/>
      <c r="AQ5" s="8"/>
      <c r="AR5" s="8"/>
      <c r="AS5" s="13" t="s">
        <v>656</v>
      </c>
      <c r="AT5" s="13" t="s">
        <v>755</v>
      </c>
      <c r="AU5" s="13" t="s">
        <v>67</v>
      </c>
      <c r="AV5" s="42">
        <v>15.02</v>
      </c>
      <c r="AW5" s="43">
        <v>51</v>
      </c>
      <c r="AX5" s="42">
        <v>1.82</v>
      </c>
      <c r="AY5" s="40">
        <v>9.31</v>
      </c>
      <c r="AZ5" s="41">
        <v>51</v>
      </c>
      <c r="BA5" s="40">
        <v>1.52</v>
      </c>
      <c r="BB5" s="42"/>
      <c r="BC5" s="42"/>
      <c r="BD5" s="44" t="s">
        <v>189</v>
      </c>
      <c r="BE5" s="44">
        <v>365</v>
      </c>
      <c r="BF5" s="44">
        <v>365</v>
      </c>
    </row>
    <row r="6" spans="1:59" x14ac:dyDescent="0.2">
      <c r="A6" t="s">
        <v>786</v>
      </c>
      <c r="B6" s="8" t="s">
        <v>698</v>
      </c>
      <c r="C6" s="8">
        <v>2020</v>
      </c>
      <c r="D6" s="8" t="s">
        <v>699</v>
      </c>
      <c r="E6" s="17" t="s">
        <v>791</v>
      </c>
      <c r="F6" s="8" t="s">
        <v>811</v>
      </c>
      <c r="G6" s="36" t="s">
        <v>49</v>
      </c>
      <c r="H6" s="8" t="s">
        <v>75</v>
      </c>
      <c r="I6" s="8" t="s">
        <v>175</v>
      </c>
      <c r="J6" s="8" t="s">
        <v>700</v>
      </c>
      <c r="K6" s="8" t="s">
        <v>701</v>
      </c>
      <c r="L6" s="8" t="s">
        <v>695</v>
      </c>
      <c r="M6" s="8" t="s">
        <v>702</v>
      </c>
      <c r="N6" s="8" t="s">
        <v>703</v>
      </c>
      <c r="O6" s="37" t="s">
        <v>93</v>
      </c>
      <c r="P6" s="37" t="s">
        <v>712</v>
      </c>
      <c r="Q6" s="37" t="s">
        <v>93</v>
      </c>
      <c r="R6" s="37" t="s">
        <v>57</v>
      </c>
      <c r="S6" s="37" t="s">
        <v>58</v>
      </c>
      <c r="T6" s="37" t="s">
        <v>57</v>
      </c>
      <c r="U6" s="53" t="s">
        <v>93</v>
      </c>
      <c r="V6" s="53" t="s">
        <v>57</v>
      </c>
      <c r="W6" s="53" t="s">
        <v>93</v>
      </c>
      <c r="X6" s="53" t="s">
        <v>93</v>
      </c>
      <c r="Y6" s="53" t="s">
        <v>93</v>
      </c>
      <c r="Z6" s="53" t="s">
        <v>58</v>
      </c>
      <c r="AA6" s="36"/>
      <c r="AB6" s="38">
        <v>0.52800000000000002</v>
      </c>
      <c r="AC6" s="36"/>
      <c r="AD6" s="36"/>
      <c r="AE6" s="36"/>
      <c r="AF6" s="36"/>
      <c r="AG6" s="8" t="s">
        <v>736</v>
      </c>
      <c r="AH6" s="8"/>
      <c r="AI6" s="8"/>
      <c r="AJ6" s="8" t="s">
        <v>395</v>
      </c>
      <c r="AK6" s="8"/>
      <c r="AL6" s="8"/>
      <c r="AM6" s="8"/>
      <c r="AN6" s="8"/>
      <c r="AO6" s="8"/>
      <c r="AP6" s="8"/>
      <c r="AQ6" s="8"/>
      <c r="AR6" s="8"/>
      <c r="AS6" s="13" t="s">
        <v>188</v>
      </c>
      <c r="AT6" s="13" t="s">
        <v>752</v>
      </c>
      <c r="AU6" s="13" t="s">
        <v>67</v>
      </c>
      <c r="AV6" s="42">
        <v>17.760000000000002</v>
      </c>
      <c r="AW6" s="43">
        <v>51</v>
      </c>
      <c r="AX6" s="42">
        <v>3.68</v>
      </c>
      <c r="AY6" s="40">
        <v>14.64</v>
      </c>
      <c r="AZ6" s="41">
        <v>51</v>
      </c>
      <c r="BA6" s="40">
        <v>2.38</v>
      </c>
      <c r="BB6" s="42"/>
      <c r="BC6" s="42"/>
      <c r="BD6" s="44" t="s">
        <v>189</v>
      </c>
      <c r="BE6" s="44">
        <v>365</v>
      </c>
      <c r="BF6" s="44">
        <v>365</v>
      </c>
    </row>
    <row r="7" spans="1:59" x14ac:dyDescent="0.2">
      <c r="A7" t="s">
        <v>786</v>
      </c>
      <c r="B7" s="8" t="s">
        <v>698</v>
      </c>
      <c r="C7" s="8">
        <v>2020</v>
      </c>
      <c r="D7" s="8" t="s">
        <v>548</v>
      </c>
      <c r="E7" s="8" t="s">
        <v>88</v>
      </c>
      <c r="F7" s="8" t="s">
        <v>807</v>
      </c>
      <c r="G7" s="8" t="s">
        <v>88</v>
      </c>
      <c r="H7" s="8" t="s">
        <v>88</v>
      </c>
      <c r="I7" s="8" t="s">
        <v>175</v>
      </c>
      <c r="J7" s="8" t="s">
        <v>700</v>
      </c>
      <c r="K7" s="8" t="s">
        <v>701</v>
      </c>
      <c r="L7" s="8" t="s">
        <v>695</v>
      </c>
      <c r="M7" s="8" t="s">
        <v>702</v>
      </c>
      <c r="N7" s="8" t="s">
        <v>703</v>
      </c>
      <c r="O7" s="37" t="s">
        <v>93</v>
      </c>
      <c r="P7" s="37" t="s">
        <v>712</v>
      </c>
      <c r="Q7" s="37" t="s">
        <v>93</v>
      </c>
      <c r="R7" s="37" t="s">
        <v>57</v>
      </c>
      <c r="S7" s="37" t="s">
        <v>58</v>
      </c>
      <c r="T7" s="37" t="s">
        <v>57</v>
      </c>
      <c r="U7" s="53" t="s">
        <v>93</v>
      </c>
      <c r="V7" s="53" t="s">
        <v>57</v>
      </c>
      <c r="W7" s="53" t="s">
        <v>93</v>
      </c>
      <c r="X7" s="53" t="s">
        <v>93</v>
      </c>
      <c r="Y7" s="53" t="s">
        <v>93</v>
      </c>
      <c r="Z7" s="53" t="s">
        <v>58</v>
      </c>
      <c r="AA7" s="36"/>
      <c r="AB7" s="38">
        <v>0.52900000000000003</v>
      </c>
      <c r="AC7" s="36"/>
      <c r="AD7" s="36"/>
      <c r="AE7" s="36"/>
      <c r="AF7" s="36"/>
      <c r="AG7" s="8" t="s">
        <v>736</v>
      </c>
      <c r="AH7" s="8"/>
      <c r="AI7" s="8"/>
      <c r="AJ7" s="8" t="s">
        <v>395</v>
      </c>
      <c r="AK7" s="8"/>
      <c r="AL7" s="8"/>
      <c r="AM7" s="8"/>
      <c r="AN7" s="8"/>
      <c r="AO7" s="8"/>
      <c r="AP7" s="8"/>
      <c r="AQ7" s="8"/>
      <c r="AR7" s="8"/>
      <c r="AS7" s="13" t="s">
        <v>188</v>
      </c>
      <c r="AT7" s="13" t="s">
        <v>752</v>
      </c>
      <c r="AU7" s="13" t="s">
        <v>67</v>
      </c>
      <c r="AV7" s="42">
        <v>17.04</v>
      </c>
      <c r="AW7" s="43">
        <v>51</v>
      </c>
      <c r="AX7" s="42">
        <v>3.52</v>
      </c>
      <c r="AY7" s="40">
        <v>12.59</v>
      </c>
      <c r="AZ7" s="41">
        <v>51</v>
      </c>
      <c r="BA7" s="40">
        <v>2.7</v>
      </c>
      <c r="BB7" s="42"/>
      <c r="BC7" s="42"/>
      <c r="BD7" s="44" t="s">
        <v>189</v>
      </c>
      <c r="BE7" s="44">
        <v>365</v>
      </c>
      <c r="BF7" s="44">
        <v>365</v>
      </c>
    </row>
    <row r="8" spans="1:59" x14ac:dyDescent="0.2">
      <c r="A8" t="s">
        <v>786</v>
      </c>
      <c r="B8" s="8" t="s">
        <v>698</v>
      </c>
      <c r="C8" s="8">
        <v>2020</v>
      </c>
      <c r="D8" s="8" t="s">
        <v>699</v>
      </c>
      <c r="E8" s="17" t="s">
        <v>791</v>
      </c>
      <c r="F8" s="8" t="s">
        <v>811</v>
      </c>
      <c r="G8" s="36" t="s">
        <v>49</v>
      </c>
      <c r="H8" s="8" t="s">
        <v>75</v>
      </c>
      <c r="I8" s="8" t="s">
        <v>175</v>
      </c>
      <c r="J8" s="8" t="s">
        <v>700</v>
      </c>
      <c r="K8" s="8" t="s">
        <v>701</v>
      </c>
      <c r="L8" s="8" t="s">
        <v>695</v>
      </c>
      <c r="M8" s="8" t="s">
        <v>702</v>
      </c>
      <c r="N8" s="8" t="s">
        <v>703</v>
      </c>
      <c r="O8" s="37" t="s">
        <v>93</v>
      </c>
      <c r="P8" s="37" t="s">
        <v>712</v>
      </c>
      <c r="Q8" s="37" t="s">
        <v>93</v>
      </c>
      <c r="R8" s="37" t="s">
        <v>57</v>
      </c>
      <c r="S8" s="37" t="s">
        <v>58</v>
      </c>
      <c r="T8" s="37" t="s">
        <v>57</v>
      </c>
      <c r="U8" s="53" t="s">
        <v>93</v>
      </c>
      <c r="V8" s="53" t="s">
        <v>57</v>
      </c>
      <c r="W8" s="53" t="s">
        <v>93</v>
      </c>
      <c r="X8" s="53" t="s">
        <v>93</v>
      </c>
      <c r="Y8" s="53" t="s">
        <v>93</v>
      </c>
      <c r="Z8" s="53" t="s">
        <v>58</v>
      </c>
      <c r="AA8" s="36"/>
      <c r="AB8" s="38">
        <v>0.52800000000000002</v>
      </c>
      <c r="AC8" s="36"/>
      <c r="AD8" s="36"/>
      <c r="AE8" s="36"/>
      <c r="AF8" s="36"/>
      <c r="AG8" s="8" t="s">
        <v>736</v>
      </c>
      <c r="AH8" s="8"/>
      <c r="AI8" s="8"/>
      <c r="AJ8" s="8" t="s">
        <v>395</v>
      </c>
      <c r="AK8" s="8"/>
      <c r="AL8" s="8"/>
      <c r="AM8" s="8"/>
      <c r="AN8" s="8"/>
      <c r="AO8" s="8"/>
      <c r="AP8" s="8"/>
      <c r="AQ8" s="8"/>
      <c r="AR8" s="8"/>
      <c r="AS8" s="13" t="s">
        <v>753</v>
      </c>
      <c r="AT8" s="13" t="s">
        <v>754</v>
      </c>
      <c r="AU8" s="13" t="s">
        <v>67</v>
      </c>
      <c r="AV8" s="42">
        <v>19.32</v>
      </c>
      <c r="AW8" s="43">
        <v>51</v>
      </c>
      <c r="AX8" s="42">
        <v>3.53</v>
      </c>
      <c r="AY8" s="40">
        <v>7.21</v>
      </c>
      <c r="AZ8" s="41">
        <v>51</v>
      </c>
      <c r="BA8" s="40">
        <v>2.88</v>
      </c>
      <c r="BB8" s="42"/>
      <c r="BC8" s="42"/>
      <c r="BD8" s="44" t="s">
        <v>189</v>
      </c>
      <c r="BE8" s="44">
        <v>365</v>
      </c>
      <c r="BF8" s="44">
        <v>365</v>
      </c>
    </row>
    <row r="9" spans="1:59" x14ac:dyDescent="0.2">
      <c r="A9" t="s">
        <v>786</v>
      </c>
      <c r="B9" s="8" t="s">
        <v>698</v>
      </c>
      <c r="C9" s="8">
        <v>2020</v>
      </c>
      <c r="D9" s="8" t="s">
        <v>548</v>
      </c>
      <c r="E9" s="8" t="s">
        <v>88</v>
      </c>
      <c r="F9" s="8" t="s">
        <v>811</v>
      </c>
      <c r="G9" s="8" t="s">
        <v>88</v>
      </c>
      <c r="H9" s="8" t="s">
        <v>88</v>
      </c>
      <c r="I9" s="8" t="s">
        <v>175</v>
      </c>
      <c r="J9" s="8" t="s">
        <v>700</v>
      </c>
      <c r="K9" s="8" t="s">
        <v>701</v>
      </c>
      <c r="L9" s="8" t="s">
        <v>695</v>
      </c>
      <c r="M9" s="8" t="s">
        <v>702</v>
      </c>
      <c r="N9" s="8" t="s">
        <v>703</v>
      </c>
      <c r="O9" s="37" t="s">
        <v>93</v>
      </c>
      <c r="P9" s="37" t="s">
        <v>712</v>
      </c>
      <c r="Q9" s="37" t="s">
        <v>93</v>
      </c>
      <c r="R9" s="37" t="s">
        <v>57</v>
      </c>
      <c r="S9" s="37" t="s">
        <v>58</v>
      </c>
      <c r="T9" s="37" t="s">
        <v>57</v>
      </c>
      <c r="U9" s="53" t="s">
        <v>93</v>
      </c>
      <c r="V9" s="53" t="s">
        <v>57</v>
      </c>
      <c r="W9" s="53" t="s">
        <v>93</v>
      </c>
      <c r="X9" s="53" t="s">
        <v>93</v>
      </c>
      <c r="Y9" s="53" t="s">
        <v>93</v>
      </c>
      <c r="Z9" s="53" t="s">
        <v>58</v>
      </c>
      <c r="AA9" s="36"/>
      <c r="AB9" s="38">
        <v>0.52900000000000003</v>
      </c>
      <c r="AC9" s="36"/>
      <c r="AD9" s="36"/>
      <c r="AE9" s="36"/>
      <c r="AF9" s="36"/>
      <c r="AG9" s="8" t="s">
        <v>736</v>
      </c>
      <c r="AH9" s="8"/>
      <c r="AI9" s="8"/>
      <c r="AJ9" s="8" t="s">
        <v>395</v>
      </c>
      <c r="AK9" s="8"/>
      <c r="AL9" s="8"/>
      <c r="AM9" s="8"/>
      <c r="AN9" s="8"/>
      <c r="AO9" s="8"/>
      <c r="AP9" s="8"/>
      <c r="AQ9" s="8"/>
      <c r="AR9" s="8"/>
      <c r="AS9" s="13" t="s">
        <v>753</v>
      </c>
      <c r="AT9" s="13" t="s">
        <v>754</v>
      </c>
      <c r="AU9" s="13" t="s">
        <v>67</v>
      </c>
      <c r="AV9" s="42">
        <v>19.47</v>
      </c>
      <c r="AW9" s="43">
        <v>51</v>
      </c>
      <c r="AX9" s="42">
        <v>3.37</v>
      </c>
      <c r="AY9" s="40">
        <v>10.37</v>
      </c>
      <c r="AZ9" s="41">
        <v>51</v>
      </c>
      <c r="BA9" s="40">
        <v>2.17</v>
      </c>
      <c r="BB9" s="42"/>
      <c r="BC9" s="42"/>
      <c r="BD9" s="44" t="s">
        <v>189</v>
      </c>
      <c r="BE9" s="44">
        <v>365</v>
      </c>
      <c r="BF9" s="44">
        <v>365</v>
      </c>
    </row>
    <row r="10" spans="1:59" x14ac:dyDescent="0.2">
      <c r="A10" t="s">
        <v>786</v>
      </c>
      <c r="B10" s="8" t="s">
        <v>713</v>
      </c>
      <c r="C10" s="8">
        <v>2019</v>
      </c>
      <c r="D10" s="8" t="s">
        <v>118</v>
      </c>
      <c r="E10" s="8" t="s">
        <v>799</v>
      </c>
      <c r="F10" s="8" t="s">
        <v>810</v>
      </c>
      <c r="G10" s="36" t="s">
        <v>49</v>
      </c>
      <c r="H10" s="8" t="s">
        <v>75</v>
      </c>
      <c r="I10" s="8" t="s">
        <v>279</v>
      </c>
      <c r="J10" s="8" t="s">
        <v>714</v>
      </c>
      <c r="K10" s="8" t="s">
        <v>715</v>
      </c>
      <c r="L10" s="8" t="s">
        <v>716</v>
      </c>
      <c r="M10" s="8" t="s">
        <v>452</v>
      </c>
      <c r="N10" s="8" t="s">
        <v>56</v>
      </c>
      <c r="O10" s="37" t="s">
        <v>57</v>
      </c>
      <c r="P10" s="37" t="s">
        <v>57</v>
      </c>
      <c r="Q10" s="37" t="s">
        <v>57</v>
      </c>
      <c r="R10" s="37" t="s">
        <v>57</v>
      </c>
      <c r="S10" s="37" t="s">
        <v>58</v>
      </c>
      <c r="T10" s="37" t="s">
        <v>57</v>
      </c>
      <c r="U10" s="53" t="s">
        <v>712</v>
      </c>
      <c r="V10" s="53" t="s">
        <v>57</v>
      </c>
      <c r="W10" s="53" t="s">
        <v>93</v>
      </c>
      <c r="X10" s="53" t="s">
        <v>58</v>
      </c>
      <c r="Y10" s="53" t="s">
        <v>58</v>
      </c>
      <c r="Z10" s="53" t="s">
        <v>57</v>
      </c>
      <c r="AA10" s="36" t="s">
        <v>724</v>
      </c>
      <c r="AB10" s="36"/>
      <c r="AC10" s="36" t="s">
        <v>730</v>
      </c>
      <c r="AD10" s="39">
        <v>0.88</v>
      </c>
      <c r="AE10" s="36"/>
      <c r="AF10" s="36"/>
      <c r="AG10" s="8" t="s">
        <v>741</v>
      </c>
      <c r="AH10" s="8"/>
      <c r="AI10" s="8"/>
      <c r="AJ10" s="8" t="s">
        <v>395</v>
      </c>
      <c r="AK10" s="8"/>
      <c r="AL10" s="8"/>
      <c r="AM10" s="8"/>
      <c r="AN10" s="8"/>
      <c r="AO10" s="8"/>
      <c r="AP10" s="8"/>
      <c r="AQ10" s="8"/>
      <c r="AR10" s="8"/>
      <c r="AS10" s="20" t="s">
        <v>765</v>
      </c>
      <c r="AT10" s="20" t="s">
        <v>756</v>
      </c>
      <c r="AU10" s="20" t="s">
        <v>67</v>
      </c>
      <c r="AV10" s="24">
        <v>11.6</v>
      </c>
      <c r="AW10" s="25">
        <v>27</v>
      </c>
      <c r="AX10" s="24">
        <v>2.8</v>
      </c>
      <c r="AY10" s="28">
        <v>3.4</v>
      </c>
      <c r="AZ10" s="29">
        <v>25</v>
      </c>
      <c r="BA10" s="28">
        <v>1.5</v>
      </c>
      <c r="BB10" s="42"/>
      <c r="BC10" s="42"/>
      <c r="BD10" s="44" t="s">
        <v>774</v>
      </c>
      <c r="BE10" s="44">
        <v>91</v>
      </c>
      <c r="BF10" s="44">
        <v>56</v>
      </c>
    </row>
    <row r="11" spans="1:59" x14ac:dyDescent="0.2">
      <c r="A11" t="s">
        <v>786</v>
      </c>
      <c r="B11" s="8" t="s">
        <v>713</v>
      </c>
      <c r="C11" s="8">
        <v>2019</v>
      </c>
      <c r="D11" s="8" t="s">
        <v>87</v>
      </c>
      <c r="E11" s="8" t="s">
        <v>88</v>
      </c>
      <c r="F11" s="8" t="s">
        <v>807</v>
      </c>
      <c r="G11" s="8" t="s">
        <v>88</v>
      </c>
      <c r="H11" s="8" t="s">
        <v>88</v>
      </c>
      <c r="I11" s="8" t="s">
        <v>279</v>
      </c>
      <c r="J11" s="8" t="s">
        <v>714</v>
      </c>
      <c r="K11" s="8" t="s">
        <v>715</v>
      </c>
      <c r="L11" s="8" t="s">
        <v>716</v>
      </c>
      <c r="M11" s="8" t="s">
        <v>452</v>
      </c>
      <c r="N11" s="8" t="s">
        <v>56</v>
      </c>
      <c r="O11" s="37" t="s">
        <v>57</v>
      </c>
      <c r="P11" s="37" t="s">
        <v>57</v>
      </c>
      <c r="Q11" s="37" t="s">
        <v>57</v>
      </c>
      <c r="R11" s="37" t="s">
        <v>57</v>
      </c>
      <c r="S11" s="37" t="s">
        <v>58</v>
      </c>
      <c r="T11" s="37" t="s">
        <v>57</v>
      </c>
      <c r="U11" s="53" t="s">
        <v>712</v>
      </c>
      <c r="V11" s="53" t="s">
        <v>57</v>
      </c>
      <c r="W11" s="53" t="s">
        <v>93</v>
      </c>
      <c r="X11" s="53" t="s">
        <v>58</v>
      </c>
      <c r="Y11" s="53" t="s">
        <v>58</v>
      </c>
      <c r="Z11" s="53" t="s">
        <v>57</v>
      </c>
      <c r="AA11" s="36" t="s">
        <v>725</v>
      </c>
      <c r="AB11" s="36"/>
      <c r="AC11" s="36" t="s">
        <v>731</v>
      </c>
      <c r="AD11" s="39">
        <v>0.72</v>
      </c>
      <c r="AE11" s="36"/>
      <c r="AF11" s="36"/>
      <c r="AG11" s="8" t="s">
        <v>742</v>
      </c>
      <c r="AH11" s="8"/>
      <c r="AI11" s="8"/>
      <c r="AJ11" s="8" t="s">
        <v>395</v>
      </c>
      <c r="AK11" s="8"/>
      <c r="AL11" s="8"/>
      <c r="AM11" s="8"/>
      <c r="AN11" s="8"/>
      <c r="AO11" s="8"/>
      <c r="AP11" s="8"/>
      <c r="AQ11" s="8"/>
      <c r="AR11" s="8"/>
      <c r="AS11" s="20" t="s">
        <v>765</v>
      </c>
      <c r="AT11" s="20" t="s">
        <v>756</v>
      </c>
      <c r="AU11" s="20" t="s">
        <v>67</v>
      </c>
      <c r="AV11" s="24">
        <v>10.039999999999999</v>
      </c>
      <c r="AW11" s="25">
        <v>27</v>
      </c>
      <c r="AX11" s="24">
        <v>4.0199999999999996</v>
      </c>
      <c r="AY11" s="28">
        <v>10.5</v>
      </c>
      <c r="AZ11" s="29">
        <v>25</v>
      </c>
      <c r="BA11" s="28">
        <v>3.7</v>
      </c>
      <c r="BB11" s="42"/>
      <c r="BC11" s="42"/>
      <c r="BD11" s="44" t="s">
        <v>774</v>
      </c>
      <c r="BE11" s="44">
        <v>91</v>
      </c>
      <c r="BF11" s="44">
        <v>56</v>
      </c>
    </row>
    <row r="12" spans="1:59" x14ac:dyDescent="0.2">
      <c r="A12" t="s">
        <v>786</v>
      </c>
      <c r="B12" s="8" t="s">
        <v>713</v>
      </c>
      <c r="C12" s="8">
        <v>2019</v>
      </c>
      <c r="D12" s="8" t="s">
        <v>118</v>
      </c>
      <c r="E12" s="8" t="s">
        <v>799</v>
      </c>
      <c r="F12" s="8" t="s">
        <v>810</v>
      </c>
      <c r="G12" s="36" t="s">
        <v>49</v>
      </c>
      <c r="H12" s="8" t="s">
        <v>75</v>
      </c>
      <c r="I12" s="8" t="s">
        <v>279</v>
      </c>
      <c r="J12" s="8" t="s">
        <v>714</v>
      </c>
      <c r="K12" s="8" t="s">
        <v>715</v>
      </c>
      <c r="L12" s="8" t="s">
        <v>716</v>
      </c>
      <c r="M12" s="8" t="s">
        <v>452</v>
      </c>
      <c r="N12" s="8" t="s">
        <v>56</v>
      </c>
      <c r="O12" s="37" t="s">
        <v>57</v>
      </c>
      <c r="P12" s="37" t="s">
        <v>57</v>
      </c>
      <c r="Q12" s="37" t="s">
        <v>57</v>
      </c>
      <c r="R12" s="37" t="s">
        <v>57</v>
      </c>
      <c r="S12" s="37" t="s">
        <v>58</v>
      </c>
      <c r="T12" s="37" t="s">
        <v>57</v>
      </c>
      <c r="U12" s="53" t="s">
        <v>712</v>
      </c>
      <c r="V12" s="53" t="s">
        <v>57</v>
      </c>
      <c r="W12" s="53" t="s">
        <v>93</v>
      </c>
      <c r="X12" s="53" t="s">
        <v>58</v>
      </c>
      <c r="Y12" s="53" t="s">
        <v>58</v>
      </c>
      <c r="Z12" s="53" t="s">
        <v>57</v>
      </c>
      <c r="AA12" s="36" t="s">
        <v>724</v>
      </c>
      <c r="AB12" s="36"/>
      <c r="AC12" s="36" t="s">
        <v>730</v>
      </c>
      <c r="AD12" s="39">
        <v>0.88</v>
      </c>
      <c r="AE12" s="36"/>
      <c r="AF12" s="36"/>
      <c r="AG12" s="8" t="s">
        <v>741</v>
      </c>
      <c r="AH12" s="8"/>
      <c r="AI12" s="8"/>
      <c r="AJ12" s="8" t="s">
        <v>395</v>
      </c>
      <c r="AK12" s="8"/>
      <c r="AL12" s="8"/>
      <c r="AM12" s="8"/>
      <c r="AN12" s="8"/>
      <c r="AO12" s="8"/>
      <c r="AP12" s="8"/>
      <c r="AQ12" s="8"/>
      <c r="AR12" s="8"/>
      <c r="AS12" s="20" t="s">
        <v>317</v>
      </c>
      <c r="AT12" s="20" t="s">
        <v>756</v>
      </c>
      <c r="AU12" s="20" t="s">
        <v>67</v>
      </c>
      <c r="AV12" s="24">
        <v>4.5</v>
      </c>
      <c r="AW12" s="25">
        <v>27</v>
      </c>
      <c r="AX12" s="24">
        <v>3.04</v>
      </c>
      <c r="AY12" s="28">
        <v>0.4</v>
      </c>
      <c r="AZ12" s="29">
        <v>25</v>
      </c>
      <c r="BA12" s="28">
        <v>0.7</v>
      </c>
      <c r="BB12" s="42"/>
      <c r="BC12" s="42"/>
      <c r="BD12" s="44" t="s">
        <v>774</v>
      </c>
      <c r="BE12" s="44">
        <v>91</v>
      </c>
      <c r="BF12" s="44">
        <v>56</v>
      </c>
    </row>
    <row r="13" spans="1:59" x14ac:dyDescent="0.2">
      <c r="A13" t="s">
        <v>786</v>
      </c>
      <c r="B13" s="8" t="s">
        <v>713</v>
      </c>
      <c r="C13" s="8">
        <v>2019</v>
      </c>
      <c r="D13" s="8" t="s">
        <v>87</v>
      </c>
      <c r="E13" s="8" t="s">
        <v>88</v>
      </c>
      <c r="F13" s="8" t="s">
        <v>807</v>
      </c>
      <c r="G13" s="8" t="s">
        <v>88</v>
      </c>
      <c r="H13" s="8" t="s">
        <v>88</v>
      </c>
      <c r="I13" s="8" t="s">
        <v>279</v>
      </c>
      <c r="J13" s="8" t="s">
        <v>714</v>
      </c>
      <c r="K13" s="8" t="s">
        <v>715</v>
      </c>
      <c r="L13" s="8" t="s">
        <v>716</v>
      </c>
      <c r="M13" s="8" t="s">
        <v>452</v>
      </c>
      <c r="N13" s="8" t="s">
        <v>56</v>
      </c>
      <c r="O13" s="37" t="s">
        <v>57</v>
      </c>
      <c r="P13" s="37" t="s">
        <v>57</v>
      </c>
      <c r="Q13" s="37" t="s">
        <v>57</v>
      </c>
      <c r="R13" s="37" t="s">
        <v>57</v>
      </c>
      <c r="S13" s="37" t="s">
        <v>58</v>
      </c>
      <c r="T13" s="37" t="s">
        <v>57</v>
      </c>
      <c r="U13" s="53" t="s">
        <v>712</v>
      </c>
      <c r="V13" s="53" t="s">
        <v>57</v>
      </c>
      <c r="W13" s="53" t="s">
        <v>93</v>
      </c>
      <c r="X13" s="53" t="s">
        <v>58</v>
      </c>
      <c r="Y13" s="53" t="s">
        <v>58</v>
      </c>
      <c r="Z13" s="53" t="s">
        <v>57</v>
      </c>
      <c r="AA13" s="36" t="s">
        <v>725</v>
      </c>
      <c r="AB13" s="36"/>
      <c r="AC13" s="36" t="s">
        <v>731</v>
      </c>
      <c r="AD13" s="39">
        <v>0.72</v>
      </c>
      <c r="AE13" s="36"/>
      <c r="AF13" s="36"/>
      <c r="AG13" s="8" t="s">
        <v>742</v>
      </c>
      <c r="AH13" s="8"/>
      <c r="AI13" s="8"/>
      <c r="AJ13" s="8" t="s">
        <v>395</v>
      </c>
      <c r="AK13" s="8"/>
      <c r="AL13" s="8"/>
      <c r="AM13" s="8"/>
      <c r="AN13" s="8"/>
      <c r="AO13" s="8"/>
      <c r="AP13" s="8"/>
      <c r="AQ13" s="8"/>
      <c r="AR13" s="8"/>
      <c r="AS13" s="20" t="s">
        <v>317</v>
      </c>
      <c r="AT13" s="20" t="s">
        <v>756</v>
      </c>
      <c r="AU13" s="20" t="s">
        <v>67</v>
      </c>
      <c r="AV13" s="24">
        <v>4.8</v>
      </c>
      <c r="AW13" s="25">
        <v>27</v>
      </c>
      <c r="AX13" s="24">
        <v>3.6</v>
      </c>
      <c r="AY13" s="28">
        <v>5.08</v>
      </c>
      <c r="AZ13" s="29">
        <v>25</v>
      </c>
      <c r="BA13" s="28">
        <v>3.7</v>
      </c>
      <c r="BB13" s="42"/>
      <c r="BC13" s="42"/>
      <c r="BD13" s="44" t="s">
        <v>774</v>
      </c>
      <c r="BE13" s="44">
        <v>91</v>
      </c>
      <c r="BF13" s="44">
        <v>56</v>
      </c>
    </row>
    <row r="14" spans="1:59" x14ac:dyDescent="0.2">
      <c r="A14" t="s">
        <v>786</v>
      </c>
      <c r="B14" s="8" t="s">
        <v>713</v>
      </c>
      <c r="C14" s="8">
        <v>2019</v>
      </c>
      <c r="D14" s="8" t="s">
        <v>118</v>
      </c>
      <c r="E14" s="8" t="s">
        <v>799</v>
      </c>
      <c r="F14" s="8" t="s">
        <v>810</v>
      </c>
      <c r="G14" s="36" t="s">
        <v>49</v>
      </c>
      <c r="H14" s="8" t="s">
        <v>75</v>
      </c>
      <c r="I14" s="8" t="s">
        <v>279</v>
      </c>
      <c r="J14" s="8" t="s">
        <v>714</v>
      </c>
      <c r="K14" s="8" t="s">
        <v>715</v>
      </c>
      <c r="L14" s="8" t="s">
        <v>716</v>
      </c>
      <c r="M14" s="8" t="s">
        <v>452</v>
      </c>
      <c r="N14" s="8" t="s">
        <v>56</v>
      </c>
      <c r="O14" s="37" t="s">
        <v>57</v>
      </c>
      <c r="P14" s="37" t="s">
        <v>57</v>
      </c>
      <c r="Q14" s="37" t="s">
        <v>57</v>
      </c>
      <c r="R14" s="37" t="s">
        <v>57</v>
      </c>
      <c r="S14" s="37" t="s">
        <v>58</v>
      </c>
      <c r="T14" s="37" t="s">
        <v>57</v>
      </c>
      <c r="U14" s="53" t="s">
        <v>712</v>
      </c>
      <c r="V14" s="53" t="s">
        <v>57</v>
      </c>
      <c r="W14" s="53" t="s">
        <v>93</v>
      </c>
      <c r="X14" s="53" t="s">
        <v>58</v>
      </c>
      <c r="Y14" s="53" t="s">
        <v>58</v>
      </c>
      <c r="Z14" s="53" t="s">
        <v>57</v>
      </c>
      <c r="AA14" s="36" t="s">
        <v>724</v>
      </c>
      <c r="AB14" s="36"/>
      <c r="AC14" s="36" t="s">
        <v>730</v>
      </c>
      <c r="AD14" s="39">
        <v>0.88</v>
      </c>
      <c r="AE14" s="36"/>
      <c r="AF14" s="36"/>
      <c r="AG14" s="8" t="s">
        <v>741</v>
      </c>
      <c r="AH14" s="8"/>
      <c r="AI14" s="8"/>
      <c r="AJ14" s="8" t="s">
        <v>395</v>
      </c>
      <c r="AK14" s="8"/>
      <c r="AL14" s="8"/>
      <c r="AM14" s="8"/>
      <c r="AN14" s="8"/>
      <c r="AO14" s="8"/>
      <c r="AP14" s="8"/>
      <c r="AQ14" s="8"/>
      <c r="AR14" s="8"/>
      <c r="AS14" s="20" t="s">
        <v>751</v>
      </c>
      <c r="AT14" s="20" t="s">
        <v>756</v>
      </c>
      <c r="AU14" s="20" t="s">
        <v>67</v>
      </c>
      <c r="AV14" s="24">
        <v>39.9</v>
      </c>
      <c r="AW14" s="25">
        <v>27</v>
      </c>
      <c r="AX14" s="24">
        <v>8.4</v>
      </c>
      <c r="AY14" s="28">
        <v>16.079999999999998</v>
      </c>
      <c r="AZ14" s="29">
        <v>25</v>
      </c>
      <c r="BA14" s="28">
        <v>3.7</v>
      </c>
      <c r="BB14" s="42"/>
      <c r="BC14" s="42"/>
      <c r="BD14" s="44" t="s">
        <v>774</v>
      </c>
      <c r="BE14" s="44">
        <v>91</v>
      </c>
      <c r="BF14" s="44">
        <v>56</v>
      </c>
    </row>
    <row r="15" spans="1:59" x14ac:dyDescent="0.2">
      <c r="A15" t="s">
        <v>786</v>
      </c>
      <c r="B15" s="8" t="s">
        <v>713</v>
      </c>
      <c r="C15" s="8">
        <v>2019</v>
      </c>
      <c r="D15" s="8" t="s">
        <v>87</v>
      </c>
      <c r="E15" s="8" t="s">
        <v>88</v>
      </c>
      <c r="F15" s="8" t="s">
        <v>807</v>
      </c>
      <c r="G15" s="8" t="s">
        <v>88</v>
      </c>
      <c r="H15" s="8" t="s">
        <v>88</v>
      </c>
      <c r="I15" s="8" t="s">
        <v>279</v>
      </c>
      <c r="J15" s="8" t="s">
        <v>714</v>
      </c>
      <c r="K15" s="8" t="s">
        <v>715</v>
      </c>
      <c r="L15" s="8" t="s">
        <v>716</v>
      </c>
      <c r="M15" s="8" t="s">
        <v>452</v>
      </c>
      <c r="N15" s="8" t="s">
        <v>56</v>
      </c>
      <c r="O15" s="37" t="s">
        <v>57</v>
      </c>
      <c r="P15" s="37" t="s">
        <v>57</v>
      </c>
      <c r="Q15" s="37" t="s">
        <v>57</v>
      </c>
      <c r="R15" s="37" t="s">
        <v>57</v>
      </c>
      <c r="S15" s="37" t="s">
        <v>58</v>
      </c>
      <c r="T15" s="37" t="s">
        <v>57</v>
      </c>
      <c r="U15" s="53" t="s">
        <v>712</v>
      </c>
      <c r="V15" s="53" t="s">
        <v>57</v>
      </c>
      <c r="W15" s="53" t="s">
        <v>93</v>
      </c>
      <c r="X15" s="53" t="s">
        <v>58</v>
      </c>
      <c r="Y15" s="53" t="s">
        <v>58</v>
      </c>
      <c r="Z15" s="53" t="s">
        <v>57</v>
      </c>
      <c r="AA15" s="36" t="s">
        <v>725</v>
      </c>
      <c r="AB15" s="36"/>
      <c r="AC15" s="36" t="s">
        <v>731</v>
      </c>
      <c r="AD15" s="39">
        <v>0.72</v>
      </c>
      <c r="AE15" s="36"/>
      <c r="AF15" s="36"/>
      <c r="AG15" s="8" t="s">
        <v>742</v>
      </c>
      <c r="AH15" s="8"/>
      <c r="AI15" s="8"/>
      <c r="AJ15" s="8" t="s">
        <v>395</v>
      </c>
      <c r="AK15" s="8"/>
      <c r="AL15" s="8"/>
      <c r="AM15" s="8"/>
      <c r="AN15" s="8"/>
      <c r="AO15" s="8"/>
      <c r="AP15" s="8"/>
      <c r="AQ15" s="8"/>
      <c r="AR15" s="8"/>
      <c r="AS15" s="20" t="s">
        <v>751</v>
      </c>
      <c r="AT15" s="20" t="s">
        <v>756</v>
      </c>
      <c r="AU15" s="20" t="s">
        <v>67</v>
      </c>
      <c r="AV15" s="24">
        <v>32.04</v>
      </c>
      <c r="AW15" s="25">
        <v>27</v>
      </c>
      <c r="AX15" s="24">
        <v>7.02</v>
      </c>
      <c r="AY15" s="28">
        <v>32.9</v>
      </c>
      <c r="AZ15" s="29">
        <v>25</v>
      </c>
      <c r="BA15" s="28">
        <v>7.2</v>
      </c>
      <c r="BB15" s="42"/>
      <c r="BC15" s="42"/>
      <c r="BD15" s="44" t="s">
        <v>774</v>
      </c>
      <c r="BE15" s="44">
        <v>91</v>
      </c>
      <c r="BF15" s="44">
        <v>56</v>
      </c>
    </row>
    <row r="16" spans="1:59" x14ac:dyDescent="0.2">
      <c r="A16" t="s">
        <v>786</v>
      </c>
      <c r="B16" s="8" t="s">
        <v>708</v>
      </c>
      <c r="C16" s="8">
        <v>2020</v>
      </c>
      <c r="D16" s="8" t="s">
        <v>312</v>
      </c>
      <c r="E16" s="8" t="s">
        <v>800</v>
      </c>
      <c r="F16" s="8" t="s">
        <v>804</v>
      </c>
      <c r="G16" s="36" t="s">
        <v>105</v>
      </c>
      <c r="H16" s="8" t="s">
        <v>106</v>
      </c>
      <c r="I16" s="8" t="s">
        <v>89</v>
      </c>
      <c r="J16" s="8" t="s">
        <v>709</v>
      </c>
      <c r="K16" s="8" t="s">
        <v>710</v>
      </c>
      <c r="L16" s="8" t="s">
        <v>711</v>
      </c>
      <c r="M16" s="8" t="s">
        <v>452</v>
      </c>
      <c r="N16" s="8" t="s">
        <v>56</v>
      </c>
      <c r="O16" s="37" t="s">
        <v>712</v>
      </c>
      <c r="P16" s="37" t="s">
        <v>57</v>
      </c>
      <c r="Q16" s="37" t="s">
        <v>57</v>
      </c>
      <c r="R16" s="37" t="s">
        <v>57</v>
      </c>
      <c r="S16" s="37" t="s">
        <v>58</v>
      </c>
      <c r="T16" s="37" t="s">
        <v>57</v>
      </c>
      <c r="U16" s="53" t="s">
        <v>712</v>
      </c>
      <c r="V16" s="53" t="s">
        <v>712</v>
      </c>
      <c r="W16" s="53" t="s">
        <v>57</v>
      </c>
      <c r="X16" s="53" t="s">
        <v>57</v>
      </c>
      <c r="Y16" s="53" t="s">
        <v>57</v>
      </c>
      <c r="Z16" s="53" t="s">
        <v>57</v>
      </c>
      <c r="AA16" s="36"/>
      <c r="AB16" s="36"/>
      <c r="AC16" s="36"/>
      <c r="AD16" s="36"/>
      <c r="AE16" s="36"/>
      <c r="AF16" s="36"/>
      <c r="AG16" s="8" t="s">
        <v>739</v>
      </c>
      <c r="AH16" s="8"/>
      <c r="AI16" s="8"/>
      <c r="AJ16" s="8" t="s">
        <v>395</v>
      </c>
      <c r="AK16" s="8"/>
      <c r="AL16" s="8"/>
      <c r="AM16" s="8"/>
      <c r="AN16" s="8"/>
      <c r="AO16" s="8"/>
      <c r="AP16" s="8"/>
      <c r="AQ16" s="8"/>
      <c r="AR16" s="8"/>
      <c r="AS16" s="13" t="s">
        <v>65</v>
      </c>
      <c r="AT16" s="13" t="s">
        <v>808</v>
      </c>
      <c r="AU16" s="13" t="s">
        <v>67</v>
      </c>
      <c r="AV16" s="42">
        <v>54.14</v>
      </c>
      <c r="AW16" s="43">
        <v>157</v>
      </c>
      <c r="AX16" s="42">
        <f>0.43*SQRT(AW16)</f>
        <v>5.3878845570409171</v>
      </c>
      <c r="AY16" s="40">
        <v>19.61</v>
      </c>
      <c r="AZ16" s="41">
        <v>157</v>
      </c>
      <c r="BA16" s="40">
        <f>0.29*SQRT(AZ16)</f>
        <v>3.6336895849810835</v>
      </c>
      <c r="BB16" s="42"/>
      <c r="BC16" s="42"/>
      <c r="BD16" s="44" t="s">
        <v>749</v>
      </c>
      <c r="BE16" s="44">
        <v>30</v>
      </c>
      <c r="BF16" s="44">
        <v>30</v>
      </c>
    </row>
    <row r="17" spans="1:58" x14ac:dyDescent="0.2">
      <c r="A17" t="s">
        <v>786</v>
      </c>
      <c r="B17" s="8" t="s">
        <v>708</v>
      </c>
      <c r="C17" s="8">
        <v>2020</v>
      </c>
      <c r="D17" s="8" t="s">
        <v>312</v>
      </c>
      <c r="E17" s="8" t="s">
        <v>800</v>
      </c>
      <c r="F17" s="8" t="s">
        <v>804</v>
      </c>
      <c r="G17" s="36" t="s">
        <v>105</v>
      </c>
      <c r="H17" s="8" t="s">
        <v>106</v>
      </c>
      <c r="I17" s="8" t="s">
        <v>89</v>
      </c>
      <c r="J17" s="8" t="s">
        <v>709</v>
      </c>
      <c r="K17" s="8" t="s">
        <v>710</v>
      </c>
      <c r="L17" s="8" t="s">
        <v>711</v>
      </c>
      <c r="M17" s="8" t="s">
        <v>452</v>
      </c>
      <c r="N17" s="8" t="s">
        <v>56</v>
      </c>
      <c r="O17" s="37" t="s">
        <v>712</v>
      </c>
      <c r="P17" s="37" t="s">
        <v>57</v>
      </c>
      <c r="Q17" s="37" t="s">
        <v>57</v>
      </c>
      <c r="R17" s="37" t="s">
        <v>57</v>
      </c>
      <c r="S17" s="37" t="s">
        <v>58</v>
      </c>
      <c r="T17" s="37" t="s">
        <v>57</v>
      </c>
      <c r="U17" s="53" t="s">
        <v>712</v>
      </c>
      <c r="V17" s="53" t="s">
        <v>712</v>
      </c>
      <c r="W17" s="53" t="s">
        <v>57</v>
      </c>
      <c r="X17" s="53" t="s">
        <v>57</v>
      </c>
      <c r="Y17" s="53" t="s">
        <v>57</v>
      </c>
      <c r="Z17" s="53" t="s">
        <v>57</v>
      </c>
      <c r="AA17" s="36"/>
      <c r="AB17" s="36"/>
      <c r="AC17" s="36"/>
      <c r="AD17" s="36"/>
      <c r="AE17" s="36"/>
      <c r="AF17" s="36"/>
      <c r="AG17" s="8" t="s">
        <v>739</v>
      </c>
      <c r="AH17" s="8"/>
      <c r="AI17" s="8"/>
      <c r="AJ17" s="8" t="s">
        <v>395</v>
      </c>
      <c r="AK17" s="8"/>
      <c r="AL17" s="8"/>
      <c r="AM17" s="8"/>
      <c r="AN17" s="8"/>
      <c r="AO17" s="8"/>
      <c r="AP17" s="8"/>
      <c r="AQ17" s="8"/>
      <c r="AR17" s="8"/>
      <c r="AS17" s="20" t="s">
        <v>168</v>
      </c>
      <c r="AT17" s="20" t="s">
        <v>809</v>
      </c>
      <c r="AU17" s="20" t="s">
        <v>67</v>
      </c>
      <c r="AV17" s="24">
        <v>180.24</v>
      </c>
      <c r="AW17" s="25">
        <v>157</v>
      </c>
      <c r="AX17" s="24">
        <f>1.64*SQRT(AW17)</f>
        <v>20.549141101272333</v>
      </c>
      <c r="AY17" s="28">
        <v>279.73</v>
      </c>
      <c r="AZ17" s="29">
        <v>157</v>
      </c>
      <c r="BA17" s="28">
        <f>1.37*SQRT(AZ17)</f>
        <v>17.166050798014087</v>
      </c>
      <c r="BB17" s="42"/>
      <c r="BC17" s="42"/>
      <c r="BD17" s="44" t="s">
        <v>749</v>
      </c>
      <c r="BE17" s="44">
        <v>30</v>
      </c>
      <c r="BF17" s="44">
        <v>30</v>
      </c>
    </row>
    <row r="18" spans="1:58" x14ac:dyDescent="0.2">
      <c r="A18" t="s">
        <v>786</v>
      </c>
      <c r="B18" s="8" t="s">
        <v>708</v>
      </c>
      <c r="C18" s="8">
        <v>2020</v>
      </c>
      <c r="D18" s="8" t="s">
        <v>87</v>
      </c>
      <c r="E18" s="8" t="s">
        <v>88</v>
      </c>
      <c r="F18" s="8" t="s">
        <v>807</v>
      </c>
      <c r="G18" s="8" t="s">
        <v>88</v>
      </c>
      <c r="H18" s="8" t="s">
        <v>88</v>
      </c>
      <c r="I18" s="8" t="s">
        <v>89</v>
      </c>
      <c r="J18" s="8" t="s">
        <v>709</v>
      </c>
      <c r="K18" s="8" t="s">
        <v>710</v>
      </c>
      <c r="L18" s="8" t="s">
        <v>711</v>
      </c>
      <c r="M18" s="8" t="s">
        <v>452</v>
      </c>
      <c r="N18" s="8" t="s">
        <v>56</v>
      </c>
      <c r="O18" s="37" t="s">
        <v>712</v>
      </c>
      <c r="P18" s="37" t="s">
        <v>57</v>
      </c>
      <c r="Q18" s="37" t="s">
        <v>57</v>
      </c>
      <c r="R18" s="37" t="s">
        <v>57</v>
      </c>
      <c r="S18" s="37" t="s">
        <v>58</v>
      </c>
      <c r="T18" s="37" t="s">
        <v>57</v>
      </c>
      <c r="U18" s="53" t="s">
        <v>712</v>
      </c>
      <c r="V18" s="53" t="s">
        <v>712</v>
      </c>
      <c r="W18" s="53" t="s">
        <v>57</v>
      </c>
      <c r="X18" s="53" t="s">
        <v>57</v>
      </c>
      <c r="Y18" s="53" t="s">
        <v>57</v>
      </c>
      <c r="Z18" s="53" t="s">
        <v>57</v>
      </c>
      <c r="AA18" s="36"/>
      <c r="AB18" s="36"/>
      <c r="AC18" s="36"/>
      <c r="AD18" s="36"/>
      <c r="AE18" s="36"/>
      <c r="AF18" s="36"/>
      <c r="AG18" s="8" t="s">
        <v>740</v>
      </c>
      <c r="AH18" s="8"/>
      <c r="AI18" s="8"/>
      <c r="AJ18" s="8" t="s">
        <v>395</v>
      </c>
      <c r="AK18" s="8"/>
      <c r="AL18" s="8"/>
      <c r="AM18" s="8"/>
      <c r="AN18" s="8"/>
      <c r="AO18" s="8"/>
      <c r="AP18" s="8"/>
      <c r="AQ18" s="8"/>
      <c r="AR18" s="8"/>
      <c r="AS18" s="20" t="s">
        <v>168</v>
      </c>
      <c r="AT18" s="20" t="s">
        <v>809</v>
      </c>
      <c r="AU18" s="20" t="s">
        <v>67</v>
      </c>
      <c r="AV18" s="24">
        <v>180.88</v>
      </c>
      <c r="AW18" s="25">
        <v>157</v>
      </c>
      <c r="AX18" s="24">
        <f>1.67*SQRT(AW18)</f>
        <v>20.925040023856585</v>
      </c>
      <c r="AY18" s="28">
        <v>182.36</v>
      </c>
      <c r="AZ18" s="29">
        <v>157</v>
      </c>
      <c r="BA18" s="28">
        <f>1.82*SQRT(AZ18)</f>
        <v>22.804534636777834</v>
      </c>
      <c r="BB18" s="42"/>
      <c r="BC18" s="42"/>
      <c r="BD18" s="44" t="s">
        <v>749</v>
      </c>
      <c r="BE18" s="44">
        <v>30</v>
      </c>
      <c r="BF18" s="44">
        <v>30</v>
      </c>
    </row>
    <row r="19" spans="1:58" x14ac:dyDescent="0.2">
      <c r="A19" t="s">
        <v>786</v>
      </c>
      <c r="B19" s="8" t="s">
        <v>708</v>
      </c>
      <c r="C19" s="8">
        <v>2020</v>
      </c>
      <c r="D19" s="8" t="s">
        <v>87</v>
      </c>
      <c r="E19" s="8" t="s">
        <v>88</v>
      </c>
      <c r="F19" s="8" t="s">
        <v>807</v>
      </c>
      <c r="G19" s="8" t="s">
        <v>88</v>
      </c>
      <c r="H19" s="8" t="s">
        <v>88</v>
      </c>
      <c r="I19" s="8" t="s">
        <v>89</v>
      </c>
      <c r="J19" s="8" t="s">
        <v>709</v>
      </c>
      <c r="K19" s="8" t="s">
        <v>710</v>
      </c>
      <c r="L19" s="8" t="s">
        <v>711</v>
      </c>
      <c r="M19" s="8" t="s">
        <v>452</v>
      </c>
      <c r="N19" s="8" t="s">
        <v>56</v>
      </c>
      <c r="O19" s="37" t="s">
        <v>712</v>
      </c>
      <c r="P19" s="37" t="s">
        <v>57</v>
      </c>
      <c r="Q19" s="37" t="s">
        <v>57</v>
      </c>
      <c r="R19" s="37" t="s">
        <v>57</v>
      </c>
      <c r="S19" s="37" t="s">
        <v>58</v>
      </c>
      <c r="T19" s="37" t="s">
        <v>57</v>
      </c>
      <c r="U19" s="53" t="s">
        <v>712</v>
      </c>
      <c r="V19" s="53" t="s">
        <v>712</v>
      </c>
      <c r="W19" s="53" t="s">
        <v>57</v>
      </c>
      <c r="X19" s="53" t="s">
        <v>57</v>
      </c>
      <c r="Y19" s="53" t="s">
        <v>57</v>
      </c>
      <c r="Z19" s="53" t="s">
        <v>57</v>
      </c>
      <c r="AA19" s="36"/>
      <c r="AB19" s="36"/>
      <c r="AC19" s="36"/>
      <c r="AD19" s="36"/>
      <c r="AE19" s="36"/>
      <c r="AF19" s="36"/>
      <c r="AG19" s="8" t="s">
        <v>740</v>
      </c>
      <c r="AH19" s="8"/>
      <c r="AI19" s="8"/>
      <c r="AJ19" s="8" t="s">
        <v>395</v>
      </c>
      <c r="AK19" s="8"/>
      <c r="AL19" s="8"/>
      <c r="AM19" s="8"/>
      <c r="AN19" s="8"/>
      <c r="AO19" s="8"/>
      <c r="AP19" s="8"/>
      <c r="AQ19" s="8"/>
      <c r="AR19" s="8"/>
      <c r="AS19" s="13" t="s">
        <v>65</v>
      </c>
      <c r="AT19" s="13" t="s">
        <v>808</v>
      </c>
      <c r="AU19" s="13" t="s">
        <v>67</v>
      </c>
      <c r="AV19" s="42">
        <v>55.36</v>
      </c>
      <c r="AW19" s="43">
        <v>157</v>
      </c>
      <c r="AX19" s="42">
        <f>0.45*SQRT(AW19)</f>
        <v>5.6384838387637508</v>
      </c>
      <c r="AY19" s="40">
        <v>53.87</v>
      </c>
      <c r="AZ19" s="41">
        <v>157</v>
      </c>
      <c r="BA19" s="40">
        <f>0.49*SQRT(AZ19)</f>
        <v>6.1396824022094174</v>
      </c>
      <c r="BB19" s="42"/>
      <c r="BC19" s="42"/>
      <c r="BD19" s="44" t="s">
        <v>749</v>
      </c>
      <c r="BE19" s="44">
        <v>30</v>
      </c>
      <c r="BF19" s="44">
        <v>30</v>
      </c>
    </row>
    <row r="20" spans="1:58" x14ac:dyDescent="0.2">
      <c r="A20" t="s">
        <v>787</v>
      </c>
      <c r="B20" s="17" t="s">
        <v>117</v>
      </c>
      <c r="C20" s="17">
        <v>2011</v>
      </c>
      <c r="D20" s="17" t="s">
        <v>118</v>
      </c>
      <c r="E20" s="17" t="s">
        <v>792</v>
      </c>
      <c r="F20" s="17" t="s">
        <v>793</v>
      </c>
      <c r="G20" s="32" t="s">
        <v>105</v>
      </c>
      <c r="H20" s="8" t="s">
        <v>106</v>
      </c>
      <c r="I20" s="17" t="s">
        <v>119</v>
      </c>
      <c r="J20" s="17" t="s">
        <v>120</v>
      </c>
      <c r="K20" s="17" t="s">
        <v>91</v>
      </c>
      <c r="L20" s="17" t="s">
        <v>54</v>
      </c>
      <c r="M20" s="17" t="s">
        <v>121</v>
      </c>
      <c r="N20" s="17" t="s">
        <v>56</v>
      </c>
      <c r="O20" s="34" t="s">
        <v>93</v>
      </c>
      <c r="P20" s="34" t="s">
        <v>58</v>
      </c>
      <c r="Q20" s="34" t="s">
        <v>93</v>
      </c>
      <c r="R20" s="34" t="s">
        <v>57</v>
      </c>
      <c r="S20" s="34" t="s">
        <v>58</v>
      </c>
      <c r="T20" s="34" t="s">
        <v>57</v>
      </c>
      <c r="U20" s="51" t="s">
        <v>93</v>
      </c>
      <c r="V20" s="51" t="s">
        <v>58</v>
      </c>
      <c r="W20" s="51" t="s">
        <v>93</v>
      </c>
      <c r="X20" s="51" t="s">
        <v>57</v>
      </c>
      <c r="Y20" s="51" t="s">
        <v>58</v>
      </c>
      <c r="Z20" s="51" t="s">
        <v>57</v>
      </c>
      <c r="AA20" s="32" t="s">
        <v>122</v>
      </c>
      <c r="AB20" s="32" t="s">
        <v>123</v>
      </c>
      <c r="AC20" s="32" t="s">
        <v>124</v>
      </c>
      <c r="AD20" s="32" t="s">
        <v>125</v>
      </c>
      <c r="AE20" s="32"/>
      <c r="AF20" s="32"/>
      <c r="AG20" s="17" t="s">
        <v>126</v>
      </c>
      <c r="AH20" s="17"/>
      <c r="AI20" s="17"/>
      <c r="AJ20" s="17"/>
      <c r="AK20" s="17" t="s">
        <v>127</v>
      </c>
      <c r="AL20" s="17"/>
      <c r="AM20" s="17"/>
      <c r="AN20" s="17"/>
      <c r="AO20" s="17"/>
      <c r="AP20" s="17"/>
      <c r="AQ20" s="17" t="s">
        <v>64</v>
      </c>
      <c r="AR20" s="17"/>
      <c r="AS20" s="20" t="s">
        <v>168</v>
      </c>
      <c r="AT20" s="20" t="s">
        <v>169</v>
      </c>
      <c r="AU20" s="20" t="s">
        <v>101</v>
      </c>
      <c r="AV20" s="24"/>
      <c r="AW20" s="25"/>
      <c r="AX20" s="24"/>
      <c r="AY20" s="28">
        <v>0.32</v>
      </c>
      <c r="AZ20" s="29">
        <v>27</v>
      </c>
      <c r="BA20" s="28">
        <f>SQRT(AZ20+AZ21)*(BC20-BB20)*0.5/TINV(1-0.95,AZ20+AZ21-1)</f>
        <v>4.3315624529449908</v>
      </c>
      <c r="BB20" s="24">
        <v>-0.84</v>
      </c>
      <c r="BC20" s="24">
        <v>1.48</v>
      </c>
      <c r="BD20" s="22" t="s">
        <v>690</v>
      </c>
      <c r="BE20" s="22">
        <v>180</v>
      </c>
      <c r="BF20" s="22">
        <v>35</v>
      </c>
    </row>
    <row r="21" spans="1:58" x14ac:dyDescent="0.2">
      <c r="A21" t="s">
        <v>787</v>
      </c>
      <c r="B21" s="17" t="s">
        <v>117</v>
      </c>
      <c r="C21" s="17">
        <v>2011</v>
      </c>
      <c r="D21" s="17" t="s">
        <v>134</v>
      </c>
      <c r="E21" s="17" t="s">
        <v>88</v>
      </c>
      <c r="F21" s="8" t="s">
        <v>807</v>
      </c>
      <c r="G21" s="17" t="s">
        <v>88</v>
      </c>
      <c r="H21" s="17" t="s">
        <v>88</v>
      </c>
      <c r="I21" s="17" t="s">
        <v>119</v>
      </c>
      <c r="J21" s="17" t="s">
        <v>120</v>
      </c>
      <c r="K21" s="17" t="s">
        <v>91</v>
      </c>
      <c r="L21" s="17" t="s">
        <v>54</v>
      </c>
      <c r="M21" s="17" t="s">
        <v>121</v>
      </c>
      <c r="N21" s="17" t="s">
        <v>56</v>
      </c>
      <c r="O21" s="34" t="s">
        <v>93</v>
      </c>
      <c r="P21" s="34" t="s">
        <v>58</v>
      </c>
      <c r="Q21" s="34" t="s">
        <v>93</v>
      </c>
      <c r="R21" s="34" t="s">
        <v>57</v>
      </c>
      <c r="S21" s="34" t="s">
        <v>58</v>
      </c>
      <c r="T21" s="34" t="s">
        <v>57</v>
      </c>
      <c r="U21" s="51" t="s">
        <v>93</v>
      </c>
      <c r="V21" s="51" t="s">
        <v>58</v>
      </c>
      <c r="W21" s="51" t="s">
        <v>93</v>
      </c>
      <c r="X21" s="51" t="s">
        <v>57</v>
      </c>
      <c r="Y21" s="51" t="s">
        <v>58</v>
      </c>
      <c r="Z21" s="51" t="s">
        <v>57</v>
      </c>
      <c r="AA21" s="32" t="s">
        <v>135</v>
      </c>
      <c r="AB21" s="32" t="s">
        <v>136</v>
      </c>
      <c r="AC21" s="32" t="s">
        <v>137</v>
      </c>
      <c r="AD21" s="32" t="s">
        <v>138</v>
      </c>
      <c r="AE21" s="32"/>
      <c r="AF21" s="32"/>
      <c r="AG21" s="17" t="s">
        <v>139</v>
      </c>
      <c r="AH21" s="17"/>
      <c r="AI21" s="17"/>
      <c r="AJ21" s="17"/>
      <c r="AK21" s="17" t="s">
        <v>140</v>
      </c>
      <c r="AL21" s="17"/>
      <c r="AM21" s="17"/>
      <c r="AN21" s="17"/>
      <c r="AO21" s="17"/>
      <c r="AP21" s="17"/>
      <c r="AQ21" s="17" t="s">
        <v>100</v>
      </c>
      <c r="AR21" s="17"/>
      <c r="AS21" s="20" t="s">
        <v>168</v>
      </c>
      <c r="AT21" s="20" t="s">
        <v>169</v>
      </c>
      <c r="AU21" s="20" t="s">
        <v>101</v>
      </c>
      <c r="AV21" s="24"/>
      <c r="AW21" s="25"/>
      <c r="AX21" s="24"/>
      <c r="AY21" s="28"/>
      <c r="AZ21" s="29">
        <v>29</v>
      </c>
      <c r="BA21" s="28"/>
      <c r="BB21" s="24"/>
      <c r="BC21" s="24"/>
      <c r="BD21" s="22" t="s">
        <v>690</v>
      </c>
      <c r="BE21" s="22">
        <v>180</v>
      </c>
      <c r="BF21" s="22">
        <v>35</v>
      </c>
    </row>
    <row r="22" spans="1:58" x14ac:dyDescent="0.2">
      <c r="A22" t="s">
        <v>787</v>
      </c>
      <c r="B22" s="17" t="s">
        <v>117</v>
      </c>
      <c r="C22" s="17">
        <v>2011</v>
      </c>
      <c r="D22" s="17" t="s">
        <v>118</v>
      </c>
      <c r="E22" s="17" t="s">
        <v>792</v>
      </c>
      <c r="F22" s="17" t="s">
        <v>793</v>
      </c>
      <c r="G22" s="32" t="s">
        <v>105</v>
      </c>
      <c r="H22" s="8" t="s">
        <v>106</v>
      </c>
      <c r="I22" s="17" t="s">
        <v>119</v>
      </c>
      <c r="J22" s="17" t="s">
        <v>120</v>
      </c>
      <c r="K22" s="17" t="s">
        <v>91</v>
      </c>
      <c r="L22" s="17" t="s">
        <v>54</v>
      </c>
      <c r="M22" s="17" t="s">
        <v>121</v>
      </c>
      <c r="N22" s="17" t="s">
        <v>56</v>
      </c>
      <c r="O22" s="34" t="s">
        <v>93</v>
      </c>
      <c r="P22" s="34" t="s">
        <v>58</v>
      </c>
      <c r="Q22" s="34" t="s">
        <v>93</v>
      </c>
      <c r="R22" s="34" t="s">
        <v>57</v>
      </c>
      <c r="S22" s="34" t="s">
        <v>58</v>
      </c>
      <c r="T22" s="34" t="s">
        <v>57</v>
      </c>
      <c r="U22" s="51" t="s">
        <v>93</v>
      </c>
      <c r="V22" s="51" t="s">
        <v>58</v>
      </c>
      <c r="W22" s="51" t="s">
        <v>93</v>
      </c>
      <c r="X22" s="51" t="s">
        <v>57</v>
      </c>
      <c r="Y22" s="51" t="s">
        <v>58</v>
      </c>
      <c r="Z22" s="51" t="s">
        <v>57</v>
      </c>
      <c r="AA22" s="32" t="s">
        <v>122</v>
      </c>
      <c r="AB22" s="32" t="s">
        <v>123</v>
      </c>
      <c r="AC22" s="32" t="s">
        <v>124</v>
      </c>
      <c r="AD22" s="32" t="s">
        <v>125</v>
      </c>
      <c r="AE22" s="32"/>
      <c r="AF22" s="32"/>
      <c r="AG22" s="17" t="s">
        <v>126</v>
      </c>
      <c r="AH22" s="17"/>
      <c r="AI22" s="17"/>
      <c r="AJ22" s="17"/>
      <c r="AK22" s="17" t="s">
        <v>127</v>
      </c>
      <c r="AL22" s="17"/>
      <c r="AM22" s="17"/>
      <c r="AN22" s="17"/>
      <c r="AO22" s="17"/>
      <c r="AP22" s="17"/>
      <c r="AQ22" s="17" t="s">
        <v>64</v>
      </c>
      <c r="AR22" s="17"/>
      <c r="AS22" s="20" t="s">
        <v>128</v>
      </c>
      <c r="AT22" s="20" t="s">
        <v>776</v>
      </c>
      <c r="AU22" s="20" t="s">
        <v>101</v>
      </c>
      <c r="AV22" s="24"/>
      <c r="AW22" s="25"/>
      <c r="AX22" s="24"/>
      <c r="AY22" s="28">
        <v>-0.09</v>
      </c>
      <c r="AZ22" s="29">
        <v>27</v>
      </c>
      <c r="BA22" s="28">
        <f>SQRT(AZ22+AZ23)*(BC22-BB22)*0.5/TINV(1-0.95,AZ22+AZ23-1)</f>
        <v>2.0910991152148237</v>
      </c>
      <c r="BB22" s="24">
        <v>-0.64</v>
      </c>
      <c r="BC22" s="24">
        <v>0.48</v>
      </c>
      <c r="BD22" s="22" t="s">
        <v>690</v>
      </c>
      <c r="BE22" s="22">
        <v>180</v>
      </c>
      <c r="BF22" s="22">
        <v>35</v>
      </c>
    </row>
    <row r="23" spans="1:58" x14ac:dyDescent="0.2">
      <c r="A23" t="s">
        <v>787</v>
      </c>
      <c r="B23" s="17" t="s">
        <v>117</v>
      </c>
      <c r="C23" s="17">
        <v>2011</v>
      </c>
      <c r="D23" s="17" t="s">
        <v>134</v>
      </c>
      <c r="E23" s="17" t="s">
        <v>88</v>
      </c>
      <c r="F23" s="8" t="s">
        <v>807</v>
      </c>
      <c r="G23" s="17" t="s">
        <v>88</v>
      </c>
      <c r="H23" s="17" t="s">
        <v>88</v>
      </c>
      <c r="I23" s="17" t="s">
        <v>119</v>
      </c>
      <c r="J23" s="17" t="s">
        <v>120</v>
      </c>
      <c r="K23" s="17" t="s">
        <v>91</v>
      </c>
      <c r="L23" s="17" t="s">
        <v>54</v>
      </c>
      <c r="M23" s="17" t="s">
        <v>121</v>
      </c>
      <c r="N23" s="17" t="s">
        <v>56</v>
      </c>
      <c r="O23" s="34" t="s">
        <v>93</v>
      </c>
      <c r="P23" s="34" t="s">
        <v>58</v>
      </c>
      <c r="Q23" s="34" t="s">
        <v>93</v>
      </c>
      <c r="R23" s="34" t="s">
        <v>57</v>
      </c>
      <c r="S23" s="34" t="s">
        <v>58</v>
      </c>
      <c r="T23" s="34" t="s">
        <v>57</v>
      </c>
      <c r="U23" s="51" t="s">
        <v>93</v>
      </c>
      <c r="V23" s="51" t="s">
        <v>58</v>
      </c>
      <c r="W23" s="51" t="s">
        <v>93</v>
      </c>
      <c r="X23" s="51" t="s">
        <v>57</v>
      </c>
      <c r="Y23" s="51" t="s">
        <v>58</v>
      </c>
      <c r="Z23" s="51" t="s">
        <v>57</v>
      </c>
      <c r="AA23" s="32" t="s">
        <v>135</v>
      </c>
      <c r="AB23" s="32" t="s">
        <v>136</v>
      </c>
      <c r="AC23" s="32" t="s">
        <v>137</v>
      </c>
      <c r="AD23" s="32" t="s">
        <v>138</v>
      </c>
      <c r="AE23" s="32"/>
      <c r="AF23" s="32"/>
      <c r="AG23" s="17" t="s">
        <v>139</v>
      </c>
      <c r="AH23" s="17"/>
      <c r="AI23" s="17"/>
      <c r="AJ23" s="17"/>
      <c r="AK23" s="17" t="s">
        <v>140</v>
      </c>
      <c r="AL23" s="17"/>
      <c r="AM23" s="17"/>
      <c r="AN23" s="17"/>
      <c r="AO23" s="17"/>
      <c r="AP23" s="17"/>
      <c r="AQ23" s="17" t="s">
        <v>100</v>
      </c>
      <c r="AR23" s="17"/>
      <c r="AS23" s="20" t="s">
        <v>128</v>
      </c>
      <c r="AT23" s="20" t="s">
        <v>776</v>
      </c>
      <c r="AU23" s="20" t="s">
        <v>101</v>
      </c>
      <c r="AV23" s="24"/>
      <c r="AW23" s="25"/>
      <c r="AX23" s="24"/>
      <c r="AY23" s="28"/>
      <c r="AZ23" s="29">
        <v>29</v>
      </c>
      <c r="BA23" s="28"/>
      <c r="BB23" s="24"/>
      <c r="BC23" s="24"/>
      <c r="BD23" s="22" t="s">
        <v>690</v>
      </c>
      <c r="BE23" s="22">
        <v>180</v>
      </c>
      <c r="BF23" s="22">
        <v>35</v>
      </c>
    </row>
    <row r="24" spans="1:58" x14ac:dyDescent="0.2">
      <c r="A24" t="s">
        <v>787</v>
      </c>
      <c r="B24" s="17" t="s">
        <v>117</v>
      </c>
      <c r="C24" s="17">
        <v>2011</v>
      </c>
      <c r="D24" s="17" t="s">
        <v>118</v>
      </c>
      <c r="E24" s="17" t="s">
        <v>792</v>
      </c>
      <c r="F24" s="17" t="s">
        <v>793</v>
      </c>
      <c r="G24" s="32" t="s">
        <v>105</v>
      </c>
      <c r="H24" s="8" t="s">
        <v>106</v>
      </c>
      <c r="I24" s="17" t="s">
        <v>119</v>
      </c>
      <c r="J24" s="17" t="s">
        <v>120</v>
      </c>
      <c r="K24" s="17" t="s">
        <v>91</v>
      </c>
      <c r="L24" s="17" t="s">
        <v>54</v>
      </c>
      <c r="M24" s="17" t="s">
        <v>121</v>
      </c>
      <c r="N24" s="17" t="s">
        <v>56</v>
      </c>
      <c r="O24" s="34" t="s">
        <v>93</v>
      </c>
      <c r="P24" s="34" t="s">
        <v>58</v>
      </c>
      <c r="Q24" s="34" t="s">
        <v>93</v>
      </c>
      <c r="R24" s="34" t="s">
        <v>57</v>
      </c>
      <c r="S24" s="34" t="s">
        <v>58</v>
      </c>
      <c r="T24" s="34" t="s">
        <v>57</v>
      </c>
      <c r="U24" s="51" t="s">
        <v>93</v>
      </c>
      <c r="V24" s="51" t="s">
        <v>58</v>
      </c>
      <c r="W24" s="51" t="s">
        <v>93</v>
      </c>
      <c r="X24" s="51" t="s">
        <v>57</v>
      </c>
      <c r="Y24" s="51" t="s">
        <v>58</v>
      </c>
      <c r="Z24" s="51" t="s">
        <v>57</v>
      </c>
      <c r="AA24" s="32" t="s">
        <v>122</v>
      </c>
      <c r="AB24" s="32" t="s">
        <v>123</v>
      </c>
      <c r="AC24" s="32" t="s">
        <v>124</v>
      </c>
      <c r="AD24" s="32" t="s">
        <v>125</v>
      </c>
      <c r="AE24" s="32"/>
      <c r="AF24" s="32"/>
      <c r="AG24" s="17" t="s">
        <v>126</v>
      </c>
      <c r="AH24" s="17"/>
      <c r="AI24" s="17"/>
      <c r="AJ24" s="17"/>
      <c r="AK24" s="17" t="s">
        <v>127</v>
      </c>
      <c r="AL24" s="17"/>
      <c r="AM24" s="17"/>
      <c r="AN24" s="17"/>
      <c r="AO24" s="17"/>
      <c r="AP24" s="17"/>
      <c r="AQ24" s="17" t="s">
        <v>64</v>
      </c>
      <c r="AR24" s="17"/>
      <c r="AS24" s="20" t="s">
        <v>165</v>
      </c>
      <c r="AT24" s="20" t="s">
        <v>166</v>
      </c>
      <c r="AU24" s="20" t="s">
        <v>101</v>
      </c>
      <c r="AV24" s="24"/>
      <c r="AW24" s="25"/>
      <c r="AX24" s="24"/>
      <c r="AY24" s="28">
        <v>-0.1</v>
      </c>
      <c r="AZ24" s="29">
        <v>27</v>
      </c>
      <c r="BA24" s="28">
        <f>SQRT(AZ24+AZ25)*(BC24-BB24)*0.5/TINV(1-0.95,AZ24+AZ25-1)</f>
        <v>2.12844017084366</v>
      </c>
      <c r="BB24" s="24">
        <v>-0.66</v>
      </c>
      <c r="BC24" s="24">
        <v>0.48</v>
      </c>
      <c r="BD24" s="22" t="s">
        <v>690</v>
      </c>
      <c r="BE24" s="22">
        <v>180</v>
      </c>
      <c r="BF24" s="22">
        <v>35</v>
      </c>
    </row>
    <row r="25" spans="1:58" x14ac:dyDescent="0.2">
      <c r="A25" t="s">
        <v>787</v>
      </c>
      <c r="B25" s="17" t="s">
        <v>117</v>
      </c>
      <c r="C25" s="17">
        <v>2011</v>
      </c>
      <c r="D25" s="17" t="s">
        <v>134</v>
      </c>
      <c r="E25" s="17" t="s">
        <v>88</v>
      </c>
      <c r="F25" s="8" t="s">
        <v>807</v>
      </c>
      <c r="G25" s="17" t="s">
        <v>88</v>
      </c>
      <c r="H25" s="17" t="s">
        <v>88</v>
      </c>
      <c r="I25" s="17" t="s">
        <v>119</v>
      </c>
      <c r="J25" s="17" t="s">
        <v>120</v>
      </c>
      <c r="K25" s="17" t="s">
        <v>91</v>
      </c>
      <c r="L25" s="17" t="s">
        <v>54</v>
      </c>
      <c r="M25" s="17" t="s">
        <v>121</v>
      </c>
      <c r="N25" s="17" t="s">
        <v>56</v>
      </c>
      <c r="O25" s="34" t="s">
        <v>93</v>
      </c>
      <c r="P25" s="34" t="s">
        <v>58</v>
      </c>
      <c r="Q25" s="34" t="s">
        <v>93</v>
      </c>
      <c r="R25" s="34" t="s">
        <v>57</v>
      </c>
      <c r="S25" s="34" t="s">
        <v>58</v>
      </c>
      <c r="T25" s="34" t="s">
        <v>57</v>
      </c>
      <c r="U25" s="51" t="s">
        <v>93</v>
      </c>
      <c r="V25" s="51" t="s">
        <v>58</v>
      </c>
      <c r="W25" s="51" t="s">
        <v>93</v>
      </c>
      <c r="X25" s="51" t="s">
        <v>57</v>
      </c>
      <c r="Y25" s="51" t="s">
        <v>58</v>
      </c>
      <c r="Z25" s="51" t="s">
        <v>57</v>
      </c>
      <c r="AA25" s="32" t="s">
        <v>135</v>
      </c>
      <c r="AB25" s="32" t="s">
        <v>136</v>
      </c>
      <c r="AC25" s="32" t="s">
        <v>137</v>
      </c>
      <c r="AD25" s="32" t="s">
        <v>138</v>
      </c>
      <c r="AE25" s="32"/>
      <c r="AF25" s="32"/>
      <c r="AG25" s="17" t="s">
        <v>139</v>
      </c>
      <c r="AH25" s="17"/>
      <c r="AI25" s="17"/>
      <c r="AJ25" s="17"/>
      <c r="AK25" s="17" t="s">
        <v>140</v>
      </c>
      <c r="AL25" s="17"/>
      <c r="AM25" s="17"/>
      <c r="AN25" s="17"/>
      <c r="AO25" s="17"/>
      <c r="AP25" s="17"/>
      <c r="AQ25" s="17" t="s">
        <v>100</v>
      </c>
      <c r="AR25" s="17"/>
      <c r="AS25" s="20" t="s">
        <v>165</v>
      </c>
      <c r="AT25" s="20" t="s">
        <v>166</v>
      </c>
      <c r="AU25" s="20" t="s">
        <v>101</v>
      </c>
      <c r="AV25" s="24"/>
      <c r="AW25" s="25"/>
      <c r="AX25" s="24"/>
      <c r="AY25" s="28"/>
      <c r="AZ25" s="29">
        <v>29</v>
      </c>
      <c r="BA25" s="28"/>
      <c r="BB25" s="24"/>
      <c r="BC25" s="24"/>
      <c r="BD25" s="22" t="s">
        <v>690</v>
      </c>
      <c r="BE25" s="22">
        <v>180</v>
      </c>
      <c r="BF25" s="22">
        <v>35</v>
      </c>
    </row>
    <row r="26" spans="1:58" x14ac:dyDescent="0.2">
      <c r="A26" t="s">
        <v>787</v>
      </c>
      <c r="B26" s="17" t="s">
        <v>117</v>
      </c>
      <c r="C26" s="17">
        <v>2011</v>
      </c>
      <c r="D26" s="17" t="s">
        <v>118</v>
      </c>
      <c r="E26" s="17" t="s">
        <v>792</v>
      </c>
      <c r="F26" s="17" t="s">
        <v>793</v>
      </c>
      <c r="G26" s="32" t="s">
        <v>105</v>
      </c>
      <c r="H26" s="8" t="s">
        <v>106</v>
      </c>
      <c r="I26" s="17" t="s">
        <v>119</v>
      </c>
      <c r="J26" s="17" t="s">
        <v>120</v>
      </c>
      <c r="K26" s="17" t="s">
        <v>91</v>
      </c>
      <c r="L26" s="17" t="s">
        <v>54</v>
      </c>
      <c r="M26" s="17" t="s">
        <v>121</v>
      </c>
      <c r="N26" s="17" t="s">
        <v>56</v>
      </c>
      <c r="O26" s="34" t="s">
        <v>93</v>
      </c>
      <c r="P26" s="34" t="s">
        <v>58</v>
      </c>
      <c r="Q26" s="34" t="s">
        <v>93</v>
      </c>
      <c r="R26" s="34" t="s">
        <v>57</v>
      </c>
      <c r="S26" s="34" t="s">
        <v>58</v>
      </c>
      <c r="T26" s="34" t="s">
        <v>57</v>
      </c>
      <c r="U26" s="51" t="s">
        <v>93</v>
      </c>
      <c r="V26" s="51" t="s">
        <v>58</v>
      </c>
      <c r="W26" s="51" t="s">
        <v>93</v>
      </c>
      <c r="X26" s="51" t="s">
        <v>57</v>
      </c>
      <c r="Y26" s="51" t="s">
        <v>58</v>
      </c>
      <c r="Z26" s="51" t="s">
        <v>57</v>
      </c>
      <c r="AA26" s="32" t="s">
        <v>122</v>
      </c>
      <c r="AB26" s="32" t="s">
        <v>123</v>
      </c>
      <c r="AC26" s="32" t="s">
        <v>124</v>
      </c>
      <c r="AD26" s="32" t="s">
        <v>125</v>
      </c>
      <c r="AE26" s="32"/>
      <c r="AF26" s="32"/>
      <c r="AG26" s="17" t="s">
        <v>126</v>
      </c>
      <c r="AH26" s="17"/>
      <c r="AI26" s="17"/>
      <c r="AJ26" s="17"/>
      <c r="AK26" s="17" t="s">
        <v>127</v>
      </c>
      <c r="AL26" s="17"/>
      <c r="AM26" s="17"/>
      <c r="AN26" s="17"/>
      <c r="AO26" s="17"/>
      <c r="AP26" s="17"/>
      <c r="AQ26" s="17" t="s">
        <v>64</v>
      </c>
      <c r="AR26" s="17"/>
      <c r="AS26" s="20" t="s">
        <v>165</v>
      </c>
      <c r="AT26" s="20" t="s">
        <v>152</v>
      </c>
      <c r="AU26" s="20" t="s">
        <v>101</v>
      </c>
      <c r="AV26" s="24"/>
      <c r="AW26" s="25"/>
      <c r="AX26" s="24"/>
      <c r="AY26" s="28">
        <v>-0.14000000000000001</v>
      </c>
      <c r="AZ26" s="29">
        <v>27</v>
      </c>
      <c r="BA26" s="28">
        <f>SQRT(AZ26+AZ27)*(BC26-BB26)*0.5/TINV(1-0.95,AZ26+AZ27-1)</f>
        <v>1.9790759483283149</v>
      </c>
      <c r="BB26" s="24">
        <v>-0.66</v>
      </c>
      <c r="BC26" s="24">
        <v>0.4</v>
      </c>
      <c r="BD26" s="22" t="s">
        <v>690</v>
      </c>
      <c r="BE26" s="22">
        <v>180</v>
      </c>
      <c r="BF26" s="22">
        <v>35</v>
      </c>
    </row>
    <row r="27" spans="1:58" x14ac:dyDescent="0.2">
      <c r="A27" t="s">
        <v>787</v>
      </c>
      <c r="B27" s="17" t="s">
        <v>117</v>
      </c>
      <c r="C27" s="17">
        <v>2011</v>
      </c>
      <c r="D27" s="17" t="s">
        <v>134</v>
      </c>
      <c r="E27" s="17" t="s">
        <v>88</v>
      </c>
      <c r="F27" s="8" t="s">
        <v>807</v>
      </c>
      <c r="G27" s="17" t="s">
        <v>88</v>
      </c>
      <c r="H27" s="17" t="s">
        <v>88</v>
      </c>
      <c r="I27" s="17" t="s">
        <v>119</v>
      </c>
      <c r="J27" s="17" t="s">
        <v>120</v>
      </c>
      <c r="K27" s="17" t="s">
        <v>91</v>
      </c>
      <c r="L27" s="17" t="s">
        <v>54</v>
      </c>
      <c r="M27" s="17" t="s">
        <v>121</v>
      </c>
      <c r="N27" s="17" t="s">
        <v>56</v>
      </c>
      <c r="O27" s="34" t="s">
        <v>93</v>
      </c>
      <c r="P27" s="34" t="s">
        <v>58</v>
      </c>
      <c r="Q27" s="34" t="s">
        <v>93</v>
      </c>
      <c r="R27" s="34" t="s">
        <v>57</v>
      </c>
      <c r="S27" s="34" t="s">
        <v>58</v>
      </c>
      <c r="T27" s="34" t="s">
        <v>57</v>
      </c>
      <c r="U27" s="51" t="s">
        <v>93</v>
      </c>
      <c r="V27" s="51" t="s">
        <v>58</v>
      </c>
      <c r="W27" s="51" t="s">
        <v>93</v>
      </c>
      <c r="X27" s="51" t="s">
        <v>57</v>
      </c>
      <c r="Y27" s="51" t="s">
        <v>58</v>
      </c>
      <c r="Z27" s="51" t="s">
        <v>57</v>
      </c>
      <c r="AA27" s="32" t="s">
        <v>135</v>
      </c>
      <c r="AB27" s="32" t="s">
        <v>136</v>
      </c>
      <c r="AC27" s="32" t="s">
        <v>137</v>
      </c>
      <c r="AD27" s="32" t="s">
        <v>138</v>
      </c>
      <c r="AE27" s="32"/>
      <c r="AF27" s="32"/>
      <c r="AG27" s="17" t="s">
        <v>139</v>
      </c>
      <c r="AH27" s="17"/>
      <c r="AI27" s="17"/>
      <c r="AJ27" s="17"/>
      <c r="AK27" s="17" t="s">
        <v>140</v>
      </c>
      <c r="AL27" s="17"/>
      <c r="AM27" s="17"/>
      <c r="AN27" s="17"/>
      <c r="AO27" s="17"/>
      <c r="AP27" s="17"/>
      <c r="AQ27" s="17" t="s">
        <v>100</v>
      </c>
      <c r="AR27" s="17"/>
      <c r="AS27" s="20" t="s">
        <v>165</v>
      </c>
      <c r="AT27" s="20" t="s">
        <v>152</v>
      </c>
      <c r="AU27" s="20" t="s">
        <v>101</v>
      </c>
      <c r="AV27" s="24"/>
      <c r="AW27" s="25"/>
      <c r="AX27" s="24"/>
      <c r="AY27" s="28"/>
      <c r="AZ27" s="29">
        <v>29</v>
      </c>
      <c r="BA27" s="28"/>
      <c r="BB27" s="24"/>
      <c r="BC27" s="24"/>
      <c r="BD27" s="22" t="s">
        <v>690</v>
      </c>
      <c r="BE27" s="22">
        <v>180</v>
      </c>
      <c r="BF27" s="22">
        <v>35</v>
      </c>
    </row>
    <row r="28" spans="1:58" x14ac:dyDescent="0.2">
      <c r="A28" t="s">
        <v>787</v>
      </c>
      <c r="B28" s="17" t="s">
        <v>117</v>
      </c>
      <c r="C28" s="17">
        <v>2011</v>
      </c>
      <c r="D28" s="17" t="s">
        <v>118</v>
      </c>
      <c r="E28" s="17" t="s">
        <v>792</v>
      </c>
      <c r="F28" s="17" t="s">
        <v>793</v>
      </c>
      <c r="G28" s="32" t="s">
        <v>105</v>
      </c>
      <c r="H28" s="8" t="s">
        <v>106</v>
      </c>
      <c r="I28" s="17" t="s">
        <v>119</v>
      </c>
      <c r="J28" s="17" t="s">
        <v>120</v>
      </c>
      <c r="K28" s="17" t="s">
        <v>91</v>
      </c>
      <c r="L28" s="17" t="s">
        <v>54</v>
      </c>
      <c r="M28" s="17" t="s">
        <v>121</v>
      </c>
      <c r="N28" s="17" t="s">
        <v>56</v>
      </c>
      <c r="O28" s="34" t="s">
        <v>93</v>
      </c>
      <c r="P28" s="34" t="s">
        <v>58</v>
      </c>
      <c r="Q28" s="34" t="s">
        <v>93</v>
      </c>
      <c r="R28" s="34" t="s">
        <v>57</v>
      </c>
      <c r="S28" s="34" t="s">
        <v>58</v>
      </c>
      <c r="T28" s="34" t="s">
        <v>57</v>
      </c>
      <c r="U28" s="51" t="s">
        <v>93</v>
      </c>
      <c r="V28" s="51" t="s">
        <v>58</v>
      </c>
      <c r="W28" s="51" t="s">
        <v>93</v>
      </c>
      <c r="X28" s="51" t="s">
        <v>57</v>
      </c>
      <c r="Y28" s="51" t="s">
        <v>58</v>
      </c>
      <c r="Z28" s="51" t="s">
        <v>57</v>
      </c>
      <c r="AA28" s="32" t="s">
        <v>122</v>
      </c>
      <c r="AB28" s="32" t="s">
        <v>123</v>
      </c>
      <c r="AC28" s="32" t="s">
        <v>124</v>
      </c>
      <c r="AD28" s="32" t="s">
        <v>125</v>
      </c>
      <c r="AE28" s="32"/>
      <c r="AF28" s="32"/>
      <c r="AG28" s="17" t="s">
        <v>126</v>
      </c>
      <c r="AH28" s="17"/>
      <c r="AI28" s="17"/>
      <c r="AJ28" s="17"/>
      <c r="AK28" s="17" t="s">
        <v>127</v>
      </c>
      <c r="AL28" s="17"/>
      <c r="AM28" s="17"/>
      <c r="AN28" s="17"/>
      <c r="AO28" s="17"/>
      <c r="AP28" s="17"/>
      <c r="AQ28" s="17" t="s">
        <v>64</v>
      </c>
      <c r="AR28" s="17"/>
      <c r="AS28" s="20" t="s">
        <v>142</v>
      </c>
      <c r="AT28" s="20" t="s">
        <v>143</v>
      </c>
      <c r="AU28" s="20" t="s">
        <v>101</v>
      </c>
      <c r="AV28" s="24"/>
      <c r="AW28" s="25"/>
      <c r="AX28" s="24"/>
      <c r="AY28" s="28">
        <v>-0.22</v>
      </c>
      <c r="AZ28" s="29">
        <v>27</v>
      </c>
      <c r="BA28" s="28">
        <f>SQRT(AZ28+AZ29)*(BC28-BB28)*0.5/TINV(1-0.95,AZ28+AZ29-1)</f>
        <v>1.9604054205138968</v>
      </c>
      <c r="BB28" s="24">
        <v>-0.75</v>
      </c>
      <c r="BC28" s="24">
        <v>0.3</v>
      </c>
      <c r="BD28" s="22" t="s">
        <v>690</v>
      </c>
      <c r="BE28" s="22">
        <v>180</v>
      </c>
      <c r="BF28" s="22">
        <v>35</v>
      </c>
    </row>
    <row r="29" spans="1:58" x14ac:dyDescent="0.2">
      <c r="A29" t="s">
        <v>787</v>
      </c>
      <c r="B29" s="17" t="s">
        <v>117</v>
      </c>
      <c r="C29" s="17">
        <v>2011</v>
      </c>
      <c r="D29" s="17" t="s">
        <v>134</v>
      </c>
      <c r="E29" s="17" t="s">
        <v>88</v>
      </c>
      <c r="F29" s="8" t="s">
        <v>807</v>
      </c>
      <c r="G29" s="17" t="s">
        <v>88</v>
      </c>
      <c r="H29" s="17" t="s">
        <v>88</v>
      </c>
      <c r="I29" s="17" t="s">
        <v>119</v>
      </c>
      <c r="J29" s="17" t="s">
        <v>120</v>
      </c>
      <c r="K29" s="17" t="s">
        <v>91</v>
      </c>
      <c r="L29" s="17" t="s">
        <v>54</v>
      </c>
      <c r="M29" s="17" t="s">
        <v>121</v>
      </c>
      <c r="N29" s="17" t="s">
        <v>56</v>
      </c>
      <c r="O29" s="34" t="s">
        <v>93</v>
      </c>
      <c r="P29" s="34" t="s">
        <v>58</v>
      </c>
      <c r="Q29" s="34" t="s">
        <v>93</v>
      </c>
      <c r="R29" s="34" t="s">
        <v>57</v>
      </c>
      <c r="S29" s="34" t="s">
        <v>58</v>
      </c>
      <c r="T29" s="34" t="s">
        <v>57</v>
      </c>
      <c r="U29" s="51" t="s">
        <v>93</v>
      </c>
      <c r="V29" s="51" t="s">
        <v>58</v>
      </c>
      <c r="W29" s="51" t="s">
        <v>93</v>
      </c>
      <c r="X29" s="51" t="s">
        <v>57</v>
      </c>
      <c r="Y29" s="51" t="s">
        <v>58</v>
      </c>
      <c r="Z29" s="51" t="s">
        <v>57</v>
      </c>
      <c r="AA29" s="32" t="s">
        <v>135</v>
      </c>
      <c r="AB29" s="32" t="s">
        <v>136</v>
      </c>
      <c r="AC29" s="32" t="s">
        <v>137</v>
      </c>
      <c r="AD29" s="32" t="s">
        <v>138</v>
      </c>
      <c r="AE29" s="32"/>
      <c r="AF29" s="32"/>
      <c r="AG29" s="17" t="s">
        <v>139</v>
      </c>
      <c r="AH29" s="17"/>
      <c r="AI29" s="17"/>
      <c r="AJ29" s="17"/>
      <c r="AK29" s="17" t="s">
        <v>140</v>
      </c>
      <c r="AL29" s="17"/>
      <c r="AM29" s="17"/>
      <c r="AN29" s="17"/>
      <c r="AO29" s="17"/>
      <c r="AP29" s="17"/>
      <c r="AQ29" s="17" t="s">
        <v>100</v>
      </c>
      <c r="AR29" s="17"/>
      <c r="AS29" s="20" t="s">
        <v>142</v>
      </c>
      <c r="AT29" s="20" t="s">
        <v>143</v>
      </c>
      <c r="AU29" s="20" t="s">
        <v>101</v>
      </c>
      <c r="AV29" s="24"/>
      <c r="AW29" s="25"/>
      <c r="AX29" s="24"/>
      <c r="AY29" s="28"/>
      <c r="AZ29" s="29">
        <v>29</v>
      </c>
      <c r="BA29" s="28"/>
      <c r="BC29" s="24"/>
      <c r="BD29" s="22" t="s">
        <v>690</v>
      </c>
      <c r="BE29" s="22">
        <v>180</v>
      </c>
      <c r="BF29" s="22">
        <v>35</v>
      </c>
    </row>
    <row r="30" spans="1:58" x14ac:dyDescent="0.2">
      <c r="A30" t="s">
        <v>787</v>
      </c>
      <c r="B30" s="17" t="s">
        <v>117</v>
      </c>
      <c r="C30" s="17">
        <v>2011</v>
      </c>
      <c r="D30" s="17" t="s">
        <v>118</v>
      </c>
      <c r="E30" s="17" t="s">
        <v>792</v>
      </c>
      <c r="F30" s="17" t="s">
        <v>793</v>
      </c>
      <c r="G30" s="32" t="s">
        <v>105</v>
      </c>
      <c r="H30" s="8" t="s">
        <v>106</v>
      </c>
      <c r="I30" s="17" t="s">
        <v>119</v>
      </c>
      <c r="J30" s="17" t="s">
        <v>120</v>
      </c>
      <c r="K30" s="17" t="s">
        <v>91</v>
      </c>
      <c r="L30" s="17" t="s">
        <v>54</v>
      </c>
      <c r="M30" s="17" t="s">
        <v>121</v>
      </c>
      <c r="N30" s="17" t="s">
        <v>56</v>
      </c>
      <c r="O30" s="34" t="s">
        <v>93</v>
      </c>
      <c r="P30" s="34" t="s">
        <v>58</v>
      </c>
      <c r="Q30" s="34" t="s">
        <v>93</v>
      </c>
      <c r="R30" s="34" t="s">
        <v>57</v>
      </c>
      <c r="S30" s="34" t="s">
        <v>58</v>
      </c>
      <c r="T30" s="34" t="s">
        <v>57</v>
      </c>
      <c r="U30" s="51" t="s">
        <v>93</v>
      </c>
      <c r="V30" s="51" t="s">
        <v>58</v>
      </c>
      <c r="W30" s="51" t="s">
        <v>93</v>
      </c>
      <c r="X30" s="51" t="s">
        <v>57</v>
      </c>
      <c r="Y30" s="51" t="s">
        <v>58</v>
      </c>
      <c r="Z30" s="51" t="s">
        <v>57</v>
      </c>
      <c r="AA30" s="32" t="s">
        <v>122</v>
      </c>
      <c r="AB30" s="32" t="s">
        <v>123</v>
      </c>
      <c r="AC30" s="32" t="s">
        <v>124</v>
      </c>
      <c r="AD30" s="32" t="s">
        <v>125</v>
      </c>
      <c r="AE30" s="32"/>
      <c r="AF30" s="32"/>
      <c r="AG30" s="17" t="s">
        <v>126</v>
      </c>
      <c r="AH30" s="17"/>
      <c r="AI30" s="17"/>
      <c r="AJ30" s="17"/>
      <c r="AK30" s="17" t="s">
        <v>127</v>
      </c>
      <c r="AL30" s="17"/>
      <c r="AM30" s="17"/>
      <c r="AN30" s="17"/>
      <c r="AO30" s="17"/>
      <c r="AP30" s="17"/>
      <c r="AQ30" s="17" t="s">
        <v>64</v>
      </c>
      <c r="AR30" s="17"/>
      <c r="AS30" s="20" t="s">
        <v>766</v>
      </c>
      <c r="AT30" s="20" t="s">
        <v>143</v>
      </c>
      <c r="AU30" s="20" t="s">
        <v>101</v>
      </c>
      <c r="AV30" s="24"/>
      <c r="AW30" s="25"/>
      <c r="AX30" s="24"/>
      <c r="AY30" s="28">
        <v>0.1</v>
      </c>
      <c r="AZ30" s="29">
        <v>27</v>
      </c>
      <c r="BA30" s="28">
        <f>SQRT(AZ30+AZ31)*(BC30-BB30)*0.5/TINV(1-0.95,AZ30+AZ31-1)</f>
        <v>2.1471106986580772</v>
      </c>
      <c r="BB30" s="24">
        <v>-0.47</v>
      </c>
      <c r="BC30" s="24">
        <v>0.68</v>
      </c>
      <c r="BD30" s="22" t="s">
        <v>690</v>
      </c>
      <c r="BE30" s="22">
        <v>180</v>
      </c>
      <c r="BF30" s="22">
        <v>35</v>
      </c>
    </row>
    <row r="31" spans="1:58" x14ac:dyDescent="0.2">
      <c r="A31" t="s">
        <v>787</v>
      </c>
      <c r="B31" s="17" t="s">
        <v>117</v>
      </c>
      <c r="C31" s="17">
        <v>2011</v>
      </c>
      <c r="D31" s="17" t="s">
        <v>134</v>
      </c>
      <c r="E31" s="17" t="s">
        <v>88</v>
      </c>
      <c r="F31" s="8" t="s">
        <v>807</v>
      </c>
      <c r="G31" s="17" t="s">
        <v>88</v>
      </c>
      <c r="H31" s="17" t="s">
        <v>88</v>
      </c>
      <c r="I31" s="17" t="s">
        <v>119</v>
      </c>
      <c r="J31" s="17" t="s">
        <v>120</v>
      </c>
      <c r="K31" s="17" t="s">
        <v>91</v>
      </c>
      <c r="L31" s="17" t="s">
        <v>54</v>
      </c>
      <c r="M31" s="17" t="s">
        <v>121</v>
      </c>
      <c r="N31" s="17" t="s">
        <v>56</v>
      </c>
      <c r="O31" s="34" t="s">
        <v>93</v>
      </c>
      <c r="P31" s="34" t="s">
        <v>58</v>
      </c>
      <c r="Q31" s="34" t="s">
        <v>93</v>
      </c>
      <c r="R31" s="34" t="s">
        <v>57</v>
      </c>
      <c r="S31" s="34" t="s">
        <v>58</v>
      </c>
      <c r="T31" s="34" t="s">
        <v>57</v>
      </c>
      <c r="U31" s="51" t="s">
        <v>93</v>
      </c>
      <c r="V31" s="51" t="s">
        <v>58</v>
      </c>
      <c r="W31" s="51" t="s">
        <v>93</v>
      </c>
      <c r="X31" s="51" t="s">
        <v>57</v>
      </c>
      <c r="Y31" s="51" t="s">
        <v>58</v>
      </c>
      <c r="Z31" s="51" t="s">
        <v>57</v>
      </c>
      <c r="AA31" s="32" t="s">
        <v>135</v>
      </c>
      <c r="AB31" s="32" t="s">
        <v>136</v>
      </c>
      <c r="AC31" s="32" t="s">
        <v>137</v>
      </c>
      <c r="AD31" s="32" t="s">
        <v>138</v>
      </c>
      <c r="AE31" s="32"/>
      <c r="AF31" s="32"/>
      <c r="AG31" s="17" t="s">
        <v>139</v>
      </c>
      <c r="AH31" s="17"/>
      <c r="AI31" s="17"/>
      <c r="AJ31" s="17"/>
      <c r="AK31" s="17" t="s">
        <v>140</v>
      </c>
      <c r="AL31" s="17"/>
      <c r="AM31" s="17"/>
      <c r="AN31" s="17"/>
      <c r="AO31" s="17"/>
      <c r="AP31" s="17"/>
      <c r="AQ31" s="17" t="s">
        <v>100</v>
      </c>
      <c r="AR31" s="17"/>
      <c r="AS31" s="20" t="s">
        <v>766</v>
      </c>
      <c r="AT31" s="20" t="s">
        <v>143</v>
      </c>
      <c r="AU31" s="20" t="s">
        <v>101</v>
      </c>
      <c r="AV31" s="24"/>
      <c r="AW31" s="25"/>
      <c r="AX31" s="24"/>
      <c r="AY31" s="28"/>
      <c r="AZ31" s="29">
        <v>29</v>
      </c>
      <c r="BA31" s="28"/>
      <c r="BB31" s="24"/>
      <c r="BC31" s="24"/>
      <c r="BD31" s="22" t="s">
        <v>690</v>
      </c>
      <c r="BE31" s="22">
        <v>180</v>
      </c>
      <c r="BF31" s="22">
        <v>35</v>
      </c>
    </row>
    <row r="32" spans="1:58" x14ac:dyDescent="0.2">
      <c r="A32" t="s">
        <v>787</v>
      </c>
      <c r="B32" s="17" t="s">
        <v>117</v>
      </c>
      <c r="C32" s="17">
        <v>2011</v>
      </c>
      <c r="D32" s="17" t="s">
        <v>118</v>
      </c>
      <c r="E32" s="17" t="s">
        <v>792</v>
      </c>
      <c r="F32" s="17" t="s">
        <v>793</v>
      </c>
      <c r="G32" s="32" t="s">
        <v>105</v>
      </c>
      <c r="H32" s="8" t="s">
        <v>106</v>
      </c>
      <c r="I32" s="17" t="s">
        <v>119</v>
      </c>
      <c r="J32" s="17" t="s">
        <v>120</v>
      </c>
      <c r="K32" s="17" t="s">
        <v>91</v>
      </c>
      <c r="L32" s="17" t="s">
        <v>54</v>
      </c>
      <c r="M32" s="17" t="s">
        <v>121</v>
      </c>
      <c r="N32" s="17" t="s">
        <v>56</v>
      </c>
      <c r="O32" s="34" t="s">
        <v>93</v>
      </c>
      <c r="P32" s="34" t="s">
        <v>58</v>
      </c>
      <c r="Q32" s="34" t="s">
        <v>93</v>
      </c>
      <c r="R32" s="34" t="s">
        <v>57</v>
      </c>
      <c r="S32" s="34" t="s">
        <v>58</v>
      </c>
      <c r="T32" s="34" t="s">
        <v>57</v>
      </c>
      <c r="U32" s="51" t="s">
        <v>93</v>
      </c>
      <c r="V32" s="51" t="s">
        <v>58</v>
      </c>
      <c r="W32" s="51" t="s">
        <v>93</v>
      </c>
      <c r="X32" s="51" t="s">
        <v>57</v>
      </c>
      <c r="Y32" s="51" t="s">
        <v>58</v>
      </c>
      <c r="Z32" s="51" t="s">
        <v>57</v>
      </c>
      <c r="AA32" s="32" t="s">
        <v>122</v>
      </c>
      <c r="AB32" s="32" t="s">
        <v>123</v>
      </c>
      <c r="AC32" s="32" t="s">
        <v>124</v>
      </c>
      <c r="AD32" s="32" t="s">
        <v>125</v>
      </c>
      <c r="AE32" s="32"/>
      <c r="AF32" s="32"/>
      <c r="AG32" s="17" t="s">
        <v>126</v>
      </c>
      <c r="AH32" s="17"/>
      <c r="AI32" s="17"/>
      <c r="AJ32" s="17"/>
      <c r="AK32" s="17" t="s">
        <v>127</v>
      </c>
      <c r="AL32" s="17"/>
      <c r="AM32" s="17"/>
      <c r="AN32" s="17"/>
      <c r="AO32" s="17"/>
      <c r="AP32" s="17"/>
      <c r="AQ32" s="17" t="s">
        <v>64</v>
      </c>
      <c r="AR32" s="17"/>
      <c r="AS32" s="20" t="s">
        <v>147</v>
      </c>
      <c r="AT32" s="20" t="s">
        <v>143</v>
      </c>
      <c r="AU32" s="20" t="s">
        <v>101</v>
      </c>
      <c r="AV32" s="24"/>
      <c r="AW32" s="25"/>
      <c r="AX32" s="24"/>
      <c r="AY32" s="28">
        <v>0.49</v>
      </c>
      <c r="AZ32" s="29">
        <v>27</v>
      </c>
      <c r="BA32" s="28">
        <f>SQRT(AZ32+AZ33)*(BC32-BB32)*0.5/TINV(1-0.95,AZ32+AZ33-1)</f>
        <v>1.8483822536273884</v>
      </c>
      <c r="BB32" s="24">
        <v>0</v>
      </c>
      <c r="BC32" s="24">
        <v>0.99</v>
      </c>
      <c r="BD32" s="22" t="s">
        <v>690</v>
      </c>
      <c r="BE32" s="22">
        <v>180</v>
      </c>
      <c r="BF32" s="22">
        <v>35</v>
      </c>
    </row>
    <row r="33" spans="1:58" x14ac:dyDescent="0.2">
      <c r="A33" t="s">
        <v>787</v>
      </c>
      <c r="B33" s="17" t="s">
        <v>117</v>
      </c>
      <c r="C33" s="17">
        <v>2011</v>
      </c>
      <c r="D33" s="17" t="s">
        <v>134</v>
      </c>
      <c r="E33" s="17" t="s">
        <v>88</v>
      </c>
      <c r="F33" s="8" t="s">
        <v>807</v>
      </c>
      <c r="G33" s="17" t="s">
        <v>88</v>
      </c>
      <c r="H33" s="17" t="s">
        <v>88</v>
      </c>
      <c r="I33" s="17" t="s">
        <v>119</v>
      </c>
      <c r="J33" s="17" t="s">
        <v>120</v>
      </c>
      <c r="K33" s="17" t="s">
        <v>91</v>
      </c>
      <c r="L33" s="17" t="s">
        <v>54</v>
      </c>
      <c r="M33" s="17" t="s">
        <v>121</v>
      </c>
      <c r="N33" s="17" t="s">
        <v>56</v>
      </c>
      <c r="O33" s="34" t="s">
        <v>93</v>
      </c>
      <c r="P33" s="34" t="s">
        <v>58</v>
      </c>
      <c r="Q33" s="34" t="s">
        <v>93</v>
      </c>
      <c r="R33" s="34" t="s">
        <v>57</v>
      </c>
      <c r="S33" s="34" t="s">
        <v>58</v>
      </c>
      <c r="T33" s="34" t="s">
        <v>57</v>
      </c>
      <c r="U33" s="51" t="s">
        <v>93</v>
      </c>
      <c r="V33" s="51" t="s">
        <v>58</v>
      </c>
      <c r="W33" s="51" t="s">
        <v>93</v>
      </c>
      <c r="X33" s="51" t="s">
        <v>57</v>
      </c>
      <c r="Y33" s="51" t="s">
        <v>58</v>
      </c>
      <c r="Z33" s="51" t="s">
        <v>57</v>
      </c>
      <c r="AA33" s="32" t="s">
        <v>135</v>
      </c>
      <c r="AB33" s="32" t="s">
        <v>136</v>
      </c>
      <c r="AC33" s="32" t="s">
        <v>137</v>
      </c>
      <c r="AD33" s="32" t="s">
        <v>138</v>
      </c>
      <c r="AE33" s="32"/>
      <c r="AF33" s="32"/>
      <c r="AG33" s="17" t="s">
        <v>139</v>
      </c>
      <c r="AH33" s="17"/>
      <c r="AI33" s="17"/>
      <c r="AJ33" s="17"/>
      <c r="AK33" s="17" t="s">
        <v>140</v>
      </c>
      <c r="AL33" s="17"/>
      <c r="AM33" s="17"/>
      <c r="AN33" s="17"/>
      <c r="AO33" s="17"/>
      <c r="AP33" s="17"/>
      <c r="AQ33" s="17" t="s">
        <v>100</v>
      </c>
      <c r="AR33" s="17"/>
      <c r="AS33" s="20" t="s">
        <v>147</v>
      </c>
      <c r="AT33" s="20" t="s">
        <v>143</v>
      </c>
      <c r="AU33" s="20" t="s">
        <v>101</v>
      </c>
      <c r="AV33" s="24"/>
      <c r="AW33" s="25"/>
      <c r="AX33" s="24"/>
      <c r="AY33" s="28"/>
      <c r="AZ33" s="29">
        <v>29</v>
      </c>
      <c r="BA33" s="28"/>
      <c r="BB33" s="24"/>
      <c r="BC33" s="24"/>
      <c r="BD33" s="22" t="s">
        <v>690</v>
      </c>
      <c r="BE33" s="22">
        <v>180</v>
      </c>
      <c r="BF33" s="22">
        <v>35</v>
      </c>
    </row>
    <row r="34" spans="1:58" x14ac:dyDescent="0.2">
      <c r="A34" t="s">
        <v>787</v>
      </c>
      <c r="B34" s="17" t="s">
        <v>117</v>
      </c>
      <c r="C34" s="17">
        <v>2011</v>
      </c>
      <c r="D34" s="17" t="s">
        <v>118</v>
      </c>
      <c r="E34" s="17" t="s">
        <v>792</v>
      </c>
      <c r="F34" s="17" t="s">
        <v>793</v>
      </c>
      <c r="G34" s="32" t="s">
        <v>105</v>
      </c>
      <c r="H34" s="8" t="s">
        <v>106</v>
      </c>
      <c r="I34" s="17" t="s">
        <v>119</v>
      </c>
      <c r="J34" s="17" t="s">
        <v>120</v>
      </c>
      <c r="K34" s="17" t="s">
        <v>91</v>
      </c>
      <c r="L34" s="17" t="s">
        <v>54</v>
      </c>
      <c r="M34" s="17" t="s">
        <v>121</v>
      </c>
      <c r="N34" s="17" t="s">
        <v>56</v>
      </c>
      <c r="O34" s="34" t="s">
        <v>93</v>
      </c>
      <c r="P34" s="34" t="s">
        <v>58</v>
      </c>
      <c r="Q34" s="34" t="s">
        <v>93</v>
      </c>
      <c r="R34" s="34" t="s">
        <v>57</v>
      </c>
      <c r="S34" s="34" t="s">
        <v>58</v>
      </c>
      <c r="T34" s="34" t="s">
        <v>57</v>
      </c>
      <c r="U34" s="51" t="s">
        <v>93</v>
      </c>
      <c r="V34" s="51" t="s">
        <v>58</v>
      </c>
      <c r="W34" s="51" t="s">
        <v>93</v>
      </c>
      <c r="X34" s="51" t="s">
        <v>57</v>
      </c>
      <c r="Y34" s="51" t="s">
        <v>58</v>
      </c>
      <c r="Z34" s="51" t="s">
        <v>57</v>
      </c>
      <c r="AA34" s="32" t="s">
        <v>122</v>
      </c>
      <c r="AB34" s="32" t="s">
        <v>123</v>
      </c>
      <c r="AC34" s="32" t="s">
        <v>124</v>
      </c>
      <c r="AD34" s="32" t="s">
        <v>125</v>
      </c>
      <c r="AE34" s="32"/>
      <c r="AF34" s="32"/>
      <c r="AG34" s="17" t="s">
        <v>126</v>
      </c>
      <c r="AH34" s="17"/>
      <c r="AI34" s="17"/>
      <c r="AJ34" s="17"/>
      <c r="AK34" s="17" t="s">
        <v>127</v>
      </c>
      <c r="AL34" s="17"/>
      <c r="AM34" s="17"/>
      <c r="AN34" s="17"/>
      <c r="AO34" s="17"/>
      <c r="AP34" s="17"/>
      <c r="AQ34" s="17" t="s">
        <v>64</v>
      </c>
      <c r="AR34" s="17"/>
      <c r="AS34" s="20" t="s">
        <v>477</v>
      </c>
      <c r="AT34" s="20" t="s">
        <v>143</v>
      </c>
      <c r="AU34" s="20" t="s">
        <v>101</v>
      </c>
      <c r="AV34" s="24"/>
      <c r="AW34" s="25"/>
      <c r="AX34" s="24"/>
      <c r="AY34" s="28">
        <v>0.39</v>
      </c>
      <c r="AZ34" s="29">
        <v>27</v>
      </c>
      <c r="BA34" s="28">
        <f>SQRT(AZ34+AZ35)*(BC34-BB34)*0.5/TINV(1-0.95,AZ34+AZ35-1)</f>
        <v>2.0164170039571512</v>
      </c>
      <c r="BB34" s="24">
        <v>-0.15</v>
      </c>
      <c r="BC34" s="24">
        <v>0.93</v>
      </c>
      <c r="BD34" s="22" t="s">
        <v>690</v>
      </c>
      <c r="BE34" s="22">
        <v>180</v>
      </c>
      <c r="BF34" s="22">
        <v>35</v>
      </c>
    </row>
    <row r="35" spans="1:58" x14ac:dyDescent="0.2">
      <c r="A35" t="s">
        <v>787</v>
      </c>
      <c r="B35" s="17" t="s">
        <v>117</v>
      </c>
      <c r="C35" s="17">
        <v>2011</v>
      </c>
      <c r="D35" s="17" t="s">
        <v>134</v>
      </c>
      <c r="E35" s="17" t="s">
        <v>88</v>
      </c>
      <c r="F35" s="8" t="s">
        <v>807</v>
      </c>
      <c r="G35" s="17" t="s">
        <v>88</v>
      </c>
      <c r="H35" s="17" t="s">
        <v>88</v>
      </c>
      <c r="I35" s="17" t="s">
        <v>119</v>
      </c>
      <c r="J35" s="17" t="s">
        <v>120</v>
      </c>
      <c r="K35" s="17" t="s">
        <v>91</v>
      </c>
      <c r="L35" s="17" t="s">
        <v>54</v>
      </c>
      <c r="M35" s="17" t="s">
        <v>121</v>
      </c>
      <c r="N35" s="17" t="s">
        <v>56</v>
      </c>
      <c r="O35" s="34" t="s">
        <v>93</v>
      </c>
      <c r="P35" s="34" t="s">
        <v>58</v>
      </c>
      <c r="Q35" s="34" t="s">
        <v>93</v>
      </c>
      <c r="R35" s="34" t="s">
        <v>57</v>
      </c>
      <c r="S35" s="34" t="s">
        <v>58</v>
      </c>
      <c r="T35" s="34" t="s">
        <v>57</v>
      </c>
      <c r="U35" s="51" t="s">
        <v>93</v>
      </c>
      <c r="V35" s="51" t="s">
        <v>58</v>
      </c>
      <c r="W35" s="51" t="s">
        <v>93</v>
      </c>
      <c r="X35" s="51" t="s">
        <v>57</v>
      </c>
      <c r="Y35" s="51" t="s">
        <v>58</v>
      </c>
      <c r="Z35" s="51" t="s">
        <v>57</v>
      </c>
      <c r="AA35" s="32" t="s">
        <v>135</v>
      </c>
      <c r="AB35" s="32" t="s">
        <v>136</v>
      </c>
      <c r="AC35" s="32" t="s">
        <v>137</v>
      </c>
      <c r="AD35" s="32" t="s">
        <v>138</v>
      </c>
      <c r="AE35" s="32"/>
      <c r="AF35" s="32"/>
      <c r="AG35" s="17" t="s">
        <v>139</v>
      </c>
      <c r="AH35" s="17"/>
      <c r="AI35" s="17"/>
      <c r="AJ35" s="17"/>
      <c r="AK35" s="17" t="s">
        <v>140</v>
      </c>
      <c r="AL35" s="17"/>
      <c r="AM35" s="17"/>
      <c r="AN35" s="17"/>
      <c r="AO35" s="17"/>
      <c r="AP35" s="17"/>
      <c r="AQ35" s="17" t="s">
        <v>100</v>
      </c>
      <c r="AR35" s="17"/>
      <c r="AS35" s="20" t="s">
        <v>477</v>
      </c>
      <c r="AT35" s="20" t="s">
        <v>143</v>
      </c>
      <c r="AU35" s="20" t="s">
        <v>101</v>
      </c>
      <c r="AV35" s="24"/>
      <c r="AW35" s="25"/>
      <c r="AX35" s="24"/>
      <c r="AY35" s="28"/>
      <c r="AZ35" s="29">
        <v>29</v>
      </c>
      <c r="BA35" s="28"/>
      <c r="BB35" s="24"/>
      <c r="BC35" s="24"/>
      <c r="BD35" s="22" t="s">
        <v>690</v>
      </c>
      <c r="BE35" s="22">
        <v>180</v>
      </c>
      <c r="BF35" s="22">
        <v>35</v>
      </c>
    </row>
    <row r="36" spans="1:58" x14ac:dyDescent="0.2">
      <c r="A36" t="s">
        <v>787</v>
      </c>
      <c r="B36" s="17" t="s">
        <v>117</v>
      </c>
      <c r="C36" s="17">
        <v>2011</v>
      </c>
      <c r="D36" s="17" t="s">
        <v>118</v>
      </c>
      <c r="E36" s="17" t="s">
        <v>792</v>
      </c>
      <c r="F36" s="17" t="s">
        <v>793</v>
      </c>
      <c r="G36" s="32" t="s">
        <v>105</v>
      </c>
      <c r="H36" s="8" t="s">
        <v>106</v>
      </c>
      <c r="I36" s="17" t="s">
        <v>119</v>
      </c>
      <c r="J36" s="17" t="s">
        <v>120</v>
      </c>
      <c r="K36" s="17" t="s">
        <v>91</v>
      </c>
      <c r="L36" s="17" t="s">
        <v>54</v>
      </c>
      <c r="M36" s="17" t="s">
        <v>121</v>
      </c>
      <c r="N36" s="17" t="s">
        <v>56</v>
      </c>
      <c r="O36" s="34" t="s">
        <v>93</v>
      </c>
      <c r="P36" s="34" t="s">
        <v>58</v>
      </c>
      <c r="Q36" s="34" t="s">
        <v>93</v>
      </c>
      <c r="R36" s="34" t="s">
        <v>57</v>
      </c>
      <c r="S36" s="34" t="s">
        <v>58</v>
      </c>
      <c r="T36" s="34" t="s">
        <v>57</v>
      </c>
      <c r="U36" s="51" t="s">
        <v>93</v>
      </c>
      <c r="V36" s="51" t="s">
        <v>58</v>
      </c>
      <c r="W36" s="51" t="s">
        <v>93</v>
      </c>
      <c r="X36" s="51" t="s">
        <v>57</v>
      </c>
      <c r="Y36" s="51" t="s">
        <v>58</v>
      </c>
      <c r="Z36" s="51" t="s">
        <v>57</v>
      </c>
      <c r="AA36" s="32" t="s">
        <v>122</v>
      </c>
      <c r="AB36" s="32" t="s">
        <v>123</v>
      </c>
      <c r="AC36" s="32" t="s">
        <v>124</v>
      </c>
      <c r="AD36" s="32" t="s">
        <v>125</v>
      </c>
      <c r="AE36" s="32"/>
      <c r="AF36" s="32"/>
      <c r="AG36" s="17" t="s">
        <v>126</v>
      </c>
      <c r="AH36" s="17"/>
      <c r="AI36" s="17"/>
      <c r="AJ36" s="17"/>
      <c r="AK36" s="17" t="s">
        <v>127</v>
      </c>
      <c r="AL36" s="17"/>
      <c r="AM36" s="17"/>
      <c r="AN36" s="17"/>
      <c r="AO36" s="17"/>
      <c r="AP36" s="17"/>
      <c r="AQ36" s="17" t="s">
        <v>64</v>
      </c>
      <c r="AR36" s="17"/>
      <c r="AS36" s="20" t="s">
        <v>65</v>
      </c>
      <c r="AT36" s="20" t="s">
        <v>66</v>
      </c>
      <c r="AU36" s="20" t="s">
        <v>101</v>
      </c>
      <c r="AV36" s="24"/>
      <c r="AW36" s="25"/>
      <c r="AX36" s="24"/>
      <c r="AY36" s="28">
        <v>-1.02</v>
      </c>
      <c r="AZ36" s="29">
        <v>27</v>
      </c>
      <c r="BA36" s="28">
        <f>SQRT(AZ36+AZ37)*(BC36-BB36)*0.5/TINV(1-0.95,AZ36+AZ37-1)</f>
        <v>1.9043938370706426</v>
      </c>
      <c r="BB36" s="24">
        <v>-1.53</v>
      </c>
      <c r="BC36" s="24">
        <v>-0.51</v>
      </c>
      <c r="BD36" s="22" t="s">
        <v>690</v>
      </c>
      <c r="BE36" s="22">
        <v>180</v>
      </c>
      <c r="BF36" s="22">
        <v>35</v>
      </c>
    </row>
    <row r="37" spans="1:58" x14ac:dyDescent="0.2">
      <c r="A37" t="s">
        <v>787</v>
      </c>
      <c r="B37" s="17" t="s">
        <v>117</v>
      </c>
      <c r="C37" s="17">
        <v>2011</v>
      </c>
      <c r="D37" s="17" t="s">
        <v>134</v>
      </c>
      <c r="E37" s="17" t="s">
        <v>88</v>
      </c>
      <c r="F37" s="8" t="s">
        <v>807</v>
      </c>
      <c r="G37" s="17" t="s">
        <v>88</v>
      </c>
      <c r="H37" s="17" t="s">
        <v>88</v>
      </c>
      <c r="I37" s="17" t="s">
        <v>119</v>
      </c>
      <c r="J37" s="17" t="s">
        <v>120</v>
      </c>
      <c r="K37" s="17" t="s">
        <v>91</v>
      </c>
      <c r="L37" s="17" t="s">
        <v>54</v>
      </c>
      <c r="M37" s="17" t="s">
        <v>121</v>
      </c>
      <c r="N37" s="17" t="s">
        <v>56</v>
      </c>
      <c r="O37" s="34" t="s">
        <v>93</v>
      </c>
      <c r="P37" s="34" t="s">
        <v>58</v>
      </c>
      <c r="Q37" s="34" t="s">
        <v>93</v>
      </c>
      <c r="R37" s="34" t="s">
        <v>57</v>
      </c>
      <c r="S37" s="34" t="s">
        <v>58</v>
      </c>
      <c r="T37" s="34" t="s">
        <v>57</v>
      </c>
      <c r="U37" s="51" t="s">
        <v>93</v>
      </c>
      <c r="V37" s="51" t="s">
        <v>58</v>
      </c>
      <c r="W37" s="51" t="s">
        <v>93</v>
      </c>
      <c r="X37" s="51" t="s">
        <v>57</v>
      </c>
      <c r="Y37" s="51" t="s">
        <v>58</v>
      </c>
      <c r="Z37" s="51" t="s">
        <v>57</v>
      </c>
      <c r="AA37" s="32" t="s">
        <v>135</v>
      </c>
      <c r="AB37" s="32" t="s">
        <v>136</v>
      </c>
      <c r="AC37" s="32" t="s">
        <v>137</v>
      </c>
      <c r="AD37" s="32" t="s">
        <v>138</v>
      </c>
      <c r="AE37" s="32"/>
      <c r="AF37" s="32"/>
      <c r="AG37" s="17" t="s">
        <v>139</v>
      </c>
      <c r="AH37" s="17"/>
      <c r="AI37" s="17"/>
      <c r="AJ37" s="17"/>
      <c r="AK37" s="17" t="s">
        <v>140</v>
      </c>
      <c r="AL37" s="17"/>
      <c r="AM37" s="17"/>
      <c r="AN37" s="17"/>
      <c r="AO37" s="17"/>
      <c r="AP37" s="17"/>
      <c r="AQ37" s="17" t="s">
        <v>100</v>
      </c>
      <c r="AR37" s="17"/>
      <c r="AS37" s="20" t="s">
        <v>65</v>
      </c>
      <c r="AT37" s="20" t="s">
        <v>66</v>
      </c>
      <c r="AU37" s="20" t="s">
        <v>101</v>
      </c>
      <c r="AV37" s="24"/>
      <c r="AW37" s="25"/>
      <c r="AX37" s="24"/>
      <c r="AY37" s="28"/>
      <c r="AZ37" s="29">
        <v>29</v>
      </c>
      <c r="BA37" s="28"/>
      <c r="BB37" s="24"/>
      <c r="BC37" s="24"/>
      <c r="BD37" s="22" t="s">
        <v>690</v>
      </c>
      <c r="BE37" s="22">
        <v>180</v>
      </c>
      <c r="BF37" s="22">
        <v>35</v>
      </c>
    </row>
    <row r="38" spans="1:58" x14ac:dyDescent="0.2">
      <c r="A38" t="s">
        <v>786</v>
      </c>
      <c r="B38" s="8" t="s">
        <v>691</v>
      </c>
      <c r="C38" s="8">
        <v>2020</v>
      </c>
      <c r="D38" s="8" t="s">
        <v>692</v>
      </c>
      <c r="E38" s="17" t="s">
        <v>792</v>
      </c>
      <c r="F38" s="17" t="s">
        <v>794</v>
      </c>
      <c r="G38" s="36" t="s">
        <v>105</v>
      </c>
      <c r="H38" s="8" t="s">
        <v>106</v>
      </c>
      <c r="I38" s="8" t="s">
        <v>747</v>
      </c>
      <c r="J38" s="8" t="s">
        <v>693</v>
      </c>
      <c r="K38" s="8" t="s">
        <v>694</v>
      </c>
      <c r="L38" s="8" t="s">
        <v>695</v>
      </c>
      <c r="M38" s="8" t="s">
        <v>696</v>
      </c>
      <c r="N38" s="8" t="s">
        <v>56</v>
      </c>
      <c r="O38" s="37" t="s">
        <v>93</v>
      </c>
      <c r="P38" s="37" t="s">
        <v>93</v>
      </c>
      <c r="Q38" s="37" t="s">
        <v>93</v>
      </c>
      <c r="R38" s="37" t="s">
        <v>93</v>
      </c>
      <c r="S38" s="37" t="s">
        <v>93</v>
      </c>
      <c r="T38" s="37" t="s">
        <v>93</v>
      </c>
      <c r="U38" s="53" t="s">
        <v>93</v>
      </c>
      <c r="V38" s="53" t="s">
        <v>58</v>
      </c>
      <c r="W38" s="53" t="s">
        <v>93</v>
      </c>
      <c r="X38" s="53" t="s">
        <v>58</v>
      </c>
      <c r="Y38" s="53" t="s">
        <v>93</v>
      </c>
      <c r="Z38" s="53" t="s">
        <v>93</v>
      </c>
      <c r="AA38" s="36"/>
      <c r="AB38" s="39">
        <v>0.76</v>
      </c>
      <c r="AC38" s="36" t="s">
        <v>726</v>
      </c>
      <c r="AD38" s="39">
        <v>0.92</v>
      </c>
      <c r="AE38" s="36"/>
      <c r="AF38" s="36"/>
      <c r="AG38" s="8" t="s">
        <v>734</v>
      </c>
      <c r="AH38" s="8"/>
      <c r="AI38" s="8"/>
      <c r="AJ38" s="8" t="s">
        <v>395</v>
      </c>
      <c r="AK38" s="8"/>
      <c r="AL38" s="8"/>
      <c r="AM38" s="8"/>
      <c r="AN38" s="8"/>
      <c r="AO38" s="8"/>
      <c r="AP38" s="8"/>
      <c r="AQ38" s="8"/>
      <c r="AR38" s="8"/>
      <c r="AS38" s="13" t="s">
        <v>65</v>
      </c>
      <c r="AT38" s="13" t="s">
        <v>66</v>
      </c>
      <c r="AU38" s="13" t="s">
        <v>67</v>
      </c>
      <c r="AV38" s="42">
        <v>6.7</v>
      </c>
      <c r="AW38" s="43">
        <v>25</v>
      </c>
      <c r="AX38" s="42">
        <v>2.1</v>
      </c>
      <c r="AY38" s="40">
        <v>2.9</v>
      </c>
      <c r="AZ38" s="41">
        <v>25</v>
      </c>
      <c r="BA38" s="40">
        <v>2.4</v>
      </c>
      <c r="BB38" s="42"/>
      <c r="BC38" s="42"/>
      <c r="BD38" s="44" t="s">
        <v>238</v>
      </c>
      <c r="BE38" s="44">
        <v>90</v>
      </c>
      <c r="BF38" s="44">
        <v>35</v>
      </c>
    </row>
    <row r="39" spans="1:58" x14ac:dyDescent="0.2">
      <c r="A39" t="s">
        <v>786</v>
      </c>
      <c r="B39" s="8" t="s">
        <v>691</v>
      </c>
      <c r="C39" s="8">
        <v>2020</v>
      </c>
      <c r="D39" s="8" t="s">
        <v>692</v>
      </c>
      <c r="E39" s="17" t="s">
        <v>792</v>
      </c>
      <c r="F39" s="17" t="s">
        <v>794</v>
      </c>
      <c r="G39" s="36" t="s">
        <v>105</v>
      </c>
      <c r="H39" s="8" t="s">
        <v>106</v>
      </c>
      <c r="I39" s="8" t="s">
        <v>747</v>
      </c>
      <c r="J39" s="8" t="s">
        <v>693</v>
      </c>
      <c r="K39" s="8" t="s">
        <v>694</v>
      </c>
      <c r="L39" s="8" t="s">
        <v>695</v>
      </c>
      <c r="M39" s="8" t="s">
        <v>696</v>
      </c>
      <c r="N39" s="8" t="s">
        <v>56</v>
      </c>
      <c r="O39" s="37" t="s">
        <v>93</v>
      </c>
      <c r="P39" s="37" t="s">
        <v>93</v>
      </c>
      <c r="Q39" s="37" t="s">
        <v>93</v>
      </c>
      <c r="R39" s="37" t="s">
        <v>93</v>
      </c>
      <c r="S39" s="37" t="s">
        <v>93</v>
      </c>
      <c r="T39" s="37" t="s">
        <v>93</v>
      </c>
      <c r="U39" s="53" t="s">
        <v>93</v>
      </c>
      <c r="V39" s="53" t="s">
        <v>58</v>
      </c>
      <c r="W39" s="53" t="s">
        <v>93</v>
      </c>
      <c r="X39" s="53" t="s">
        <v>58</v>
      </c>
      <c r="Y39" s="53" t="s">
        <v>93</v>
      </c>
      <c r="Z39" s="53" t="s">
        <v>93</v>
      </c>
      <c r="AA39" s="36"/>
      <c r="AB39" s="39">
        <v>0.76</v>
      </c>
      <c r="AC39" s="36" t="s">
        <v>726</v>
      </c>
      <c r="AD39" s="39">
        <v>0.92</v>
      </c>
      <c r="AE39" s="36"/>
      <c r="AF39" s="36"/>
      <c r="AG39" s="8" t="s">
        <v>734</v>
      </c>
      <c r="AH39" s="8"/>
      <c r="AI39" s="8"/>
      <c r="AJ39" s="8" t="s">
        <v>395</v>
      </c>
      <c r="AK39" s="8"/>
      <c r="AL39" s="8"/>
      <c r="AM39" s="8"/>
      <c r="AN39" s="8"/>
      <c r="AO39" s="8"/>
      <c r="AP39" s="8"/>
      <c r="AQ39" s="8"/>
      <c r="AR39" s="8"/>
      <c r="AS39" s="13" t="s">
        <v>751</v>
      </c>
      <c r="AT39" s="20" t="s">
        <v>750</v>
      </c>
      <c r="AU39" s="20" t="s">
        <v>67</v>
      </c>
      <c r="AV39" s="24">
        <v>4.0999999999999996</v>
      </c>
      <c r="AW39" s="25">
        <v>25</v>
      </c>
      <c r="AX39" s="24">
        <v>3</v>
      </c>
      <c r="AY39" s="28">
        <v>0.9</v>
      </c>
      <c r="AZ39" s="29">
        <v>25</v>
      </c>
      <c r="BA39" s="28">
        <v>1</v>
      </c>
      <c r="BB39" s="24"/>
      <c r="BC39" s="42"/>
      <c r="BD39" s="44" t="s">
        <v>238</v>
      </c>
      <c r="BE39" s="44">
        <v>90</v>
      </c>
      <c r="BF39" s="44">
        <v>35</v>
      </c>
    </row>
    <row r="40" spans="1:58" x14ac:dyDescent="0.2">
      <c r="A40" t="s">
        <v>786</v>
      </c>
      <c r="B40" s="8" t="s">
        <v>691</v>
      </c>
      <c r="C40" s="8">
        <v>2020</v>
      </c>
      <c r="D40" s="8" t="s">
        <v>697</v>
      </c>
      <c r="E40" s="8" t="s">
        <v>88</v>
      </c>
      <c r="F40" s="8" t="s">
        <v>807</v>
      </c>
      <c r="G40" s="8" t="s">
        <v>88</v>
      </c>
      <c r="H40" s="8" t="s">
        <v>88</v>
      </c>
      <c r="I40" s="8" t="s">
        <v>747</v>
      </c>
      <c r="J40" s="8" t="s">
        <v>693</v>
      </c>
      <c r="K40" s="8" t="s">
        <v>694</v>
      </c>
      <c r="L40" s="8" t="s">
        <v>695</v>
      </c>
      <c r="M40" s="8" t="s">
        <v>696</v>
      </c>
      <c r="N40" s="8" t="s">
        <v>56</v>
      </c>
      <c r="O40" s="37" t="s">
        <v>93</v>
      </c>
      <c r="P40" s="37" t="s">
        <v>93</v>
      </c>
      <c r="Q40" s="37" t="s">
        <v>93</v>
      </c>
      <c r="R40" s="37" t="s">
        <v>93</v>
      </c>
      <c r="S40" s="37" t="s">
        <v>93</v>
      </c>
      <c r="T40" s="37" t="s">
        <v>93</v>
      </c>
      <c r="U40" s="53" t="s">
        <v>93</v>
      </c>
      <c r="V40" s="53" t="s">
        <v>58</v>
      </c>
      <c r="W40" s="53" t="s">
        <v>93</v>
      </c>
      <c r="X40" s="53" t="s">
        <v>58</v>
      </c>
      <c r="Y40" s="53" t="s">
        <v>93</v>
      </c>
      <c r="Z40" s="53" t="s">
        <v>93</v>
      </c>
      <c r="AA40" s="36"/>
      <c r="AB40" s="38">
        <v>0.76900000000000002</v>
      </c>
      <c r="AC40" s="36" t="s">
        <v>727</v>
      </c>
      <c r="AD40" s="38">
        <v>0.80800000000000005</v>
      </c>
      <c r="AE40" s="36"/>
      <c r="AF40" s="36"/>
      <c r="AG40" s="8" t="s">
        <v>735</v>
      </c>
      <c r="AH40" s="8"/>
      <c r="AI40" s="8"/>
      <c r="AJ40" s="8" t="s">
        <v>395</v>
      </c>
      <c r="AK40" s="8"/>
      <c r="AL40" s="8"/>
      <c r="AM40" s="8"/>
      <c r="AN40" s="8"/>
      <c r="AO40" s="8"/>
      <c r="AP40" s="8"/>
      <c r="AQ40" s="8"/>
      <c r="AR40" s="8"/>
      <c r="AS40" s="13" t="s">
        <v>751</v>
      </c>
      <c r="AT40" s="20" t="s">
        <v>750</v>
      </c>
      <c r="AU40" s="20" t="s">
        <v>67</v>
      </c>
      <c r="AV40" s="24">
        <v>4.5999999999999996</v>
      </c>
      <c r="AW40" s="25">
        <v>26</v>
      </c>
      <c r="AX40" s="24">
        <v>2.8</v>
      </c>
      <c r="AY40" s="28">
        <v>2.9</v>
      </c>
      <c r="AZ40" s="29">
        <v>26</v>
      </c>
      <c r="BA40" s="28">
        <v>2.8</v>
      </c>
      <c r="BB40" s="24"/>
      <c r="BC40" s="42"/>
      <c r="BD40" s="44" t="s">
        <v>238</v>
      </c>
      <c r="BE40" s="44">
        <v>90</v>
      </c>
      <c r="BF40" s="44">
        <v>35</v>
      </c>
    </row>
    <row r="41" spans="1:58" x14ac:dyDescent="0.2">
      <c r="A41" t="s">
        <v>786</v>
      </c>
      <c r="B41" s="8" t="s">
        <v>691</v>
      </c>
      <c r="C41" s="8">
        <v>2020</v>
      </c>
      <c r="D41" s="8" t="s">
        <v>697</v>
      </c>
      <c r="E41" s="8" t="s">
        <v>88</v>
      </c>
      <c r="F41" s="8" t="s">
        <v>807</v>
      </c>
      <c r="G41" s="8" t="s">
        <v>88</v>
      </c>
      <c r="H41" s="8" t="s">
        <v>88</v>
      </c>
      <c r="I41" s="8" t="s">
        <v>747</v>
      </c>
      <c r="J41" s="8" t="s">
        <v>693</v>
      </c>
      <c r="K41" s="8" t="s">
        <v>694</v>
      </c>
      <c r="L41" s="8" t="s">
        <v>695</v>
      </c>
      <c r="M41" s="8" t="s">
        <v>696</v>
      </c>
      <c r="N41" s="8" t="s">
        <v>56</v>
      </c>
      <c r="O41" s="37" t="s">
        <v>93</v>
      </c>
      <c r="P41" s="37" t="s">
        <v>93</v>
      </c>
      <c r="Q41" s="37" t="s">
        <v>93</v>
      </c>
      <c r="R41" s="37" t="s">
        <v>93</v>
      </c>
      <c r="S41" s="37" t="s">
        <v>93</v>
      </c>
      <c r="T41" s="37" t="s">
        <v>93</v>
      </c>
      <c r="U41" s="53" t="s">
        <v>93</v>
      </c>
      <c r="V41" s="53" t="s">
        <v>58</v>
      </c>
      <c r="W41" s="53" t="s">
        <v>93</v>
      </c>
      <c r="X41" s="53" t="s">
        <v>58</v>
      </c>
      <c r="Y41" s="53" t="s">
        <v>93</v>
      </c>
      <c r="Z41" s="53" t="s">
        <v>93</v>
      </c>
      <c r="AA41" s="36"/>
      <c r="AB41" s="38">
        <v>0.76900000000000002</v>
      </c>
      <c r="AC41" s="36" t="s">
        <v>727</v>
      </c>
      <c r="AD41" s="38">
        <v>0.80800000000000005</v>
      </c>
      <c r="AE41" s="36"/>
      <c r="AF41" s="36"/>
      <c r="AG41" s="8" t="s">
        <v>735</v>
      </c>
      <c r="AH41" s="8"/>
      <c r="AI41" s="8"/>
      <c r="AJ41" s="8" t="s">
        <v>395</v>
      </c>
      <c r="AK41" s="8"/>
      <c r="AL41" s="8"/>
      <c r="AM41" s="8"/>
      <c r="AN41" s="8"/>
      <c r="AO41" s="8"/>
      <c r="AP41" s="8"/>
      <c r="AQ41" s="8"/>
      <c r="AR41" s="8"/>
      <c r="AS41" s="13" t="s">
        <v>65</v>
      </c>
      <c r="AT41" s="13" t="s">
        <v>66</v>
      </c>
      <c r="AU41" s="13" t="s">
        <v>67</v>
      </c>
      <c r="AV41" s="42">
        <v>6.8</v>
      </c>
      <c r="AW41" s="43">
        <v>26</v>
      </c>
      <c r="AX41" s="42">
        <v>2.2999999999999998</v>
      </c>
      <c r="AY41" s="40">
        <v>5.5</v>
      </c>
      <c r="AZ41" s="41">
        <v>26</v>
      </c>
      <c r="BA41" s="40">
        <v>3.4</v>
      </c>
      <c r="BB41" s="42"/>
      <c r="BC41" s="42"/>
      <c r="BD41" s="44" t="s">
        <v>238</v>
      </c>
      <c r="BE41" s="44">
        <v>90</v>
      </c>
      <c r="BF41" s="44">
        <v>35</v>
      </c>
    </row>
    <row r="42" spans="1:58" x14ac:dyDescent="0.2">
      <c r="A42" t="s">
        <v>787</v>
      </c>
      <c r="B42" s="17" t="s">
        <v>173</v>
      </c>
      <c r="C42" s="17">
        <v>2012</v>
      </c>
      <c r="D42" s="17" t="s">
        <v>174</v>
      </c>
      <c r="E42" s="17" t="s">
        <v>88</v>
      </c>
      <c r="F42" s="8" t="s">
        <v>807</v>
      </c>
      <c r="G42" s="17" t="s">
        <v>88</v>
      </c>
      <c r="H42" s="17" t="s">
        <v>88</v>
      </c>
      <c r="I42" s="17" t="s">
        <v>175</v>
      </c>
      <c r="J42" s="17" t="s">
        <v>176</v>
      </c>
      <c r="K42" s="17" t="s">
        <v>53</v>
      </c>
      <c r="L42" s="17" t="s">
        <v>54</v>
      </c>
      <c r="M42" s="17" t="s">
        <v>92</v>
      </c>
      <c r="N42" s="17" t="s">
        <v>177</v>
      </c>
      <c r="O42" s="34" t="s">
        <v>58</v>
      </c>
      <c r="P42" s="34" t="s">
        <v>58</v>
      </c>
      <c r="Q42" s="34" t="s">
        <v>93</v>
      </c>
      <c r="R42" s="34" t="s">
        <v>58</v>
      </c>
      <c r="S42" s="34" t="s">
        <v>58</v>
      </c>
      <c r="T42" s="34" t="s">
        <v>58</v>
      </c>
      <c r="U42" s="51" t="s">
        <v>58</v>
      </c>
      <c r="V42" s="51" t="s">
        <v>58</v>
      </c>
      <c r="W42" s="51" t="s">
        <v>93</v>
      </c>
      <c r="X42" s="51" t="s">
        <v>58</v>
      </c>
      <c r="Y42" s="51" t="s">
        <v>58</v>
      </c>
      <c r="Z42" s="51" t="s">
        <v>58</v>
      </c>
      <c r="AA42" s="32"/>
      <c r="AB42" s="32" t="s">
        <v>184</v>
      </c>
      <c r="AC42" s="32"/>
      <c r="AD42" s="32"/>
      <c r="AE42" s="32"/>
      <c r="AF42" s="32"/>
      <c r="AG42" s="17" t="s">
        <v>185</v>
      </c>
      <c r="AH42" s="17"/>
      <c r="AI42" s="17"/>
      <c r="AJ42" s="17"/>
      <c r="AK42" s="17" t="s">
        <v>186</v>
      </c>
      <c r="AL42" s="17"/>
      <c r="AM42" s="17"/>
      <c r="AN42" s="17"/>
      <c r="AO42" s="17"/>
      <c r="AP42" s="17"/>
      <c r="AQ42" s="17" t="s">
        <v>187</v>
      </c>
      <c r="AR42" s="17"/>
      <c r="AS42" s="20" t="s">
        <v>188</v>
      </c>
      <c r="AT42" s="20" t="s">
        <v>178</v>
      </c>
      <c r="AU42" s="20" t="s">
        <v>67</v>
      </c>
      <c r="AV42" s="24">
        <v>18.52</v>
      </c>
      <c r="AW42" s="25">
        <v>48</v>
      </c>
      <c r="AX42" s="24">
        <v>3.4</v>
      </c>
      <c r="AY42" s="28">
        <v>20.329999999999998</v>
      </c>
      <c r="AZ42" s="29">
        <v>48</v>
      </c>
      <c r="BA42" s="28">
        <v>3.49</v>
      </c>
      <c r="BB42" s="24"/>
      <c r="BC42" s="24"/>
      <c r="BD42" s="22" t="s">
        <v>189</v>
      </c>
      <c r="BE42" s="22">
        <v>365</v>
      </c>
      <c r="BF42" s="22">
        <v>365</v>
      </c>
    </row>
    <row r="43" spans="1:58" x14ac:dyDescent="0.2">
      <c r="A43" t="s">
        <v>787</v>
      </c>
      <c r="B43" s="17" t="s">
        <v>173</v>
      </c>
      <c r="C43" s="17">
        <v>2012</v>
      </c>
      <c r="D43" s="17" t="s">
        <v>190</v>
      </c>
      <c r="E43" s="17" t="s">
        <v>792</v>
      </c>
      <c r="F43" s="17" t="s">
        <v>793</v>
      </c>
      <c r="G43" s="32" t="s">
        <v>191</v>
      </c>
      <c r="H43" s="17" t="s">
        <v>192</v>
      </c>
      <c r="I43" s="17" t="s">
        <v>175</v>
      </c>
      <c r="J43" s="17" t="s">
        <v>176</v>
      </c>
      <c r="K43" s="17" t="s">
        <v>53</v>
      </c>
      <c r="L43" s="17" t="s">
        <v>54</v>
      </c>
      <c r="M43" s="17" t="s">
        <v>92</v>
      </c>
      <c r="N43" s="17" t="s">
        <v>177</v>
      </c>
      <c r="O43" s="34" t="s">
        <v>58</v>
      </c>
      <c r="P43" s="34" t="s">
        <v>58</v>
      </c>
      <c r="Q43" s="34" t="s">
        <v>93</v>
      </c>
      <c r="R43" s="34" t="s">
        <v>58</v>
      </c>
      <c r="S43" s="34" t="s">
        <v>58</v>
      </c>
      <c r="T43" s="34" t="s">
        <v>58</v>
      </c>
      <c r="U43" s="51" t="s">
        <v>58</v>
      </c>
      <c r="V43" s="51" t="s">
        <v>58</v>
      </c>
      <c r="W43" s="51" t="s">
        <v>93</v>
      </c>
      <c r="X43" s="51" t="s">
        <v>58</v>
      </c>
      <c r="Y43" s="51" t="s">
        <v>58</v>
      </c>
      <c r="Z43" s="51" t="s">
        <v>58</v>
      </c>
      <c r="AA43" s="32"/>
      <c r="AB43" s="32" t="s">
        <v>197</v>
      </c>
      <c r="AC43" s="32"/>
      <c r="AD43" s="32"/>
      <c r="AE43" s="32"/>
      <c r="AF43" s="32"/>
      <c r="AG43" s="17" t="s">
        <v>198</v>
      </c>
      <c r="AH43" s="17"/>
      <c r="AI43" s="17"/>
      <c r="AJ43" s="17"/>
      <c r="AK43" s="17" t="s">
        <v>199</v>
      </c>
      <c r="AL43" s="17"/>
      <c r="AM43" s="17"/>
      <c r="AN43" s="17"/>
      <c r="AO43" s="17"/>
      <c r="AP43" s="17"/>
      <c r="AQ43" s="17" t="s">
        <v>200</v>
      </c>
      <c r="AR43" s="17"/>
      <c r="AS43" s="20" t="s">
        <v>188</v>
      </c>
      <c r="AT43" s="20" t="s">
        <v>178</v>
      </c>
      <c r="AU43" s="20" t="s">
        <v>67</v>
      </c>
      <c r="AV43" s="24">
        <v>18.309999999999899</v>
      </c>
      <c r="AW43" s="25">
        <v>48</v>
      </c>
      <c r="AX43" s="24">
        <v>3.63</v>
      </c>
      <c r="AY43" s="28">
        <v>22.08</v>
      </c>
      <c r="AZ43" s="29">
        <v>48</v>
      </c>
      <c r="BA43" s="28">
        <v>6.15</v>
      </c>
      <c r="BB43" s="24"/>
      <c r="BC43" s="24"/>
      <c r="BD43" s="22" t="s">
        <v>189</v>
      </c>
      <c r="BE43" s="22">
        <v>365</v>
      </c>
      <c r="BF43" s="22">
        <v>365</v>
      </c>
    </row>
    <row r="44" spans="1:58" x14ac:dyDescent="0.2">
      <c r="A44" t="s">
        <v>787</v>
      </c>
      <c r="B44" s="17" t="s">
        <v>226</v>
      </c>
      <c r="C44" s="17">
        <v>2017</v>
      </c>
      <c r="D44" s="17" t="s">
        <v>227</v>
      </c>
      <c r="E44" s="17" t="s">
        <v>792</v>
      </c>
      <c r="F44" s="17" t="s">
        <v>795</v>
      </c>
      <c r="G44" s="32" t="s">
        <v>105</v>
      </c>
      <c r="H44" s="8" t="s">
        <v>106</v>
      </c>
      <c r="I44" s="17" t="s">
        <v>175</v>
      </c>
      <c r="J44" s="17" t="s">
        <v>228</v>
      </c>
      <c r="K44" s="17" t="s">
        <v>91</v>
      </c>
      <c r="L44" s="17" t="s">
        <v>54</v>
      </c>
      <c r="M44" s="17" t="s">
        <v>121</v>
      </c>
      <c r="N44" s="17" t="s">
        <v>56</v>
      </c>
      <c r="O44" s="34" t="s">
        <v>58</v>
      </c>
      <c r="P44" s="34" t="s">
        <v>58</v>
      </c>
      <c r="Q44" s="34" t="s">
        <v>93</v>
      </c>
      <c r="R44" s="34" t="s">
        <v>58</v>
      </c>
      <c r="S44" s="34" t="s">
        <v>58</v>
      </c>
      <c r="T44" s="34" t="s">
        <v>58</v>
      </c>
      <c r="U44" s="51" t="s">
        <v>58</v>
      </c>
      <c r="V44" s="51" t="s">
        <v>58</v>
      </c>
      <c r="W44" s="51" t="s">
        <v>93</v>
      </c>
      <c r="X44" s="51" t="s">
        <v>58</v>
      </c>
      <c r="Y44" s="51" t="s">
        <v>58</v>
      </c>
      <c r="Z44" s="51" t="s">
        <v>58</v>
      </c>
      <c r="AA44" s="32"/>
      <c r="AB44" s="32"/>
      <c r="AC44" s="32" t="s">
        <v>229</v>
      </c>
      <c r="AD44" s="32" t="s">
        <v>230</v>
      </c>
      <c r="AE44" s="32" t="s">
        <v>231</v>
      </c>
      <c r="AF44" s="32"/>
      <c r="AG44" s="17" t="s">
        <v>232</v>
      </c>
      <c r="AH44" s="17"/>
      <c r="AI44" s="17"/>
      <c r="AJ44" s="17"/>
      <c r="AK44" s="17" t="s">
        <v>233</v>
      </c>
      <c r="AL44" s="17"/>
      <c r="AM44" s="17"/>
      <c r="AN44" s="17"/>
      <c r="AO44" s="17"/>
      <c r="AP44" s="17"/>
      <c r="AQ44" s="17" t="s">
        <v>64</v>
      </c>
      <c r="AR44" s="17"/>
      <c r="AS44" s="20" t="s">
        <v>65</v>
      </c>
      <c r="AT44" s="20" t="s">
        <v>459</v>
      </c>
      <c r="AU44" s="20" t="s">
        <v>67</v>
      </c>
      <c r="AV44" s="24">
        <v>53.51</v>
      </c>
      <c r="AW44" s="25">
        <v>39</v>
      </c>
      <c r="AX44" s="24">
        <v>16.100000000000001</v>
      </c>
      <c r="AY44" s="28">
        <v>33.64</v>
      </c>
      <c r="AZ44" s="29">
        <v>39</v>
      </c>
      <c r="BA44" s="28">
        <v>15.49</v>
      </c>
      <c r="BB44" s="24"/>
      <c r="BC44" s="24"/>
      <c r="BD44" s="22" t="s">
        <v>238</v>
      </c>
      <c r="BE44" s="22">
        <v>90</v>
      </c>
      <c r="BF44" s="22">
        <v>90</v>
      </c>
    </row>
    <row r="45" spans="1:58" x14ac:dyDescent="0.2">
      <c r="A45" t="s">
        <v>787</v>
      </c>
      <c r="B45" s="17" t="s">
        <v>226</v>
      </c>
      <c r="C45" s="17">
        <v>2017</v>
      </c>
      <c r="D45" s="17" t="s">
        <v>227</v>
      </c>
      <c r="E45" s="17" t="s">
        <v>792</v>
      </c>
      <c r="F45" s="17" t="s">
        <v>795</v>
      </c>
      <c r="G45" s="32" t="s">
        <v>105</v>
      </c>
      <c r="H45" s="8" t="s">
        <v>106</v>
      </c>
      <c r="I45" s="17" t="s">
        <v>175</v>
      </c>
      <c r="J45" s="17" t="s">
        <v>228</v>
      </c>
      <c r="K45" s="17" t="s">
        <v>91</v>
      </c>
      <c r="L45" s="17" t="s">
        <v>54</v>
      </c>
      <c r="M45" s="17" t="s">
        <v>121</v>
      </c>
      <c r="N45" s="17" t="s">
        <v>56</v>
      </c>
      <c r="O45" s="34" t="s">
        <v>58</v>
      </c>
      <c r="P45" s="34" t="s">
        <v>58</v>
      </c>
      <c r="Q45" s="34" t="s">
        <v>93</v>
      </c>
      <c r="R45" s="34" t="s">
        <v>58</v>
      </c>
      <c r="S45" s="34" t="s">
        <v>58</v>
      </c>
      <c r="T45" s="34" t="s">
        <v>58</v>
      </c>
      <c r="U45" s="51" t="s">
        <v>58</v>
      </c>
      <c r="V45" s="51" t="s">
        <v>58</v>
      </c>
      <c r="W45" s="51" t="s">
        <v>93</v>
      </c>
      <c r="X45" s="51" t="s">
        <v>58</v>
      </c>
      <c r="Y45" s="51" t="s">
        <v>58</v>
      </c>
      <c r="Z45" s="51" t="s">
        <v>58</v>
      </c>
      <c r="AA45" s="32"/>
      <c r="AB45" s="32"/>
      <c r="AC45" s="32" t="s">
        <v>229</v>
      </c>
      <c r="AD45" s="32" t="s">
        <v>230</v>
      </c>
      <c r="AE45" s="32" t="s">
        <v>231</v>
      </c>
      <c r="AF45" s="32"/>
      <c r="AG45" s="17" t="s">
        <v>232</v>
      </c>
      <c r="AH45" s="17"/>
      <c r="AI45" s="17"/>
      <c r="AJ45" s="17"/>
      <c r="AK45" s="17" t="s">
        <v>233</v>
      </c>
      <c r="AL45" s="17"/>
      <c r="AM45" s="17"/>
      <c r="AN45" s="17"/>
      <c r="AO45" s="17"/>
      <c r="AP45" s="17"/>
      <c r="AQ45" s="17" t="s">
        <v>64</v>
      </c>
      <c r="AR45" s="17"/>
      <c r="AS45" s="20" t="s">
        <v>477</v>
      </c>
      <c r="AT45" s="20" t="s">
        <v>143</v>
      </c>
      <c r="AU45" s="20" t="s">
        <v>67</v>
      </c>
      <c r="AV45" s="24">
        <v>48.82</v>
      </c>
      <c r="AW45" s="25">
        <v>39</v>
      </c>
      <c r="AX45" s="24">
        <v>7.83</v>
      </c>
      <c r="AY45" s="28">
        <v>55.04</v>
      </c>
      <c r="AZ45" s="29">
        <v>39</v>
      </c>
      <c r="BA45" s="28">
        <v>5.88</v>
      </c>
      <c r="BB45" s="24"/>
      <c r="BC45" s="24"/>
      <c r="BD45" s="22" t="s">
        <v>238</v>
      </c>
      <c r="BE45" s="22">
        <v>90</v>
      </c>
      <c r="BF45" s="22">
        <v>90</v>
      </c>
    </row>
    <row r="46" spans="1:58" x14ac:dyDescent="0.2">
      <c r="A46" t="s">
        <v>787</v>
      </c>
      <c r="B46" s="17" t="s">
        <v>226</v>
      </c>
      <c r="C46" s="17">
        <v>2017</v>
      </c>
      <c r="D46" s="17" t="s">
        <v>239</v>
      </c>
      <c r="E46" s="17" t="s">
        <v>88</v>
      </c>
      <c r="F46" s="8" t="s">
        <v>807</v>
      </c>
      <c r="G46" s="17" t="s">
        <v>88</v>
      </c>
      <c r="H46" s="17" t="s">
        <v>88</v>
      </c>
      <c r="I46" s="17" t="s">
        <v>175</v>
      </c>
      <c r="J46" s="17" t="s">
        <v>228</v>
      </c>
      <c r="K46" s="17" t="s">
        <v>91</v>
      </c>
      <c r="L46" s="17" t="s">
        <v>54</v>
      </c>
      <c r="M46" s="17" t="s">
        <v>121</v>
      </c>
      <c r="N46" s="17" t="s">
        <v>56</v>
      </c>
      <c r="O46" s="34" t="s">
        <v>58</v>
      </c>
      <c r="P46" s="34" t="s">
        <v>58</v>
      </c>
      <c r="Q46" s="34" t="s">
        <v>93</v>
      </c>
      <c r="R46" s="34" t="s">
        <v>58</v>
      </c>
      <c r="S46" s="34" t="s">
        <v>58</v>
      </c>
      <c r="T46" s="34" t="s">
        <v>58</v>
      </c>
      <c r="U46" s="51" t="s">
        <v>58</v>
      </c>
      <c r="V46" s="51" t="s">
        <v>58</v>
      </c>
      <c r="W46" s="51" t="s">
        <v>93</v>
      </c>
      <c r="X46" s="51" t="s">
        <v>58</v>
      </c>
      <c r="Y46" s="51" t="s">
        <v>58</v>
      </c>
      <c r="Z46" s="51" t="s">
        <v>58</v>
      </c>
      <c r="AA46" s="32"/>
      <c r="AB46" s="32"/>
      <c r="AC46" s="32" t="s">
        <v>240</v>
      </c>
      <c r="AD46" s="32" t="s">
        <v>241</v>
      </c>
      <c r="AE46" s="32" t="s">
        <v>242</v>
      </c>
      <c r="AF46" s="32"/>
      <c r="AG46" s="17" t="s">
        <v>243</v>
      </c>
      <c r="AH46" s="17"/>
      <c r="AI46" s="17"/>
      <c r="AJ46" s="17"/>
      <c r="AK46" s="17" t="s">
        <v>244</v>
      </c>
      <c r="AL46" s="17"/>
      <c r="AM46" s="17"/>
      <c r="AN46" s="17"/>
      <c r="AO46" s="17"/>
      <c r="AP46" s="17"/>
      <c r="AQ46" s="17" t="s">
        <v>245</v>
      </c>
      <c r="AR46" s="17"/>
      <c r="AS46" s="20" t="s">
        <v>477</v>
      </c>
      <c r="AT46" s="20" t="s">
        <v>143</v>
      </c>
      <c r="AU46" s="20" t="s">
        <v>67</v>
      </c>
      <c r="AV46" s="24">
        <v>48.67</v>
      </c>
      <c r="AW46" s="25">
        <v>39</v>
      </c>
      <c r="AX46" s="24">
        <v>4.2</v>
      </c>
      <c r="AY46" s="28">
        <v>46.77</v>
      </c>
      <c r="AZ46" s="29">
        <v>39</v>
      </c>
      <c r="BA46" s="28">
        <v>4</v>
      </c>
      <c r="BB46" s="24"/>
      <c r="BC46" s="24"/>
      <c r="BD46" s="22" t="s">
        <v>238</v>
      </c>
      <c r="BE46" s="22">
        <v>90</v>
      </c>
      <c r="BF46" s="22">
        <v>90</v>
      </c>
    </row>
    <row r="47" spans="1:58" x14ac:dyDescent="0.2">
      <c r="A47" t="s">
        <v>787</v>
      </c>
      <c r="B47" s="17" t="s">
        <v>226</v>
      </c>
      <c r="C47" s="17">
        <v>2017</v>
      </c>
      <c r="D47" s="17" t="s">
        <v>239</v>
      </c>
      <c r="E47" s="17" t="s">
        <v>88</v>
      </c>
      <c r="F47" s="8" t="s">
        <v>807</v>
      </c>
      <c r="G47" s="17" t="s">
        <v>88</v>
      </c>
      <c r="H47" s="17" t="s">
        <v>88</v>
      </c>
      <c r="I47" s="17" t="s">
        <v>175</v>
      </c>
      <c r="J47" s="17" t="s">
        <v>228</v>
      </c>
      <c r="K47" s="17" t="s">
        <v>91</v>
      </c>
      <c r="L47" s="17" t="s">
        <v>54</v>
      </c>
      <c r="M47" s="17" t="s">
        <v>121</v>
      </c>
      <c r="N47" s="17" t="s">
        <v>56</v>
      </c>
      <c r="O47" s="34" t="s">
        <v>58</v>
      </c>
      <c r="P47" s="34" t="s">
        <v>58</v>
      </c>
      <c r="Q47" s="34" t="s">
        <v>93</v>
      </c>
      <c r="R47" s="34" t="s">
        <v>58</v>
      </c>
      <c r="S47" s="34" t="s">
        <v>58</v>
      </c>
      <c r="T47" s="34" t="s">
        <v>58</v>
      </c>
      <c r="U47" s="51" t="s">
        <v>58</v>
      </c>
      <c r="V47" s="51" t="s">
        <v>58</v>
      </c>
      <c r="W47" s="51" t="s">
        <v>93</v>
      </c>
      <c r="X47" s="51" t="s">
        <v>58</v>
      </c>
      <c r="Y47" s="51" t="s">
        <v>58</v>
      </c>
      <c r="Z47" s="51" t="s">
        <v>58</v>
      </c>
      <c r="AA47" s="32"/>
      <c r="AB47" s="32"/>
      <c r="AC47" s="32" t="s">
        <v>240</v>
      </c>
      <c r="AD47" s="32" t="s">
        <v>241</v>
      </c>
      <c r="AE47" s="32" t="s">
        <v>242</v>
      </c>
      <c r="AF47" s="32"/>
      <c r="AG47" s="17" t="s">
        <v>243</v>
      </c>
      <c r="AH47" s="17"/>
      <c r="AI47" s="17"/>
      <c r="AJ47" s="17"/>
      <c r="AK47" s="17" t="s">
        <v>244</v>
      </c>
      <c r="AL47" s="17"/>
      <c r="AM47" s="17"/>
      <c r="AN47" s="17"/>
      <c r="AO47" s="17"/>
      <c r="AP47" s="17"/>
      <c r="AQ47" s="17" t="s">
        <v>245</v>
      </c>
      <c r="AR47" s="17"/>
      <c r="AS47" s="20" t="s">
        <v>65</v>
      </c>
      <c r="AT47" s="20" t="s">
        <v>459</v>
      </c>
      <c r="AU47" s="20" t="s">
        <v>67</v>
      </c>
      <c r="AV47" s="24">
        <v>56.46</v>
      </c>
      <c r="AW47" s="25">
        <v>39</v>
      </c>
      <c r="AX47" s="24">
        <v>9.18</v>
      </c>
      <c r="AY47" s="28">
        <v>58.26</v>
      </c>
      <c r="AZ47" s="29">
        <v>39</v>
      </c>
      <c r="BA47" s="28">
        <v>10.6</v>
      </c>
      <c r="BB47" s="24"/>
      <c r="BC47" s="24"/>
      <c r="BD47" s="22" t="s">
        <v>238</v>
      </c>
      <c r="BE47" s="22">
        <v>90</v>
      </c>
      <c r="BF47" s="22">
        <v>90</v>
      </c>
    </row>
    <row r="48" spans="1:58" x14ac:dyDescent="0.2">
      <c r="A48" t="s">
        <v>787</v>
      </c>
      <c r="B48" s="17" t="s">
        <v>256</v>
      </c>
      <c r="C48" s="17">
        <v>2017</v>
      </c>
      <c r="D48" s="17" t="s">
        <v>87</v>
      </c>
      <c r="E48" s="17" t="s">
        <v>88</v>
      </c>
      <c r="F48" s="8" t="s">
        <v>807</v>
      </c>
      <c r="G48" s="17" t="s">
        <v>88</v>
      </c>
      <c r="H48" s="17" t="s">
        <v>88</v>
      </c>
      <c r="I48" s="17" t="s">
        <v>258</v>
      </c>
      <c r="J48" s="17" t="s">
        <v>259</v>
      </c>
      <c r="K48" s="17" t="s">
        <v>91</v>
      </c>
      <c r="L48" s="17" t="s">
        <v>54</v>
      </c>
      <c r="M48" s="17" t="s">
        <v>260</v>
      </c>
      <c r="N48" s="17" t="s">
        <v>56</v>
      </c>
      <c r="O48" s="34" t="s">
        <v>58</v>
      </c>
      <c r="P48" s="34" t="s">
        <v>57</v>
      </c>
      <c r="Q48" s="34" t="s">
        <v>57</v>
      </c>
      <c r="R48" s="34" t="s">
        <v>57</v>
      </c>
      <c r="S48" s="34" t="s">
        <v>58</v>
      </c>
      <c r="T48" s="34" t="s">
        <v>57</v>
      </c>
      <c r="U48" s="51" t="s">
        <v>58</v>
      </c>
      <c r="V48" s="51" t="s">
        <v>57</v>
      </c>
      <c r="W48" s="51" t="s">
        <v>57</v>
      </c>
      <c r="X48" s="51" t="s">
        <v>57</v>
      </c>
      <c r="Y48" s="51" t="s">
        <v>58</v>
      </c>
      <c r="Z48" s="51" t="s">
        <v>57</v>
      </c>
      <c r="AA48" s="32"/>
      <c r="AB48" s="32" t="s">
        <v>68</v>
      </c>
      <c r="AC48" s="32" t="s">
        <v>271</v>
      </c>
      <c r="AD48" s="32" t="s">
        <v>272</v>
      </c>
      <c r="AE48" s="32"/>
      <c r="AF48" s="32"/>
      <c r="AG48" s="17" t="s">
        <v>87</v>
      </c>
      <c r="AH48" s="17"/>
      <c r="AI48" s="17"/>
      <c r="AJ48" s="17"/>
      <c r="AK48" s="17" t="s">
        <v>273</v>
      </c>
      <c r="AL48" s="17"/>
      <c r="AM48" s="17"/>
      <c r="AN48" s="17"/>
      <c r="AO48" s="17"/>
      <c r="AP48" s="17"/>
      <c r="AQ48" s="17" t="s">
        <v>273</v>
      </c>
      <c r="AR48" s="17"/>
      <c r="AS48" s="20" t="s">
        <v>65</v>
      </c>
      <c r="AT48" s="20" t="s">
        <v>66</v>
      </c>
      <c r="AU48" s="20" t="s">
        <v>67</v>
      </c>
      <c r="AV48" s="24">
        <v>78.45</v>
      </c>
      <c r="AW48" s="25">
        <v>20</v>
      </c>
      <c r="AX48" s="24">
        <v>3.26</v>
      </c>
      <c r="AY48" s="28">
        <v>79.3</v>
      </c>
      <c r="AZ48" s="29">
        <v>20</v>
      </c>
      <c r="BA48" s="28">
        <v>3.79</v>
      </c>
      <c r="BB48" s="24"/>
      <c r="BC48" s="24"/>
      <c r="BD48" s="22" t="s">
        <v>270</v>
      </c>
      <c r="BE48" s="22">
        <v>49</v>
      </c>
      <c r="BF48" s="22">
        <v>49</v>
      </c>
    </row>
    <row r="49" spans="1:62" x14ac:dyDescent="0.2">
      <c r="A49" t="s">
        <v>787</v>
      </c>
      <c r="B49" s="17" t="s">
        <v>256</v>
      </c>
      <c r="C49" s="17">
        <v>2017</v>
      </c>
      <c r="D49" s="17" t="s">
        <v>257</v>
      </c>
      <c r="E49" s="17" t="s">
        <v>801</v>
      </c>
      <c r="F49" s="17" t="s">
        <v>806</v>
      </c>
      <c r="G49" s="32" t="s">
        <v>49</v>
      </c>
      <c r="H49" s="17" t="s">
        <v>75</v>
      </c>
      <c r="I49" s="17" t="s">
        <v>258</v>
      </c>
      <c r="J49" s="17" t="s">
        <v>259</v>
      </c>
      <c r="K49" s="17" t="s">
        <v>91</v>
      </c>
      <c r="L49" s="17" t="s">
        <v>54</v>
      </c>
      <c r="M49" s="17" t="s">
        <v>260</v>
      </c>
      <c r="N49" s="17" t="s">
        <v>56</v>
      </c>
      <c r="O49" s="34" t="s">
        <v>58</v>
      </c>
      <c r="P49" s="34" t="s">
        <v>57</v>
      </c>
      <c r="Q49" s="34" t="s">
        <v>57</v>
      </c>
      <c r="R49" s="34" t="s">
        <v>57</v>
      </c>
      <c r="S49" s="34" t="s">
        <v>58</v>
      </c>
      <c r="T49" s="34" t="s">
        <v>57</v>
      </c>
      <c r="U49" s="51" t="s">
        <v>58</v>
      </c>
      <c r="V49" s="51" t="s">
        <v>57</v>
      </c>
      <c r="W49" s="51" t="s">
        <v>57</v>
      </c>
      <c r="X49" s="51" t="s">
        <v>57</v>
      </c>
      <c r="Y49" s="51" t="s">
        <v>58</v>
      </c>
      <c r="Z49" s="51" t="s">
        <v>57</v>
      </c>
      <c r="AA49" s="32"/>
      <c r="AB49" s="32" t="s">
        <v>261</v>
      </c>
      <c r="AC49" s="32" t="s">
        <v>262</v>
      </c>
      <c r="AD49" s="32" t="s">
        <v>263</v>
      </c>
      <c r="AE49" s="32"/>
      <c r="AF49" s="32"/>
      <c r="AG49" s="17" t="s">
        <v>264</v>
      </c>
      <c r="AH49" s="17"/>
      <c r="AI49" s="17"/>
      <c r="AJ49" s="17"/>
      <c r="AK49" s="17" t="s">
        <v>265</v>
      </c>
      <c r="AL49" s="17"/>
      <c r="AM49" s="17"/>
      <c r="AN49" s="17"/>
      <c r="AO49" s="17"/>
      <c r="AP49" s="17"/>
      <c r="AQ49" s="17" t="s">
        <v>64</v>
      </c>
      <c r="AR49" s="17"/>
      <c r="AS49" s="20" t="s">
        <v>65</v>
      </c>
      <c r="AT49" s="20" t="s">
        <v>66</v>
      </c>
      <c r="AU49" s="20" t="s">
        <v>67</v>
      </c>
      <c r="AV49" s="24">
        <v>78.3</v>
      </c>
      <c r="AW49" s="25">
        <v>20</v>
      </c>
      <c r="AX49" s="24">
        <v>4.46</v>
      </c>
      <c r="AY49" s="28">
        <v>67.099999999999895</v>
      </c>
      <c r="AZ49" s="29">
        <v>20</v>
      </c>
      <c r="BA49" s="28">
        <v>7.18</v>
      </c>
      <c r="BB49" s="24"/>
      <c r="BC49" s="24"/>
      <c r="BD49" s="22" t="s">
        <v>270</v>
      </c>
      <c r="BE49" s="22">
        <v>49</v>
      </c>
      <c r="BF49" s="22">
        <v>49</v>
      </c>
    </row>
    <row r="50" spans="1:62" s="23" customFormat="1" x14ac:dyDescent="0.2">
      <c r="A50" t="s">
        <v>787</v>
      </c>
      <c r="B50" s="22" t="s">
        <v>277</v>
      </c>
      <c r="C50" s="22">
        <v>2017</v>
      </c>
      <c r="D50" s="22" t="s">
        <v>278</v>
      </c>
      <c r="E50" s="22" t="s">
        <v>802</v>
      </c>
      <c r="F50" s="22" t="s">
        <v>805</v>
      </c>
      <c r="G50" s="32" t="s">
        <v>49</v>
      </c>
      <c r="H50" s="22" t="s">
        <v>50</v>
      </c>
      <c r="I50" s="22" t="s">
        <v>279</v>
      </c>
      <c r="J50" s="22" t="s">
        <v>280</v>
      </c>
      <c r="K50" s="22" t="s">
        <v>53</v>
      </c>
      <c r="L50" s="22" t="s">
        <v>54</v>
      </c>
      <c r="M50" s="22" t="s">
        <v>260</v>
      </c>
      <c r="N50" s="22" t="s">
        <v>56</v>
      </c>
      <c r="O50" s="34" t="s">
        <v>58</v>
      </c>
      <c r="P50" s="34" t="s">
        <v>57</v>
      </c>
      <c r="Q50" s="34" t="s">
        <v>57</v>
      </c>
      <c r="R50" s="34" t="s">
        <v>57</v>
      </c>
      <c r="S50" s="34" t="s">
        <v>57</v>
      </c>
      <c r="T50" s="34" t="s">
        <v>57</v>
      </c>
      <c r="U50" s="51" t="s">
        <v>58</v>
      </c>
      <c r="V50" s="51" t="s">
        <v>57</v>
      </c>
      <c r="W50" s="51" t="s">
        <v>57</v>
      </c>
      <c r="X50" s="51" t="s">
        <v>57</v>
      </c>
      <c r="Y50" s="51" t="s">
        <v>57</v>
      </c>
      <c r="Z50" s="51" t="s">
        <v>57</v>
      </c>
      <c r="AA50" s="32"/>
      <c r="AB50" s="32"/>
      <c r="AC50" s="32"/>
      <c r="AD50" s="32"/>
      <c r="AE50" s="32"/>
      <c r="AF50" s="32"/>
      <c r="AG50" s="22" t="s">
        <v>281</v>
      </c>
      <c r="AH50" s="22"/>
      <c r="AI50" s="22"/>
      <c r="AJ50" s="22"/>
      <c r="AK50" s="22" t="s">
        <v>282</v>
      </c>
      <c r="AL50" s="22"/>
      <c r="AM50" s="22"/>
      <c r="AN50" s="22"/>
      <c r="AO50" s="22"/>
      <c r="AP50" s="22"/>
      <c r="AQ50" s="22" t="s">
        <v>283</v>
      </c>
      <c r="AR50" s="22"/>
      <c r="AS50" s="20" t="s">
        <v>65</v>
      </c>
      <c r="AT50" s="20" t="s">
        <v>677</v>
      </c>
      <c r="AU50" s="20" t="s">
        <v>67</v>
      </c>
      <c r="AV50" s="24">
        <v>36.75</v>
      </c>
      <c r="AW50" s="25">
        <v>32</v>
      </c>
      <c r="AX50" s="24">
        <v>1.35</v>
      </c>
      <c r="AY50" s="28">
        <v>36.64</v>
      </c>
      <c r="AZ50" s="29">
        <v>28</v>
      </c>
      <c r="BA50" s="28">
        <v>1.28</v>
      </c>
      <c r="BB50" s="24"/>
      <c r="BC50" s="24"/>
      <c r="BD50" s="22" t="s">
        <v>681</v>
      </c>
      <c r="BE50" s="22">
        <v>35</v>
      </c>
      <c r="BF50" s="22">
        <v>35</v>
      </c>
      <c r="BG50" s="33"/>
      <c r="BH50" s="33"/>
      <c r="BI50" s="33"/>
      <c r="BJ50"/>
    </row>
    <row r="51" spans="1:62" s="23" customFormat="1" x14ac:dyDescent="0.2">
      <c r="A51" t="s">
        <v>787</v>
      </c>
      <c r="B51" s="22" t="s">
        <v>277</v>
      </c>
      <c r="C51" s="22">
        <v>2017</v>
      </c>
      <c r="D51" s="22" t="s">
        <v>295</v>
      </c>
      <c r="E51" s="22" t="s">
        <v>802</v>
      </c>
      <c r="F51" s="22" t="s">
        <v>805</v>
      </c>
      <c r="G51" s="32" t="s">
        <v>49</v>
      </c>
      <c r="H51" s="22" t="s">
        <v>50</v>
      </c>
      <c r="I51" s="22" t="s">
        <v>279</v>
      </c>
      <c r="J51" s="22" t="s">
        <v>280</v>
      </c>
      <c r="K51" s="22" t="s">
        <v>53</v>
      </c>
      <c r="L51" s="22" t="s">
        <v>54</v>
      </c>
      <c r="M51" s="22" t="s">
        <v>260</v>
      </c>
      <c r="N51" s="22" t="s">
        <v>56</v>
      </c>
      <c r="O51" s="34" t="s">
        <v>58</v>
      </c>
      <c r="P51" s="34" t="s">
        <v>57</v>
      </c>
      <c r="Q51" s="34" t="s">
        <v>57</v>
      </c>
      <c r="R51" s="34" t="s">
        <v>57</v>
      </c>
      <c r="S51" s="34" t="s">
        <v>57</v>
      </c>
      <c r="T51" s="34" t="s">
        <v>57</v>
      </c>
      <c r="U51" s="51" t="s">
        <v>58</v>
      </c>
      <c r="V51" s="51" t="s">
        <v>57</v>
      </c>
      <c r="W51" s="51" t="s">
        <v>57</v>
      </c>
      <c r="X51" s="51" t="s">
        <v>57</v>
      </c>
      <c r="Y51" s="51" t="s">
        <v>57</v>
      </c>
      <c r="Z51" s="51" t="s">
        <v>57</v>
      </c>
      <c r="AA51" s="32"/>
      <c r="AB51" s="32"/>
      <c r="AC51" s="32"/>
      <c r="AD51" s="32"/>
      <c r="AE51" s="32"/>
      <c r="AF51" s="32"/>
      <c r="AG51" s="22" t="s">
        <v>296</v>
      </c>
      <c r="AH51" s="22"/>
      <c r="AI51" s="22"/>
      <c r="AJ51" s="22"/>
      <c r="AK51" s="22" t="s">
        <v>297</v>
      </c>
      <c r="AL51" s="22"/>
      <c r="AM51" s="22"/>
      <c r="AN51" s="22"/>
      <c r="AO51" s="22"/>
      <c r="AP51" s="22"/>
      <c r="AQ51" s="22" t="s">
        <v>283</v>
      </c>
      <c r="AR51" s="22"/>
      <c r="AS51" s="20" t="s">
        <v>65</v>
      </c>
      <c r="AT51" s="20" t="s">
        <v>677</v>
      </c>
      <c r="AU51" s="20" t="s">
        <v>67</v>
      </c>
      <c r="AV51" s="24">
        <v>37.159999999999897</v>
      </c>
      <c r="AW51" s="25">
        <v>33</v>
      </c>
      <c r="AX51" s="24">
        <v>1.26</v>
      </c>
      <c r="AY51" s="28">
        <v>32.43</v>
      </c>
      <c r="AZ51" s="29">
        <v>30</v>
      </c>
      <c r="BA51" s="28">
        <v>2.73</v>
      </c>
      <c r="BB51" s="24"/>
      <c r="BC51" s="24"/>
      <c r="BD51" s="22" t="s">
        <v>681</v>
      </c>
      <c r="BE51" s="22">
        <v>35</v>
      </c>
      <c r="BF51" s="22">
        <v>35</v>
      </c>
      <c r="BG51" s="33"/>
      <c r="BH51" s="33"/>
      <c r="BI51" s="33"/>
      <c r="BJ51"/>
    </row>
    <row r="52" spans="1:62" s="23" customFormat="1" x14ac:dyDescent="0.2">
      <c r="A52" t="s">
        <v>787</v>
      </c>
      <c r="B52" s="22" t="s">
        <v>277</v>
      </c>
      <c r="C52" s="22">
        <v>2017</v>
      </c>
      <c r="D52" s="22" t="s">
        <v>289</v>
      </c>
      <c r="E52" s="22" t="s">
        <v>88</v>
      </c>
      <c r="F52" s="8" t="s">
        <v>807</v>
      </c>
      <c r="G52" s="22" t="s">
        <v>88</v>
      </c>
      <c r="H52" s="22" t="s">
        <v>88</v>
      </c>
      <c r="I52" s="22" t="s">
        <v>279</v>
      </c>
      <c r="J52" s="22" t="s">
        <v>280</v>
      </c>
      <c r="K52" s="22" t="s">
        <v>53</v>
      </c>
      <c r="L52" s="22" t="s">
        <v>54</v>
      </c>
      <c r="M52" s="22" t="s">
        <v>260</v>
      </c>
      <c r="N52" s="22" t="s">
        <v>56</v>
      </c>
      <c r="O52" s="34" t="s">
        <v>58</v>
      </c>
      <c r="P52" s="34" t="s">
        <v>57</v>
      </c>
      <c r="Q52" s="34" t="s">
        <v>57</v>
      </c>
      <c r="R52" s="34" t="s">
        <v>57</v>
      </c>
      <c r="S52" s="34" t="s">
        <v>57</v>
      </c>
      <c r="T52" s="34" t="s">
        <v>57</v>
      </c>
      <c r="U52" s="51" t="s">
        <v>58</v>
      </c>
      <c r="V52" s="51" t="s">
        <v>57</v>
      </c>
      <c r="W52" s="51" t="s">
        <v>57</v>
      </c>
      <c r="X52" s="51" t="s">
        <v>57</v>
      </c>
      <c r="Y52" s="51" t="s">
        <v>57</v>
      </c>
      <c r="Z52" s="51" t="s">
        <v>57</v>
      </c>
      <c r="AA52" s="32"/>
      <c r="AB52" s="32"/>
      <c r="AC52" s="32"/>
      <c r="AD52" s="32"/>
      <c r="AE52" s="32"/>
      <c r="AF52" s="32"/>
      <c r="AG52" s="22" t="s">
        <v>87</v>
      </c>
      <c r="AH52" s="22"/>
      <c r="AI52" s="22"/>
      <c r="AJ52" s="22"/>
      <c r="AK52" s="22" t="s">
        <v>290</v>
      </c>
      <c r="AL52" s="22"/>
      <c r="AM52" s="22"/>
      <c r="AN52" s="22"/>
      <c r="AO52" s="22"/>
      <c r="AP52" s="22"/>
      <c r="AQ52" s="22" t="s">
        <v>100</v>
      </c>
      <c r="AR52" s="22"/>
      <c r="AS52" s="20" t="s">
        <v>65</v>
      </c>
      <c r="AT52" s="20" t="s">
        <v>677</v>
      </c>
      <c r="AU52" s="20" t="s">
        <v>67</v>
      </c>
      <c r="AV52" s="24">
        <v>37.58</v>
      </c>
      <c r="AW52" s="25">
        <v>35</v>
      </c>
      <c r="AX52" s="24">
        <v>1.64</v>
      </c>
      <c r="AY52" s="28">
        <v>37.19</v>
      </c>
      <c r="AZ52" s="29">
        <v>31</v>
      </c>
      <c r="BA52" s="28">
        <v>1.53</v>
      </c>
      <c r="BB52" s="24"/>
      <c r="BC52" s="24"/>
      <c r="BD52" s="22" t="s">
        <v>681</v>
      </c>
      <c r="BE52" s="22">
        <v>35</v>
      </c>
      <c r="BF52" s="22">
        <v>35</v>
      </c>
      <c r="BG52" s="33" t="s">
        <v>784</v>
      </c>
      <c r="BH52" s="33"/>
      <c r="BI52" s="33"/>
      <c r="BJ52"/>
    </row>
    <row r="53" spans="1:62" s="23" customFormat="1" x14ac:dyDescent="0.2">
      <c r="A53" t="s">
        <v>787</v>
      </c>
      <c r="B53" s="17" t="s">
        <v>303</v>
      </c>
      <c r="C53" s="17">
        <v>2014</v>
      </c>
      <c r="D53" s="17" t="s">
        <v>312</v>
      </c>
      <c r="E53" s="17" t="s">
        <v>800</v>
      </c>
      <c r="F53" s="8" t="s">
        <v>804</v>
      </c>
      <c r="G53" s="32" t="s">
        <v>49</v>
      </c>
      <c r="H53" s="17" t="s">
        <v>50</v>
      </c>
      <c r="I53" s="17" t="s">
        <v>279</v>
      </c>
      <c r="J53" s="17" t="s">
        <v>305</v>
      </c>
      <c r="K53" s="17" t="s">
        <v>53</v>
      </c>
      <c r="L53" s="17" t="s">
        <v>54</v>
      </c>
      <c r="M53" s="17" t="s">
        <v>260</v>
      </c>
      <c r="N53" s="17"/>
      <c r="O53" s="34" t="s">
        <v>57</v>
      </c>
      <c r="P53" s="34" t="s">
        <v>57</v>
      </c>
      <c r="Q53" s="34" t="s">
        <v>57</v>
      </c>
      <c r="R53" s="34" t="s">
        <v>57</v>
      </c>
      <c r="S53" s="34" t="s">
        <v>58</v>
      </c>
      <c r="T53" s="34" t="s">
        <v>57</v>
      </c>
      <c r="U53" s="51" t="s">
        <v>57</v>
      </c>
      <c r="V53" s="51" t="s">
        <v>57</v>
      </c>
      <c r="W53" s="51" t="s">
        <v>57</v>
      </c>
      <c r="X53" s="51" t="s">
        <v>57</v>
      </c>
      <c r="Y53" s="51" t="s">
        <v>58</v>
      </c>
      <c r="Z53" s="51" t="s">
        <v>57</v>
      </c>
      <c r="AA53" s="32"/>
      <c r="AB53" s="32"/>
      <c r="AC53" s="32"/>
      <c r="AD53" s="32" t="s">
        <v>306</v>
      </c>
      <c r="AE53" s="32"/>
      <c r="AF53" s="32"/>
      <c r="AG53" s="17"/>
      <c r="AH53" s="17"/>
      <c r="AI53" s="17"/>
      <c r="AJ53" s="17"/>
      <c r="AK53" s="17"/>
      <c r="AL53" s="17"/>
      <c r="AM53" s="17"/>
      <c r="AN53" s="17"/>
      <c r="AO53" s="17"/>
      <c r="AP53" s="17"/>
      <c r="AQ53" s="17"/>
      <c r="AR53" s="17"/>
      <c r="AS53" s="20" t="s">
        <v>65</v>
      </c>
      <c r="AT53" s="20" t="s">
        <v>459</v>
      </c>
      <c r="AU53" s="20" t="s">
        <v>67</v>
      </c>
      <c r="AV53" s="24">
        <v>31.6</v>
      </c>
      <c r="AW53" s="25">
        <v>10</v>
      </c>
      <c r="AX53" s="24">
        <v>16.36</v>
      </c>
      <c r="AY53" s="28">
        <v>24</v>
      </c>
      <c r="AZ53" s="29">
        <v>10</v>
      </c>
      <c r="BA53" s="28">
        <v>14.25</v>
      </c>
      <c r="BB53" s="24"/>
      <c r="BC53" s="24"/>
      <c r="BD53" s="22" t="s">
        <v>681</v>
      </c>
      <c r="BE53" s="22">
        <v>35</v>
      </c>
      <c r="BF53" s="22">
        <v>35</v>
      </c>
      <c r="BG53" s="33"/>
      <c r="BH53" s="33"/>
      <c r="BI53" s="33"/>
      <c r="BJ53"/>
    </row>
    <row r="54" spans="1:62" s="23" customFormat="1" x14ac:dyDescent="0.2">
      <c r="A54" t="s">
        <v>787</v>
      </c>
      <c r="B54" s="17" t="s">
        <v>303</v>
      </c>
      <c r="C54" s="17">
        <v>2014</v>
      </c>
      <c r="D54" s="17" t="s">
        <v>304</v>
      </c>
      <c r="E54" s="17" t="s">
        <v>88</v>
      </c>
      <c r="F54" s="8" t="s">
        <v>807</v>
      </c>
      <c r="G54" s="17" t="s">
        <v>88</v>
      </c>
      <c r="H54" s="17" t="s">
        <v>88</v>
      </c>
      <c r="I54" s="17" t="s">
        <v>279</v>
      </c>
      <c r="J54" s="17" t="s">
        <v>305</v>
      </c>
      <c r="K54" s="17" t="s">
        <v>53</v>
      </c>
      <c r="L54" s="17" t="s">
        <v>54</v>
      </c>
      <c r="M54" s="17" t="s">
        <v>260</v>
      </c>
      <c r="N54" s="17"/>
      <c r="O54" s="34" t="s">
        <v>57</v>
      </c>
      <c r="P54" s="34" t="s">
        <v>57</v>
      </c>
      <c r="Q54" s="34" t="s">
        <v>57</v>
      </c>
      <c r="R54" s="34" t="s">
        <v>57</v>
      </c>
      <c r="S54" s="34" t="s">
        <v>58</v>
      </c>
      <c r="T54" s="34" t="s">
        <v>57</v>
      </c>
      <c r="U54" s="51" t="s">
        <v>57</v>
      </c>
      <c r="V54" s="51" t="s">
        <v>57</v>
      </c>
      <c r="W54" s="51" t="s">
        <v>57</v>
      </c>
      <c r="X54" s="51" t="s">
        <v>57</v>
      </c>
      <c r="Y54" s="51" t="s">
        <v>58</v>
      </c>
      <c r="Z54" s="51" t="s">
        <v>57</v>
      </c>
      <c r="AA54" s="32"/>
      <c r="AB54" s="32"/>
      <c r="AC54" s="32"/>
      <c r="AD54" s="32" t="s">
        <v>306</v>
      </c>
      <c r="AE54" s="32"/>
      <c r="AF54" s="32"/>
      <c r="AG54" s="17"/>
      <c r="AH54" s="17"/>
      <c r="AI54" s="17"/>
      <c r="AJ54" s="17"/>
      <c r="AK54" s="17"/>
      <c r="AL54" s="17"/>
      <c r="AM54" s="17"/>
      <c r="AN54" s="17"/>
      <c r="AO54" s="17"/>
      <c r="AP54" s="17"/>
      <c r="AQ54" s="17"/>
      <c r="AR54" s="17"/>
      <c r="AS54" s="20" t="s">
        <v>317</v>
      </c>
      <c r="AT54" s="20" t="s">
        <v>678</v>
      </c>
      <c r="AU54" s="20" t="s">
        <v>67</v>
      </c>
      <c r="AV54" s="24">
        <v>12.7</v>
      </c>
      <c r="AW54" s="25">
        <v>10</v>
      </c>
      <c r="AX54" s="24">
        <v>4.57</v>
      </c>
      <c r="AY54" s="28">
        <v>19.399999999999899</v>
      </c>
      <c r="AZ54" s="29">
        <v>10</v>
      </c>
      <c r="BA54" s="28">
        <v>9.2100000000000009</v>
      </c>
      <c r="BB54" s="24"/>
      <c r="BC54" s="24"/>
      <c r="BD54" s="22" t="s">
        <v>681</v>
      </c>
      <c r="BE54" s="22">
        <v>35</v>
      </c>
      <c r="BF54" s="22">
        <v>35</v>
      </c>
      <c r="BG54" s="33"/>
      <c r="BH54" s="33"/>
      <c r="BI54" s="33"/>
      <c r="BJ54"/>
    </row>
    <row r="55" spans="1:62" s="23" customFormat="1" x14ac:dyDescent="0.2">
      <c r="A55" t="s">
        <v>787</v>
      </c>
      <c r="B55" s="17" t="s">
        <v>303</v>
      </c>
      <c r="C55" s="17">
        <v>2014</v>
      </c>
      <c r="D55" s="17" t="s">
        <v>312</v>
      </c>
      <c r="E55" s="17" t="s">
        <v>800</v>
      </c>
      <c r="F55" s="8" t="s">
        <v>804</v>
      </c>
      <c r="G55" s="32" t="s">
        <v>49</v>
      </c>
      <c r="H55" s="17" t="s">
        <v>50</v>
      </c>
      <c r="I55" s="17" t="s">
        <v>279</v>
      </c>
      <c r="J55" s="17" t="s">
        <v>305</v>
      </c>
      <c r="K55" s="17" t="s">
        <v>53</v>
      </c>
      <c r="L55" s="17" t="s">
        <v>54</v>
      </c>
      <c r="M55" s="17" t="s">
        <v>260</v>
      </c>
      <c r="N55" s="17"/>
      <c r="O55" s="34" t="s">
        <v>57</v>
      </c>
      <c r="P55" s="34" t="s">
        <v>57</v>
      </c>
      <c r="Q55" s="34" t="s">
        <v>57</v>
      </c>
      <c r="R55" s="34" t="s">
        <v>57</v>
      </c>
      <c r="S55" s="34" t="s">
        <v>58</v>
      </c>
      <c r="T55" s="34" t="s">
        <v>57</v>
      </c>
      <c r="U55" s="51" t="s">
        <v>57</v>
      </c>
      <c r="V55" s="51" t="s">
        <v>57</v>
      </c>
      <c r="W55" s="51" t="s">
        <v>57</v>
      </c>
      <c r="X55" s="51" t="s">
        <v>57</v>
      </c>
      <c r="Y55" s="51" t="s">
        <v>58</v>
      </c>
      <c r="Z55" s="51" t="s">
        <v>57</v>
      </c>
      <c r="AA55" s="32"/>
      <c r="AB55" s="32"/>
      <c r="AC55" s="32"/>
      <c r="AD55" s="32" t="s">
        <v>306</v>
      </c>
      <c r="AE55" s="32"/>
      <c r="AF55" s="32"/>
      <c r="AG55" s="17"/>
      <c r="AH55" s="17"/>
      <c r="AI55" s="17"/>
      <c r="AJ55" s="17"/>
      <c r="AK55" s="17"/>
      <c r="AL55" s="17"/>
      <c r="AM55" s="17"/>
      <c r="AN55" s="17"/>
      <c r="AO55" s="17"/>
      <c r="AP55" s="17"/>
      <c r="AQ55" s="17"/>
      <c r="AR55" s="17"/>
      <c r="AS55" s="20" t="s">
        <v>317</v>
      </c>
      <c r="AT55" s="20" t="s">
        <v>678</v>
      </c>
      <c r="AU55" s="20" t="s">
        <v>67</v>
      </c>
      <c r="AV55" s="24">
        <v>20</v>
      </c>
      <c r="AW55" s="25">
        <v>10</v>
      </c>
      <c r="AX55" s="24">
        <v>6.16</v>
      </c>
      <c r="AY55" s="28">
        <v>6.7</v>
      </c>
      <c r="AZ55" s="29">
        <v>10</v>
      </c>
      <c r="BA55" s="28">
        <v>2.54</v>
      </c>
      <c r="BB55" s="24"/>
      <c r="BC55" s="24"/>
      <c r="BD55" s="22" t="s">
        <v>681</v>
      </c>
      <c r="BE55" s="22">
        <v>35</v>
      </c>
      <c r="BF55" s="22">
        <v>35</v>
      </c>
      <c r="BG55" s="33"/>
      <c r="BH55" s="33"/>
      <c r="BI55" s="33"/>
      <c r="BJ55"/>
    </row>
    <row r="56" spans="1:62" x14ac:dyDescent="0.2">
      <c r="A56" t="s">
        <v>787</v>
      </c>
      <c r="B56" s="17" t="s">
        <v>303</v>
      </c>
      <c r="C56" s="17">
        <v>2014</v>
      </c>
      <c r="D56" s="17" t="s">
        <v>304</v>
      </c>
      <c r="E56" s="17" t="s">
        <v>88</v>
      </c>
      <c r="F56" s="8" t="s">
        <v>807</v>
      </c>
      <c r="G56" s="17" t="s">
        <v>88</v>
      </c>
      <c r="H56" s="17" t="s">
        <v>88</v>
      </c>
      <c r="I56" s="17" t="s">
        <v>279</v>
      </c>
      <c r="J56" s="17" t="s">
        <v>305</v>
      </c>
      <c r="K56" s="17" t="s">
        <v>53</v>
      </c>
      <c r="L56" s="17" t="s">
        <v>54</v>
      </c>
      <c r="M56" s="17" t="s">
        <v>260</v>
      </c>
      <c r="N56" s="17"/>
      <c r="O56" s="34" t="s">
        <v>57</v>
      </c>
      <c r="P56" s="34" t="s">
        <v>57</v>
      </c>
      <c r="Q56" s="34" t="s">
        <v>57</v>
      </c>
      <c r="R56" s="34" t="s">
        <v>57</v>
      </c>
      <c r="S56" s="34" t="s">
        <v>58</v>
      </c>
      <c r="T56" s="34" t="s">
        <v>57</v>
      </c>
      <c r="U56" s="51" t="s">
        <v>57</v>
      </c>
      <c r="V56" s="51" t="s">
        <v>57</v>
      </c>
      <c r="W56" s="51" t="s">
        <v>57</v>
      </c>
      <c r="X56" s="51" t="s">
        <v>57</v>
      </c>
      <c r="Y56" s="51" t="s">
        <v>58</v>
      </c>
      <c r="Z56" s="51" t="s">
        <v>57</v>
      </c>
      <c r="AA56" s="32"/>
      <c r="AB56" s="32"/>
      <c r="AC56" s="32"/>
      <c r="AD56" s="32" t="s">
        <v>306</v>
      </c>
      <c r="AE56" s="32"/>
      <c r="AF56" s="32"/>
      <c r="AG56" s="17"/>
      <c r="AH56" s="17"/>
      <c r="AI56" s="17"/>
      <c r="AJ56" s="17"/>
      <c r="AK56" s="17"/>
      <c r="AL56" s="17"/>
      <c r="AM56" s="17"/>
      <c r="AN56" s="17"/>
      <c r="AO56" s="17"/>
      <c r="AP56" s="17"/>
      <c r="AQ56" s="17"/>
      <c r="AR56" s="17"/>
      <c r="AS56" s="20" t="s">
        <v>477</v>
      </c>
      <c r="AT56" s="20" t="s">
        <v>513</v>
      </c>
      <c r="AU56" s="20" t="s">
        <v>67</v>
      </c>
      <c r="AV56" s="24">
        <v>47.61</v>
      </c>
      <c r="AW56" s="25">
        <v>10</v>
      </c>
      <c r="AX56" s="24">
        <v>18.32</v>
      </c>
      <c r="AY56" s="28">
        <v>37.57</v>
      </c>
      <c r="AZ56" s="29">
        <v>10</v>
      </c>
      <c r="BA56" s="28">
        <v>12.8</v>
      </c>
      <c r="BB56" s="24"/>
      <c r="BC56" s="24"/>
      <c r="BD56" s="22" t="s">
        <v>681</v>
      </c>
      <c r="BE56" s="22">
        <v>35</v>
      </c>
      <c r="BF56" s="22">
        <v>35</v>
      </c>
    </row>
    <row r="57" spans="1:62" x14ac:dyDescent="0.2">
      <c r="A57" t="s">
        <v>787</v>
      </c>
      <c r="B57" s="17" t="s">
        <v>303</v>
      </c>
      <c r="C57" s="17">
        <v>2014</v>
      </c>
      <c r="D57" s="17" t="s">
        <v>312</v>
      </c>
      <c r="E57" s="17" t="s">
        <v>800</v>
      </c>
      <c r="F57" s="8" t="s">
        <v>804</v>
      </c>
      <c r="G57" s="32" t="s">
        <v>49</v>
      </c>
      <c r="H57" s="17" t="s">
        <v>50</v>
      </c>
      <c r="I57" s="17" t="s">
        <v>279</v>
      </c>
      <c r="J57" s="17" t="s">
        <v>305</v>
      </c>
      <c r="K57" s="17" t="s">
        <v>53</v>
      </c>
      <c r="L57" s="17" t="s">
        <v>54</v>
      </c>
      <c r="M57" s="17" t="s">
        <v>260</v>
      </c>
      <c r="N57" s="17"/>
      <c r="O57" s="34" t="s">
        <v>57</v>
      </c>
      <c r="P57" s="34" t="s">
        <v>57</v>
      </c>
      <c r="Q57" s="34" t="s">
        <v>57</v>
      </c>
      <c r="R57" s="34" t="s">
        <v>57</v>
      </c>
      <c r="S57" s="34" t="s">
        <v>58</v>
      </c>
      <c r="T57" s="34" t="s">
        <v>57</v>
      </c>
      <c r="U57" s="51" t="s">
        <v>57</v>
      </c>
      <c r="V57" s="51" t="s">
        <v>57</v>
      </c>
      <c r="W57" s="51" t="s">
        <v>57</v>
      </c>
      <c r="X57" s="51" t="s">
        <v>57</v>
      </c>
      <c r="Y57" s="51" t="s">
        <v>58</v>
      </c>
      <c r="Z57" s="51" t="s">
        <v>57</v>
      </c>
      <c r="AA57" s="32"/>
      <c r="AB57" s="32"/>
      <c r="AC57" s="32"/>
      <c r="AD57" s="32" t="s">
        <v>306</v>
      </c>
      <c r="AE57" s="32"/>
      <c r="AF57" s="32"/>
      <c r="AG57" s="17"/>
      <c r="AH57" s="17"/>
      <c r="AI57" s="17"/>
      <c r="AJ57" s="17"/>
      <c r="AK57" s="17"/>
      <c r="AL57" s="17"/>
      <c r="AM57" s="17"/>
      <c r="AN57" s="17"/>
      <c r="AO57" s="17"/>
      <c r="AP57" s="17"/>
      <c r="AQ57" s="17"/>
      <c r="AR57" s="17"/>
      <c r="AS57" s="20" t="s">
        <v>477</v>
      </c>
      <c r="AT57" s="20" t="s">
        <v>513</v>
      </c>
      <c r="AU57" s="20" t="s">
        <v>67</v>
      </c>
      <c r="AV57" s="24">
        <v>58.01</v>
      </c>
      <c r="AW57" s="25">
        <v>10</v>
      </c>
      <c r="AX57" s="24">
        <v>24.01</v>
      </c>
      <c r="AY57" s="28">
        <v>70.98</v>
      </c>
      <c r="AZ57" s="29">
        <v>10</v>
      </c>
      <c r="BA57" s="28">
        <v>11.11</v>
      </c>
      <c r="BB57" s="24"/>
      <c r="BC57" s="24"/>
      <c r="BD57" s="22" t="s">
        <v>681</v>
      </c>
      <c r="BE57" s="22">
        <v>35</v>
      </c>
      <c r="BF57" s="22">
        <v>35</v>
      </c>
    </row>
    <row r="58" spans="1:62" x14ac:dyDescent="0.2">
      <c r="A58" t="s">
        <v>787</v>
      </c>
      <c r="B58" s="17" t="s">
        <v>303</v>
      </c>
      <c r="C58" s="17">
        <v>2014</v>
      </c>
      <c r="D58" s="17" t="s">
        <v>304</v>
      </c>
      <c r="E58" s="17" t="s">
        <v>88</v>
      </c>
      <c r="F58" s="8" t="s">
        <v>807</v>
      </c>
      <c r="G58" s="17" t="s">
        <v>88</v>
      </c>
      <c r="H58" s="17" t="s">
        <v>88</v>
      </c>
      <c r="I58" s="17" t="s">
        <v>279</v>
      </c>
      <c r="J58" s="17" t="s">
        <v>305</v>
      </c>
      <c r="K58" s="17" t="s">
        <v>53</v>
      </c>
      <c r="L58" s="17" t="s">
        <v>54</v>
      </c>
      <c r="M58" s="17" t="s">
        <v>260</v>
      </c>
      <c r="N58" s="17"/>
      <c r="O58" s="34" t="s">
        <v>57</v>
      </c>
      <c r="P58" s="34" t="s">
        <v>57</v>
      </c>
      <c r="Q58" s="34" t="s">
        <v>57</v>
      </c>
      <c r="R58" s="34" t="s">
        <v>57</v>
      </c>
      <c r="S58" s="34" t="s">
        <v>58</v>
      </c>
      <c r="T58" s="34" t="s">
        <v>57</v>
      </c>
      <c r="U58" s="51" t="s">
        <v>57</v>
      </c>
      <c r="V58" s="51" t="s">
        <v>57</v>
      </c>
      <c r="W58" s="51" t="s">
        <v>57</v>
      </c>
      <c r="X58" s="51" t="s">
        <v>57</v>
      </c>
      <c r="Y58" s="51" t="s">
        <v>58</v>
      </c>
      <c r="Z58" s="51" t="s">
        <v>57</v>
      </c>
      <c r="AA58" s="32"/>
      <c r="AB58" s="32"/>
      <c r="AC58" s="32"/>
      <c r="AD58" s="32" t="s">
        <v>306</v>
      </c>
      <c r="AE58" s="32"/>
      <c r="AF58" s="32"/>
      <c r="AG58" s="17"/>
      <c r="AH58" s="17"/>
      <c r="AI58" s="17"/>
      <c r="AJ58" s="17"/>
      <c r="AK58" s="17"/>
      <c r="AL58" s="17"/>
      <c r="AM58" s="17"/>
      <c r="AN58" s="17"/>
      <c r="AO58" s="17"/>
      <c r="AP58" s="17"/>
      <c r="AQ58" s="17"/>
      <c r="AR58" s="17"/>
      <c r="AS58" s="20" t="s">
        <v>65</v>
      </c>
      <c r="AT58" s="20" t="s">
        <v>459</v>
      </c>
      <c r="AU58" s="20" t="s">
        <v>67</v>
      </c>
      <c r="AV58" s="24">
        <v>25.3</v>
      </c>
      <c r="AW58" s="25">
        <v>10</v>
      </c>
      <c r="AX58" s="24">
        <v>7.33</v>
      </c>
      <c r="AY58" s="28">
        <v>44.7</v>
      </c>
      <c r="AZ58" s="29">
        <v>10</v>
      </c>
      <c r="BA58" s="28">
        <v>13.71</v>
      </c>
      <c r="BB58" s="24"/>
      <c r="BC58" s="24"/>
      <c r="BD58" s="22" t="s">
        <v>681</v>
      </c>
      <c r="BE58" s="22">
        <v>35</v>
      </c>
      <c r="BF58" s="22">
        <v>35</v>
      </c>
    </row>
    <row r="59" spans="1:62" x14ac:dyDescent="0.2">
      <c r="A59" t="s">
        <v>787</v>
      </c>
      <c r="B59" s="17" t="s">
        <v>332</v>
      </c>
      <c r="C59" s="17">
        <v>2018</v>
      </c>
      <c r="D59" s="17" t="s">
        <v>333</v>
      </c>
      <c r="E59" s="17" t="s">
        <v>800</v>
      </c>
      <c r="F59" s="8" t="s">
        <v>804</v>
      </c>
      <c r="G59" s="32" t="s">
        <v>49</v>
      </c>
      <c r="H59" s="17" t="s">
        <v>75</v>
      </c>
      <c r="I59" s="17" t="s">
        <v>334</v>
      </c>
      <c r="J59" s="17" t="s">
        <v>335</v>
      </c>
      <c r="K59" s="17" t="s">
        <v>91</v>
      </c>
      <c r="L59" s="17" t="s">
        <v>54</v>
      </c>
      <c r="M59" s="17" t="s">
        <v>92</v>
      </c>
      <c r="N59" s="17" t="s">
        <v>56</v>
      </c>
      <c r="O59" s="34" t="s">
        <v>58</v>
      </c>
      <c r="P59" s="34" t="s">
        <v>58</v>
      </c>
      <c r="Q59" s="34" t="s">
        <v>93</v>
      </c>
      <c r="R59" s="34" t="s">
        <v>57</v>
      </c>
      <c r="S59" s="34" t="s">
        <v>58</v>
      </c>
      <c r="T59" s="34" t="s">
        <v>57</v>
      </c>
      <c r="U59" s="51" t="s">
        <v>58</v>
      </c>
      <c r="V59" s="51" t="s">
        <v>58</v>
      </c>
      <c r="W59" s="51" t="s">
        <v>93</v>
      </c>
      <c r="X59" s="51" t="s">
        <v>57</v>
      </c>
      <c r="Y59" s="51" t="s">
        <v>58</v>
      </c>
      <c r="Z59" s="51" t="s">
        <v>57</v>
      </c>
      <c r="AA59" s="32"/>
      <c r="AB59" s="32"/>
      <c r="AC59" s="32" t="s">
        <v>336</v>
      </c>
      <c r="AD59" s="32" t="s">
        <v>337</v>
      </c>
      <c r="AE59" s="32"/>
      <c r="AF59" s="32"/>
      <c r="AG59" s="17" t="s">
        <v>338</v>
      </c>
      <c r="AH59" s="17"/>
      <c r="AI59" s="17"/>
      <c r="AJ59" s="17"/>
      <c r="AK59" s="17" t="s">
        <v>339</v>
      </c>
      <c r="AL59" s="17"/>
      <c r="AM59" s="17"/>
      <c r="AN59" s="17"/>
      <c r="AO59" s="17"/>
      <c r="AP59" s="17"/>
      <c r="AQ59" s="17" t="s">
        <v>64</v>
      </c>
      <c r="AR59" s="17"/>
      <c r="AS59" s="20" t="s">
        <v>775</v>
      </c>
      <c r="AT59" s="20" t="s">
        <v>675</v>
      </c>
      <c r="AU59" s="20" t="s">
        <v>67</v>
      </c>
      <c r="AV59" s="24">
        <v>44.08</v>
      </c>
      <c r="AW59" s="25">
        <v>36</v>
      </c>
      <c r="AX59" s="24">
        <v>1.1299999999999899</v>
      </c>
      <c r="AY59" s="28">
        <v>43.27</v>
      </c>
      <c r="AZ59" s="29">
        <v>36</v>
      </c>
      <c r="BA59" s="28">
        <v>2.4700000000000002</v>
      </c>
      <c r="BB59" s="24"/>
      <c r="BC59" s="24"/>
      <c r="BD59" s="22" t="s">
        <v>345</v>
      </c>
      <c r="BE59" s="22">
        <f>12*7</f>
        <v>84</v>
      </c>
      <c r="BF59" s="22">
        <v>35</v>
      </c>
    </row>
    <row r="60" spans="1:62" x14ac:dyDescent="0.2">
      <c r="A60" t="s">
        <v>787</v>
      </c>
      <c r="B60" s="17" t="s">
        <v>332</v>
      </c>
      <c r="C60" s="17">
        <v>2018</v>
      </c>
      <c r="D60" s="17" t="s">
        <v>346</v>
      </c>
      <c r="E60" s="17" t="s">
        <v>88</v>
      </c>
      <c r="F60" s="8" t="s">
        <v>807</v>
      </c>
      <c r="G60" s="17" t="s">
        <v>88</v>
      </c>
      <c r="H60" s="17" t="s">
        <v>88</v>
      </c>
      <c r="I60" s="17" t="s">
        <v>334</v>
      </c>
      <c r="J60" s="17" t="s">
        <v>335</v>
      </c>
      <c r="K60" s="17" t="s">
        <v>91</v>
      </c>
      <c r="L60" s="17" t="s">
        <v>54</v>
      </c>
      <c r="M60" s="17" t="s">
        <v>92</v>
      </c>
      <c r="N60" s="17" t="s">
        <v>56</v>
      </c>
      <c r="O60" s="34" t="s">
        <v>58</v>
      </c>
      <c r="P60" s="34" t="s">
        <v>58</v>
      </c>
      <c r="Q60" s="34" t="s">
        <v>93</v>
      </c>
      <c r="R60" s="34" t="s">
        <v>57</v>
      </c>
      <c r="S60" s="34" t="s">
        <v>58</v>
      </c>
      <c r="T60" s="34" t="s">
        <v>57</v>
      </c>
      <c r="U60" s="51" t="s">
        <v>58</v>
      </c>
      <c r="V60" s="51" t="s">
        <v>58</v>
      </c>
      <c r="W60" s="51" t="s">
        <v>93</v>
      </c>
      <c r="X60" s="51" t="s">
        <v>57</v>
      </c>
      <c r="Y60" s="51" t="s">
        <v>58</v>
      </c>
      <c r="Z60" s="51" t="s">
        <v>57</v>
      </c>
      <c r="AA60" s="32"/>
      <c r="AB60" s="32"/>
      <c r="AC60" s="32" t="s">
        <v>347</v>
      </c>
      <c r="AD60" s="32" t="s">
        <v>348</v>
      </c>
      <c r="AE60" s="32"/>
      <c r="AF60" s="32"/>
      <c r="AG60" s="17" t="s">
        <v>349</v>
      </c>
      <c r="AH60" s="17"/>
      <c r="AI60" s="17"/>
      <c r="AJ60" s="17"/>
      <c r="AK60" s="17" t="s">
        <v>350</v>
      </c>
      <c r="AL60" s="17"/>
      <c r="AM60" s="17"/>
      <c r="AN60" s="17"/>
      <c r="AO60" s="17"/>
      <c r="AP60" s="17"/>
      <c r="AQ60" s="17" t="s">
        <v>100</v>
      </c>
      <c r="AR60" s="17"/>
      <c r="AS60" s="20" t="s">
        <v>775</v>
      </c>
      <c r="AT60" s="20" t="s">
        <v>675</v>
      </c>
      <c r="AU60" s="20" t="s">
        <v>67</v>
      </c>
      <c r="AV60" s="24">
        <v>37.75</v>
      </c>
      <c r="AW60" s="25">
        <v>36</v>
      </c>
      <c r="AX60" s="24">
        <v>3.86</v>
      </c>
      <c r="AY60" s="28">
        <v>37.36</v>
      </c>
      <c r="AZ60" s="29">
        <v>36</v>
      </c>
      <c r="BA60" s="28">
        <v>5.89</v>
      </c>
      <c r="BB60" s="24"/>
      <c r="BC60" s="24"/>
      <c r="BD60" s="22" t="s">
        <v>345</v>
      </c>
      <c r="BE60" s="22">
        <f>12*7</f>
        <v>84</v>
      </c>
      <c r="BF60" s="22">
        <v>35</v>
      </c>
    </row>
    <row r="61" spans="1:62" x14ac:dyDescent="0.2">
      <c r="A61" t="s">
        <v>787</v>
      </c>
      <c r="B61" s="17" t="s">
        <v>332</v>
      </c>
      <c r="C61" s="17">
        <v>2018</v>
      </c>
      <c r="D61" s="17" t="s">
        <v>333</v>
      </c>
      <c r="E61" s="17" t="s">
        <v>800</v>
      </c>
      <c r="F61" s="8" t="s">
        <v>804</v>
      </c>
      <c r="G61" s="32" t="s">
        <v>49</v>
      </c>
      <c r="H61" s="17" t="s">
        <v>75</v>
      </c>
      <c r="I61" s="17" t="s">
        <v>334</v>
      </c>
      <c r="J61" s="17" t="s">
        <v>335</v>
      </c>
      <c r="K61" s="17" t="s">
        <v>91</v>
      </c>
      <c r="L61" s="17" t="s">
        <v>54</v>
      </c>
      <c r="M61" s="17" t="s">
        <v>92</v>
      </c>
      <c r="N61" s="17" t="s">
        <v>56</v>
      </c>
      <c r="O61" s="34" t="s">
        <v>58</v>
      </c>
      <c r="P61" s="34" t="s">
        <v>58</v>
      </c>
      <c r="Q61" s="34" t="s">
        <v>93</v>
      </c>
      <c r="R61" s="34" t="s">
        <v>57</v>
      </c>
      <c r="S61" s="34" t="s">
        <v>58</v>
      </c>
      <c r="T61" s="34" t="s">
        <v>57</v>
      </c>
      <c r="U61" s="51" t="s">
        <v>58</v>
      </c>
      <c r="V61" s="51" t="s">
        <v>58</v>
      </c>
      <c r="W61" s="51" t="s">
        <v>93</v>
      </c>
      <c r="X61" s="51" t="s">
        <v>57</v>
      </c>
      <c r="Y61" s="51" t="s">
        <v>58</v>
      </c>
      <c r="Z61" s="51" t="s">
        <v>57</v>
      </c>
      <c r="AA61" s="32"/>
      <c r="AB61" s="32"/>
      <c r="AC61" s="32" t="s">
        <v>336</v>
      </c>
      <c r="AD61" s="32" t="s">
        <v>337</v>
      </c>
      <c r="AE61" s="32"/>
      <c r="AF61" s="32"/>
      <c r="AG61" s="17" t="s">
        <v>338</v>
      </c>
      <c r="AH61" s="17"/>
      <c r="AI61" s="17"/>
      <c r="AJ61" s="17"/>
      <c r="AK61" s="17" t="s">
        <v>339</v>
      </c>
      <c r="AL61" s="17"/>
      <c r="AM61" s="17"/>
      <c r="AN61" s="17"/>
      <c r="AO61" s="17"/>
      <c r="AP61" s="17"/>
      <c r="AQ61" s="17" t="s">
        <v>64</v>
      </c>
      <c r="AR61" s="17"/>
      <c r="AS61" s="20" t="s">
        <v>775</v>
      </c>
      <c r="AT61" s="20" t="s">
        <v>675</v>
      </c>
      <c r="AU61" s="20" t="s">
        <v>67</v>
      </c>
      <c r="AV61" s="24">
        <v>44.08</v>
      </c>
      <c r="AW61" s="25">
        <v>36</v>
      </c>
      <c r="AX61" s="24">
        <v>1.1299999999999899</v>
      </c>
      <c r="AY61" s="28">
        <v>44.08</v>
      </c>
      <c r="AZ61" s="29">
        <v>36</v>
      </c>
      <c r="BA61" s="28">
        <v>1.1299999999999899</v>
      </c>
      <c r="BB61" s="24"/>
      <c r="BC61" s="24"/>
      <c r="BD61" s="22" t="s">
        <v>359</v>
      </c>
      <c r="BE61" s="22">
        <v>140</v>
      </c>
      <c r="BF61" s="22">
        <v>35</v>
      </c>
    </row>
    <row r="62" spans="1:62" x14ac:dyDescent="0.2">
      <c r="A62" t="s">
        <v>787</v>
      </c>
      <c r="B62" s="17" t="s">
        <v>332</v>
      </c>
      <c r="C62" s="17">
        <v>2018</v>
      </c>
      <c r="D62" s="17" t="s">
        <v>346</v>
      </c>
      <c r="E62" s="17" t="s">
        <v>88</v>
      </c>
      <c r="F62" s="8" t="s">
        <v>807</v>
      </c>
      <c r="G62" s="17" t="s">
        <v>88</v>
      </c>
      <c r="H62" s="17" t="s">
        <v>88</v>
      </c>
      <c r="I62" s="17" t="s">
        <v>334</v>
      </c>
      <c r="J62" s="17" t="s">
        <v>335</v>
      </c>
      <c r="K62" s="17" t="s">
        <v>91</v>
      </c>
      <c r="L62" s="17" t="s">
        <v>54</v>
      </c>
      <c r="M62" s="17" t="s">
        <v>92</v>
      </c>
      <c r="N62" s="17" t="s">
        <v>56</v>
      </c>
      <c r="O62" s="34" t="s">
        <v>58</v>
      </c>
      <c r="P62" s="34" t="s">
        <v>58</v>
      </c>
      <c r="Q62" s="34" t="s">
        <v>93</v>
      </c>
      <c r="R62" s="34" t="s">
        <v>57</v>
      </c>
      <c r="S62" s="34" t="s">
        <v>58</v>
      </c>
      <c r="T62" s="34" t="s">
        <v>57</v>
      </c>
      <c r="U62" s="51" t="s">
        <v>58</v>
      </c>
      <c r="V62" s="51" t="s">
        <v>58</v>
      </c>
      <c r="W62" s="51" t="s">
        <v>93</v>
      </c>
      <c r="X62" s="51" t="s">
        <v>57</v>
      </c>
      <c r="Y62" s="51" t="s">
        <v>58</v>
      </c>
      <c r="Z62" s="51" t="s">
        <v>57</v>
      </c>
      <c r="AA62" s="32"/>
      <c r="AB62" s="32"/>
      <c r="AC62" s="32" t="s">
        <v>347</v>
      </c>
      <c r="AD62" s="32" t="s">
        <v>348</v>
      </c>
      <c r="AE62" s="32"/>
      <c r="AF62" s="32"/>
      <c r="AG62" s="17" t="s">
        <v>349</v>
      </c>
      <c r="AH62" s="17"/>
      <c r="AI62" s="17"/>
      <c r="AJ62" s="17"/>
      <c r="AK62" s="17" t="s">
        <v>350</v>
      </c>
      <c r="AL62" s="17"/>
      <c r="AM62" s="17"/>
      <c r="AN62" s="17"/>
      <c r="AO62" s="17"/>
      <c r="AP62" s="17"/>
      <c r="AQ62" s="17" t="s">
        <v>100</v>
      </c>
      <c r="AR62" s="17"/>
      <c r="AS62" s="20" t="s">
        <v>775</v>
      </c>
      <c r="AT62" s="20" t="s">
        <v>675</v>
      </c>
      <c r="AU62" s="20" t="s">
        <v>67</v>
      </c>
      <c r="AV62" s="24">
        <v>37.75</v>
      </c>
      <c r="AW62" s="25">
        <v>36</v>
      </c>
      <c r="AX62" s="24">
        <v>3.86</v>
      </c>
      <c r="AY62" s="28">
        <v>37.75</v>
      </c>
      <c r="AZ62" s="29">
        <v>36</v>
      </c>
      <c r="BA62" s="28">
        <v>3.86</v>
      </c>
      <c r="BB62" s="24"/>
      <c r="BC62" s="24"/>
      <c r="BD62" s="22" t="s">
        <v>359</v>
      </c>
      <c r="BE62" s="22">
        <v>140</v>
      </c>
      <c r="BF62" s="22">
        <v>35</v>
      </c>
    </row>
    <row r="63" spans="1:62" x14ac:dyDescent="0.2">
      <c r="A63" t="s">
        <v>787</v>
      </c>
      <c r="B63" s="17" t="s">
        <v>332</v>
      </c>
      <c r="C63" s="17">
        <v>2018</v>
      </c>
      <c r="D63" s="17" t="s">
        <v>333</v>
      </c>
      <c r="E63" s="17" t="s">
        <v>800</v>
      </c>
      <c r="F63" s="8" t="s">
        <v>804</v>
      </c>
      <c r="G63" s="32" t="s">
        <v>49</v>
      </c>
      <c r="H63" s="17" t="s">
        <v>75</v>
      </c>
      <c r="I63" s="17" t="s">
        <v>334</v>
      </c>
      <c r="J63" s="17" t="s">
        <v>335</v>
      </c>
      <c r="K63" s="17" t="s">
        <v>91</v>
      </c>
      <c r="L63" s="17" t="s">
        <v>54</v>
      </c>
      <c r="M63" s="17" t="s">
        <v>92</v>
      </c>
      <c r="N63" s="17" t="s">
        <v>56</v>
      </c>
      <c r="O63" s="34" t="s">
        <v>58</v>
      </c>
      <c r="P63" s="34" t="s">
        <v>58</v>
      </c>
      <c r="Q63" s="34" t="s">
        <v>93</v>
      </c>
      <c r="R63" s="34" t="s">
        <v>57</v>
      </c>
      <c r="S63" s="34" t="s">
        <v>58</v>
      </c>
      <c r="T63" s="34" t="s">
        <v>57</v>
      </c>
      <c r="U63" s="51" t="s">
        <v>58</v>
      </c>
      <c r="V63" s="51" t="s">
        <v>58</v>
      </c>
      <c r="W63" s="51" t="s">
        <v>93</v>
      </c>
      <c r="X63" s="51" t="s">
        <v>57</v>
      </c>
      <c r="Y63" s="51" t="s">
        <v>58</v>
      </c>
      <c r="Z63" s="51" t="s">
        <v>57</v>
      </c>
      <c r="AA63" s="32"/>
      <c r="AB63" s="32"/>
      <c r="AC63" s="32" t="s">
        <v>336</v>
      </c>
      <c r="AD63" s="32" t="s">
        <v>337</v>
      </c>
      <c r="AE63" s="32"/>
      <c r="AF63" s="32"/>
      <c r="AG63" s="17" t="s">
        <v>338</v>
      </c>
      <c r="AH63" s="17"/>
      <c r="AI63" s="17"/>
      <c r="AJ63" s="17"/>
      <c r="AK63" s="17" t="s">
        <v>339</v>
      </c>
      <c r="AL63" s="17"/>
      <c r="AM63" s="17"/>
      <c r="AN63" s="17"/>
      <c r="AO63" s="17"/>
      <c r="AP63" s="17"/>
      <c r="AQ63" s="17" t="s">
        <v>64</v>
      </c>
      <c r="AR63" s="17"/>
      <c r="AS63" s="20" t="s">
        <v>775</v>
      </c>
      <c r="AT63" s="20" t="s">
        <v>675</v>
      </c>
      <c r="AU63" s="20" t="s">
        <v>67</v>
      </c>
      <c r="AV63" s="24">
        <v>44.08</v>
      </c>
      <c r="AW63" s="25">
        <v>36</v>
      </c>
      <c r="AX63" s="24">
        <v>1.1299999999999899</v>
      </c>
      <c r="AY63" s="28">
        <v>42.58</v>
      </c>
      <c r="AZ63" s="29">
        <v>36</v>
      </c>
      <c r="BA63" s="28">
        <v>3.2</v>
      </c>
      <c r="BB63" s="24"/>
      <c r="BC63" s="24"/>
      <c r="BD63" s="22" t="s">
        <v>73</v>
      </c>
      <c r="BE63" s="22">
        <v>56</v>
      </c>
      <c r="BF63" s="22">
        <v>35</v>
      </c>
    </row>
    <row r="64" spans="1:62" x14ac:dyDescent="0.2">
      <c r="A64" t="s">
        <v>787</v>
      </c>
      <c r="B64" s="17" t="s">
        <v>332</v>
      </c>
      <c r="C64" s="17">
        <v>2018</v>
      </c>
      <c r="D64" s="17" t="s">
        <v>346</v>
      </c>
      <c r="E64" s="17" t="s">
        <v>88</v>
      </c>
      <c r="F64" s="8" t="s">
        <v>807</v>
      </c>
      <c r="G64" s="17" t="s">
        <v>88</v>
      </c>
      <c r="H64" s="17" t="s">
        <v>88</v>
      </c>
      <c r="I64" s="17" t="s">
        <v>334</v>
      </c>
      <c r="J64" s="17" t="s">
        <v>335</v>
      </c>
      <c r="K64" s="17" t="s">
        <v>91</v>
      </c>
      <c r="L64" s="17" t="s">
        <v>54</v>
      </c>
      <c r="M64" s="17" t="s">
        <v>92</v>
      </c>
      <c r="N64" s="17" t="s">
        <v>56</v>
      </c>
      <c r="O64" s="34" t="s">
        <v>58</v>
      </c>
      <c r="P64" s="34" t="s">
        <v>58</v>
      </c>
      <c r="Q64" s="34" t="s">
        <v>93</v>
      </c>
      <c r="R64" s="34" t="s">
        <v>57</v>
      </c>
      <c r="S64" s="34" t="s">
        <v>58</v>
      </c>
      <c r="T64" s="34" t="s">
        <v>57</v>
      </c>
      <c r="U64" s="51" t="s">
        <v>58</v>
      </c>
      <c r="V64" s="51" t="s">
        <v>58</v>
      </c>
      <c r="W64" s="51" t="s">
        <v>93</v>
      </c>
      <c r="X64" s="51" t="s">
        <v>57</v>
      </c>
      <c r="Y64" s="51" t="s">
        <v>58</v>
      </c>
      <c r="Z64" s="51" t="s">
        <v>57</v>
      </c>
      <c r="AA64" s="32"/>
      <c r="AB64" s="32"/>
      <c r="AC64" s="32" t="s">
        <v>347</v>
      </c>
      <c r="AD64" s="32" t="s">
        <v>348</v>
      </c>
      <c r="AE64" s="32"/>
      <c r="AF64" s="32"/>
      <c r="AG64" s="17" t="s">
        <v>349</v>
      </c>
      <c r="AH64" s="17"/>
      <c r="AI64" s="17"/>
      <c r="AJ64" s="17"/>
      <c r="AK64" s="17" t="s">
        <v>350</v>
      </c>
      <c r="AL64" s="17"/>
      <c r="AM64" s="17"/>
      <c r="AN64" s="17"/>
      <c r="AO64" s="17"/>
      <c r="AP64" s="17"/>
      <c r="AQ64" s="17" t="s">
        <v>100</v>
      </c>
      <c r="AR64" s="17"/>
      <c r="AS64" s="20" t="s">
        <v>775</v>
      </c>
      <c r="AT64" s="20" t="s">
        <v>675</v>
      </c>
      <c r="AU64" s="20" t="s">
        <v>67</v>
      </c>
      <c r="AV64" s="24">
        <v>37.75</v>
      </c>
      <c r="AW64" s="25">
        <v>36</v>
      </c>
      <c r="AX64" s="24">
        <v>3.86</v>
      </c>
      <c r="AY64" s="28">
        <v>39.19</v>
      </c>
      <c r="AZ64" s="29">
        <v>36</v>
      </c>
      <c r="BA64" s="28">
        <v>4.5199999999999898</v>
      </c>
      <c r="BB64" s="24"/>
      <c r="BC64" s="24"/>
      <c r="BD64" s="22" t="s">
        <v>73</v>
      </c>
      <c r="BE64" s="22">
        <v>56</v>
      </c>
      <c r="BF64" s="22">
        <v>35</v>
      </c>
    </row>
    <row r="65" spans="1:58" x14ac:dyDescent="0.2">
      <c r="A65" t="s">
        <v>787</v>
      </c>
      <c r="B65" s="17" t="s">
        <v>332</v>
      </c>
      <c r="C65" s="17">
        <v>2018</v>
      </c>
      <c r="D65" s="17" t="s">
        <v>333</v>
      </c>
      <c r="E65" s="17" t="s">
        <v>800</v>
      </c>
      <c r="F65" s="8" t="s">
        <v>804</v>
      </c>
      <c r="G65" s="32" t="s">
        <v>49</v>
      </c>
      <c r="H65" s="17" t="s">
        <v>75</v>
      </c>
      <c r="I65" s="17" t="s">
        <v>334</v>
      </c>
      <c r="J65" s="17" t="s">
        <v>335</v>
      </c>
      <c r="K65" s="17" t="s">
        <v>91</v>
      </c>
      <c r="L65" s="17" t="s">
        <v>54</v>
      </c>
      <c r="M65" s="17" t="s">
        <v>92</v>
      </c>
      <c r="N65" s="17" t="s">
        <v>56</v>
      </c>
      <c r="O65" s="34" t="s">
        <v>58</v>
      </c>
      <c r="P65" s="34" t="s">
        <v>58</v>
      </c>
      <c r="Q65" s="34" t="s">
        <v>93</v>
      </c>
      <c r="R65" s="34" t="s">
        <v>57</v>
      </c>
      <c r="S65" s="34" t="s">
        <v>58</v>
      </c>
      <c r="T65" s="34" t="s">
        <v>57</v>
      </c>
      <c r="U65" s="51" t="s">
        <v>58</v>
      </c>
      <c r="V65" s="51" t="s">
        <v>58</v>
      </c>
      <c r="W65" s="51" t="s">
        <v>93</v>
      </c>
      <c r="X65" s="51" t="s">
        <v>57</v>
      </c>
      <c r="Y65" s="51" t="s">
        <v>58</v>
      </c>
      <c r="Z65" s="51" t="s">
        <v>57</v>
      </c>
      <c r="AA65" s="32"/>
      <c r="AB65" s="32"/>
      <c r="AC65" s="32" t="s">
        <v>336</v>
      </c>
      <c r="AD65" s="32" t="s">
        <v>337</v>
      </c>
      <c r="AE65" s="32"/>
      <c r="AF65" s="32"/>
      <c r="AG65" s="17" t="s">
        <v>338</v>
      </c>
      <c r="AH65" s="17"/>
      <c r="AI65" s="17"/>
      <c r="AJ65" s="17"/>
      <c r="AK65" s="17" t="s">
        <v>339</v>
      </c>
      <c r="AL65" s="17"/>
      <c r="AM65" s="17"/>
      <c r="AN65" s="17"/>
      <c r="AO65" s="17"/>
      <c r="AP65" s="17"/>
      <c r="AQ65" s="17" t="s">
        <v>64</v>
      </c>
      <c r="AR65" s="17"/>
      <c r="AS65" s="20" t="s">
        <v>788</v>
      </c>
      <c r="AT65" s="20" t="s">
        <v>789</v>
      </c>
      <c r="AU65" s="20" t="s">
        <v>67</v>
      </c>
      <c r="AV65" s="24">
        <v>79.44</v>
      </c>
      <c r="AW65" s="25">
        <v>36</v>
      </c>
      <c r="AX65" s="24">
        <v>11.19</v>
      </c>
      <c r="AY65" s="28">
        <v>98.91</v>
      </c>
      <c r="AZ65" s="29">
        <v>36</v>
      </c>
      <c r="BA65" s="28">
        <v>10.050000000000001</v>
      </c>
      <c r="BB65" s="24"/>
      <c r="BC65" s="24"/>
      <c r="BD65" s="22" t="s">
        <v>345</v>
      </c>
      <c r="BE65" s="22">
        <f>12*7</f>
        <v>84</v>
      </c>
      <c r="BF65" s="22">
        <v>35</v>
      </c>
    </row>
    <row r="66" spans="1:58" x14ac:dyDescent="0.2">
      <c r="A66" t="s">
        <v>787</v>
      </c>
      <c r="B66" s="17" t="s">
        <v>332</v>
      </c>
      <c r="C66" s="17">
        <v>2018</v>
      </c>
      <c r="D66" s="17" t="s">
        <v>346</v>
      </c>
      <c r="E66" s="17" t="s">
        <v>88</v>
      </c>
      <c r="F66" s="8" t="s">
        <v>807</v>
      </c>
      <c r="G66" s="17" t="s">
        <v>88</v>
      </c>
      <c r="H66" s="17" t="s">
        <v>88</v>
      </c>
      <c r="I66" s="17" t="s">
        <v>334</v>
      </c>
      <c r="J66" s="17" t="s">
        <v>335</v>
      </c>
      <c r="K66" s="17" t="s">
        <v>91</v>
      </c>
      <c r="L66" s="17" t="s">
        <v>54</v>
      </c>
      <c r="M66" s="17" t="s">
        <v>92</v>
      </c>
      <c r="N66" s="17" t="s">
        <v>56</v>
      </c>
      <c r="O66" s="34" t="s">
        <v>58</v>
      </c>
      <c r="P66" s="34" t="s">
        <v>58</v>
      </c>
      <c r="Q66" s="34" t="s">
        <v>93</v>
      </c>
      <c r="R66" s="34" t="s">
        <v>57</v>
      </c>
      <c r="S66" s="34" t="s">
        <v>58</v>
      </c>
      <c r="T66" s="34" t="s">
        <v>57</v>
      </c>
      <c r="U66" s="51" t="s">
        <v>58</v>
      </c>
      <c r="V66" s="51" t="s">
        <v>58</v>
      </c>
      <c r="W66" s="51" t="s">
        <v>93</v>
      </c>
      <c r="X66" s="51" t="s">
        <v>57</v>
      </c>
      <c r="Y66" s="51" t="s">
        <v>58</v>
      </c>
      <c r="Z66" s="51" t="s">
        <v>57</v>
      </c>
      <c r="AA66" s="32"/>
      <c r="AB66" s="32"/>
      <c r="AC66" s="32" t="s">
        <v>336</v>
      </c>
      <c r="AD66" s="32" t="s">
        <v>337</v>
      </c>
      <c r="AE66" s="32"/>
      <c r="AF66" s="32"/>
      <c r="AG66" s="17" t="s">
        <v>338</v>
      </c>
      <c r="AH66" s="17"/>
      <c r="AI66" s="17"/>
      <c r="AJ66" s="17"/>
      <c r="AK66" s="17" t="s">
        <v>339</v>
      </c>
      <c r="AL66" s="17"/>
      <c r="AM66" s="17"/>
      <c r="AN66" s="17"/>
      <c r="AO66" s="17"/>
      <c r="AP66" s="17"/>
      <c r="AQ66" s="17" t="s">
        <v>64</v>
      </c>
      <c r="AR66" s="17"/>
      <c r="AS66" s="20" t="s">
        <v>788</v>
      </c>
      <c r="AT66" s="20" t="s">
        <v>789</v>
      </c>
      <c r="AU66" s="20" t="s">
        <v>67</v>
      </c>
      <c r="AV66" s="24">
        <v>79.77</v>
      </c>
      <c r="AW66" s="25">
        <v>36</v>
      </c>
      <c r="AX66" s="24">
        <v>11.02</v>
      </c>
      <c r="AY66" s="28">
        <v>99.8</v>
      </c>
      <c r="AZ66" s="29">
        <v>36</v>
      </c>
      <c r="BA66" s="28">
        <v>11.25</v>
      </c>
      <c r="BB66" s="24"/>
      <c r="BC66" s="24"/>
      <c r="BD66" s="22" t="s">
        <v>345</v>
      </c>
      <c r="BE66" s="22">
        <f>12*7</f>
        <v>84</v>
      </c>
      <c r="BF66" s="22">
        <v>35</v>
      </c>
    </row>
    <row r="67" spans="1:58" x14ac:dyDescent="0.2">
      <c r="A67" t="s">
        <v>787</v>
      </c>
      <c r="B67" s="17" t="s">
        <v>332</v>
      </c>
      <c r="C67" s="17">
        <v>2018</v>
      </c>
      <c r="D67" s="17" t="s">
        <v>333</v>
      </c>
      <c r="E67" s="17" t="s">
        <v>800</v>
      </c>
      <c r="F67" s="8" t="s">
        <v>804</v>
      </c>
      <c r="G67" s="32" t="s">
        <v>49</v>
      </c>
      <c r="H67" s="17" t="s">
        <v>75</v>
      </c>
      <c r="I67" s="17" t="s">
        <v>334</v>
      </c>
      <c r="J67" s="17" t="s">
        <v>335</v>
      </c>
      <c r="K67" s="17" t="s">
        <v>91</v>
      </c>
      <c r="L67" s="17" t="s">
        <v>54</v>
      </c>
      <c r="M67" s="17" t="s">
        <v>92</v>
      </c>
      <c r="N67" s="17" t="s">
        <v>56</v>
      </c>
      <c r="O67" s="34" t="s">
        <v>58</v>
      </c>
      <c r="P67" s="34" t="s">
        <v>58</v>
      </c>
      <c r="Q67" s="34" t="s">
        <v>93</v>
      </c>
      <c r="R67" s="34" t="s">
        <v>57</v>
      </c>
      <c r="S67" s="34" t="s">
        <v>58</v>
      </c>
      <c r="T67" s="34" t="s">
        <v>57</v>
      </c>
      <c r="U67" s="51" t="s">
        <v>58</v>
      </c>
      <c r="V67" s="51" t="s">
        <v>58</v>
      </c>
      <c r="W67" s="51" t="s">
        <v>93</v>
      </c>
      <c r="X67" s="51" t="s">
        <v>57</v>
      </c>
      <c r="Y67" s="51" t="s">
        <v>58</v>
      </c>
      <c r="Z67" s="51" t="s">
        <v>57</v>
      </c>
      <c r="AA67" s="32"/>
      <c r="AB67" s="32"/>
      <c r="AC67" s="32" t="s">
        <v>336</v>
      </c>
      <c r="AD67" s="32" t="s">
        <v>337</v>
      </c>
      <c r="AE67" s="32"/>
      <c r="AF67" s="32"/>
      <c r="AG67" s="17" t="s">
        <v>338</v>
      </c>
      <c r="AH67" s="17"/>
      <c r="AI67" s="17"/>
      <c r="AJ67" s="17"/>
      <c r="AK67" s="17" t="s">
        <v>339</v>
      </c>
      <c r="AL67" s="17"/>
      <c r="AM67" s="17"/>
      <c r="AN67" s="17"/>
      <c r="AO67" s="17"/>
      <c r="AP67" s="17"/>
      <c r="AQ67" s="17" t="s">
        <v>64</v>
      </c>
      <c r="AR67" s="17"/>
      <c r="AS67" s="20" t="s">
        <v>788</v>
      </c>
      <c r="AT67" s="20" t="s">
        <v>789</v>
      </c>
      <c r="AU67" s="20" t="s">
        <v>67</v>
      </c>
      <c r="AV67" s="24">
        <v>79.44</v>
      </c>
      <c r="AW67" s="25">
        <v>36</v>
      </c>
      <c r="AX67" s="24">
        <v>11.19</v>
      </c>
      <c r="AY67" s="28">
        <v>100.27</v>
      </c>
      <c r="AZ67" s="29">
        <v>36</v>
      </c>
      <c r="BA67" s="28">
        <v>9.56</v>
      </c>
      <c r="BB67" s="24"/>
      <c r="BC67" s="24"/>
      <c r="BD67" s="22" t="s">
        <v>359</v>
      </c>
      <c r="BE67" s="22">
        <v>140</v>
      </c>
      <c r="BF67" s="22">
        <v>35</v>
      </c>
    </row>
    <row r="68" spans="1:58" x14ac:dyDescent="0.2">
      <c r="A68" t="s">
        <v>787</v>
      </c>
      <c r="B68" s="17" t="s">
        <v>332</v>
      </c>
      <c r="C68" s="17">
        <v>2018</v>
      </c>
      <c r="D68" s="17" t="s">
        <v>346</v>
      </c>
      <c r="E68" s="17" t="s">
        <v>88</v>
      </c>
      <c r="F68" s="8" t="s">
        <v>807</v>
      </c>
      <c r="G68" s="17" t="s">
        <v>88</v>
      </c>
      <c r="H68" s="17" t="s">
        <v>88</v>
      </c>
      <c r="I68" s="17" t="s">
        <v>334</v>
      </c>
      <c r="J68" s="17" t="s">
        <v>335</v>
      </c>
      <c r="K68" s="17" t="s">
        <v>91</v>
      </c>
      <c r="L68" s="17" t="s">
        <v>54</v>
      </c>
      <c r="M68" s="17" t="s">
        <v>92</v>
      </c>
      <c r="N68" s="17" t="s">
        <v>56</v>
      </c>
      <c r="O68" s="34" t="s">
        <v>58</v>
      </c>
      <c r="P68" s="34" t="s">
        <v>58</v>
      </c>
      <c r="Q68" s="34" t="s">
        <v>93</v>
      </c>
      <c r="R68" s="34" t="s">
        <v>57</v>
      </c>
      <c r="S68" s="34" t="s">
        <v>58</v>
      </c>
      <c r="T68" s="34" t="s">
        <v>57</v>
      </c>
      <c r="U68" s="51" t="s">
        <v>58</v>
      </c>
      <c r="V68" s="51" t="s">
        <v>58</v>
      </c>
      <c r="W68" s="51" t="s">
        <v>93</v>
      </c>
      <c r="X68" s="51" t="s">
        <v>57</v>
      </c>
      <c r="Y68" s="51" t="s">
        <v>58</v>
      </c>
      <c r="Z68" s="51" t="s">
        <v>57</v>
      </c>
      <c r="AA68" s="32"/>
      <c r="AB68" s="32"/>
      <c r="AC68" s="32" t="s">
        <v>336</v>
      </c>
      <c r="AD68" s="32" t="s">
        <v>337</v>
      </c>
      <c r="AE68" s="32"/>
      <c r="AF68" s="32"/>
      <c r="AG68" s="17" t="s">
        <v>338</v>
      </c>
      <c r="AH68" s="17"/>
      <c r="AI68" s="17"/>
      <c r="AJ68" s="17"/>
      <c r="AK68" s="17" t="s">
        <v>339</v>
      </c>
      <c r="AL68" s="17"/>
      <c r="AM68" s="17"/>
      <c r="AN68" s="17"/>
      <c r="AO68" s="17"/>
      <c r="AP68" s="17"/>
      <c r="AQ68" s="17" t="s">
        <v>64</v>
      </c>
      <c r="AR68" s="17"/>
      <c r="AS68" s="20" t="s">
        <v>788</v>
      </c>
      <c r="AT68" s="20" t="s">
        <v>789</v>
      </c>
      <c r="AU68" s="20" t="s">
        <v>67</v>
      </c>
      <c r="AV68" s="24">
        <v>79.77</v>
      </c>
      <c r="AW68" s="25">
        <v>36</v>
      </c>
      <c r="AX68" s="24">
        <v>11.02</v>
      </c>
      <c r="AY68" s="28">
        <v>98.91</v>
      </c>
      <c r="AZ68" s="29">
        <v>36</v>
      </c>
      <c r="BA68" s="28">
        <v>11.23</v>
      </c>
      <c r="BB68" s="24"/>
      <c r="BC68" s="24"/>
      <c r="BD68" s="22" t="s">
        <v>359</v>
      </c>
      <c r="BE68" s="22">
        <v>140</v>
      </c>
      <c r="BF68" s="22">
        <v>35</v>
      </c>
    </row>
    <row r="69" spans="1:58" x14ac:dyDescent="0.2">
      <c r="A69" t="s">
        <v>787</v>
      </c>
      <c r="B69" s="17" t="s">
        <v>332</v>
      </c>
      <c r="C69" s="17">
        <v>2018</v>
      </c>
      <c r="D69" s="17" t="s">
        <v>333</v>
      </c>
      <c r="E69" s="17" t="s">
        <v>800</v>
      </c>
      <c r="F69" s="8" t="s">
        <v>804</v>
      </c>
      <c r="G69" s="32" t="s">
        <v>49</v>
      </c>
      <c r="H69" s="17" t="s">
        <v>75</v>
      </c>
      <c r="I69" s="17" t="s">
        <v>334</v>
      </c>
      <c r="J69" s="17" t="s">
        <v>335</v>
      </c>
      <c r="K69" s="17" t="s">
        <v>91</v>
      </c>
      <c r="L69" s="17" t="s">
        <v>54</v>
      </c>
      <c r="M69" s="17" t="s">
        <v>92</v>
      </c>
      <c r="N69" s="17" t="s">
        <v>56</v>
      </c>
      <c r="O69" s="34" t="s">
        <v>58</v>
      </c>
      <c r="P69" s="34" t="s">
        <v>58</v>
      </c>
      <c r="Q69" s="34" t="s">
        <v>93</v>
      </c>
      <c r="R69" s="34" t="s">
        <v>57</v>
      </c>
      <c r="S69" s="34" t="s">
        <v>58</v>
      </c>
      <c r="T69" s="34" t="s">
        <v>57</v>
      </c>
      <c r="U69" s="51" t="s">
        <v>58</v>
      </c>
      <c r="V69" s="51" t="s">
        <v>58</v>
      </c>
      <c r="W69" s="51" t="s">
        <v>93</v>
      </c>
      <c r="X69" s="51" t="s">
        <v>57</v>
      </c>
      <c r="Y69" s="51" t="s">
        <v>58</v>
      </c>
      <c r="Z69" s="51" t="s">
        <v>57</v>
      </c>
      <c r="AA69" s="32"/>
      <c r="AB69" s="32"/>
      <c r="AC69" s="32" t="s">
        <v>336</v>
      </c>
      <c r="AD69" s="32" t="s">
        <v>337</v>
      </c>
      <c r="AE69" s="32"/>
      <c r="AF69" s="32"/>
      <c r="AG69" s="17" t="s">
        <v>338</v>
      </c>
      <c r="AH69" s="17"/>
      <c r="AI69" s="17"/>
      <c r="AJ69" s="17"/>
      <c r="AK69" s="17" t="s">
        <v>339</v>
      </c>
      <c r="AL69" s="17"/>
      <c r="AM69" s="17"/>
      <c r="AN69" s="17"/>
      <c r="AO69" s="17"/>
      <c r="AP69" s="17"/>
      <c r="AQ69" s="17" t="s">
        <v>64</v>
      </c>
      <c r="AR69" s="17"/>
      <c r="AS69" s="20" t="s">
        <v>788</v>
      </c>
      <c r="AT69" s="20" t="s">
        <v>789</v>
      </c>
      <c r="AU69" s="20" t="s">
        <v>67</v>
      </c>
      <c r="AV69" s="24">
        <v>79.44</v>
      </c>
      <c r="AW69" s="25">
        <v>36</v>
      </c>
      <c r="AX69" s="24">
        <v>11.19</v>
      </c>
      <c r="AY69" s="28">
        <v>98.61</v>
      </c>
      <c r="AZ69" s="29">
        <v>36</v>
      </c>
      <c r="BA69" s="28">
        <v>10.8</v>
      </c>
      <c r="BB69" s="24"/>
      <c r="BC69" s="24"/>
      <c r="BD69" s="22" t="s">
        <v>73</v>
      </c>
      <c r="BE69" s="22">
        <v>56</v>
      </c>
      <c r="BF69" s="22">
        <v>35</v>
      </c>
    </row>
    <row r="70" spans="1:58" x14ac:dyDescent="0.2">
      <c r="A70" t="s">
        <v>787</v>
      </c>
      <c r="B70" s="17" t="s">
        <v>332</v>
      </c>
      <c r="C70" s="17">
        <v>2018</v>
      </c>
      <c r="D70" s="17" t="s">
        <v>346</v>
      </c>
      <c r="E70" s="17" t="s">
        <v>88</v>
      </c>
      <c r="F70" s="8" t="s">
        <v>807</v>
      </c>
      <c r="G70" s="17" t="s">
        <v>88</v>
      </c>
      <c r="H70" s="17" t="s">
        <v>88</v>
      </c>
      <c r="I70" s="17" t="s">
        <v>334</v>
      </c>
      <c r="J70" s="17" t="s">
        <v>335</v>
      </c>
      <c r="K70" s="17" t="s">
        <v>91</v>
      </c>
      <c r="L70" s="17" t="s">
        <v>54</v>
      </c>
      <c r="M70" s="17" t="s">
        <v>92</v>
      </c>
      <c r="N70" s="17" t="s">
        <v>56</v>
      </c>
      <c r="O70" s="34" t="s">
        <v>58</v>
      </c>
      <c r="P70" s="34" t="s">
        <v>58</v>
      </c>
      <c r="Q70" s="34" t="s">
        <v>93</v>
      </c>
      <c r="R70" s="34" t="s">
        <v>57</v>
      </c>
      <c r="S70" s="34" t="s">
        <v>58</v>
      </c>
      <c r="T70" s="34" t="s">
        <v>57</v>
      </c>
      <c r="U70" s="51" t="s">
        <v>58</v>
      </c>
      <c r="V70" s="51" t="s">
        <v>58</v>
      </c>
      <c r="W70" s="51" t="s">
        <v>93</v>
      </c>
      <c r="X70" s="51" t="s">
        <v>57</v>
      </c>
      <c r="Y70" s="51" t="s">
        <v>58</v>
      </c>
      <c r="Z70" s="51" t="s">
        <v>57</v>
      </c>
      <c r="AA70" s="32"/>
      <c r="AB70" s="32"/>
      <c r="AC70" s="32" t="s">
        <v>336</v>
      </c>
      <c r="AD70" s="32" t="s">
        <v>337</v>
      </c>
      <c r="AE70" s="32"/>
      <c r="AF70" s="32"/>
      <c r="AG70" s="17" t="s">
        <v>338</v>
      </c>
      <c r="AH70" s="17"/>
      <c r="AI70" s="17"/>
      <c r="AJ70" s="17"/>
      <c r="AK70" s="17" t="s">
        <v>339</v>
      </c>
      <c r="AL70" s="17"/>
      <c r="AM70" s="17"/>
      <c r="AN70" s="17"/>
      <c r="AO70" s="17"/>
      <c r="AP70" s="17"/>
      <c r="AQ70" s="17" t="s">
        <v>64</v>
      </c>
      <c r="AR70" s="17"/>
      <c r="AS70" s="20" t="s">
        <v>788</v>
      </c>
      <c r="AT70" s="20" t="s">
        <v>789</v>
      </c>
      <c r="AU70" s="20" t="s">
        <v>67</v>
      </c>
      <c r="AV70" s="24">
        <v>79.77</v>
      </c>
      <c r="AW70" s="25">
        <v>36</v>
      </c>
      <c r="AX70" s="24">
        <v>11.02</v>
      </c>
      <c r="AY70" s="28">
        <v>100.11</v>
      </c>
      <c r="AZ70" s="29">
        <v>36</v>
      </c>
      <c r="BA70" s="28">
        <v>10.49</v>
      </c>
      <c r="BB70" s="24"/>
      <c r="BC70" s="24"/>
      <c r="BD70" s="22" t="s">
        <v>73</v>
      </c>
      <c r="BE70" s="22">
        <v>56</v>
      </c>
      <c r="BF70" s="22">
        <v>35</v>
      </c>
    </row>
    <row r="71" spans="1:58" x14ac:dyDescent="0.2">
      <c r="A71" t="s">
        <v>787</v>
      </c>
      <c r="B71" s="17" t="s">
        <v>376</v>
      </c>
      <c r="C71" s="17">
        <v>2010</v>
      </c>
      <c r="D71" s="17" t="s">
        <v>87</v>
      </c>
      <c r="E71" s="17" t="s">
        <v>88</v>
      </c>
      <c r="F71" s="8" t="s">
        <v>807</v>
      </c>
      <c r="G71" s="17" t="s">
        <v>88</v>
      </c>
      <c r="H71" s="17" t="s">
        <v>88</v>
      </c>
      <c r="I71" s="17" t="s">
        <v>279</v>
      </c>
      <c r="J71" s="17" t="s">
        <v>377</v>
      </c>
      <c r="K71" s="17" t="s">
        <v>91</v>
      </c>
      <c r="L71" s="17" t="s">
        <v>54</v>
      </c>
      <c r="M71" s="17" t="s">
        <v>260</v>
      </c>
      <c r="N71" s="17" t="s">
        <v>56</v>
      </c>
      <c r="O71" s="34" t="s">
        <v>58</v>
      </c>
      <c r="P71" s="34" t="s">
        <v>57</v>
      </c>
      <c r="Q71" s="34" t="s">
        <v>57</v>
      </c>
      <c r="R71" s="34" t="s">
        <v>57</v>
      </c>
      <c r="S71" s="34" t="s">
        <v>58</v>
      </c>
      <c r="T71" s="34" t="s">
        <v>57</v>
      </c>
      <c r="U71" s="51" t="s">
        <v>58</v>
      </c>
      <c r="V71" s="51" t="s">
        <v>57</v>
      </c>
      <c r="W71" s="51" t="s">
        <v>57</v>
      </c>
      <c r="X71" s="51" t="s">
        <v>57</v>
      </c>
      <c r="Y71" s="51" t="s">
        <v>58</v>
      </c>
      <c r="Z71" s="51" t="s">
        <v>57</v>
      </c>
      <c r="AA71" s="32" t="s">
        <v>378</v>
      </c>
      <c r="AB71" s="32" t="s">
        <v>379</v>
      </c>
      <c r="AC71" s="32" t="s">
        <v>380</v>
      </c>
      <c r="AD71" s="32" t="s">
        <v>381</v>
      </c>
      <c r="AE71" s="32"/>
      <c r="AF71" s="32"/>
      <c r="AG71" s="17" t="s">
        <v>87</v>
      </c>
      <c r="AH71" s="17"/>
      <c r="AI71" s="17"/>
      <c r="AJ71" s="17"/>
      <c r="AK71" s="17" t="s">
        <v>382</v>
      </c>
      <c r="AL71" s="17"/>
      <c r="AM71" s="17"/>
      <c r="AN71" s="17"/>
      <c r="AO71" s="17"/>
      <c r="AP71" s="17"/>
      <c r="AQ71" s="17" t="s">
        <v>100</v>
      </c>
      <c r="AR71" s="17"/>
      <c r="AS71" s="20" t="s">
        <v>65</v>
      </c>
      <c r="AT71" s="20" t="s">
        <v>66</v>
      </c>
      <c r="AU71" s="20" t="s">
        <v>67</v>
      </c>
      <c r="AV71" s="24">
        <v>43.28</v>
      </c>
      <c r="AW71" s="25">
        <v>25</v>
      </c>
      <c r="AX71" s="24">
        <v>13.08</v>
      </c>
      <c r="AY71" s="28">
        <v>64.5</v>
      </c>
      <c r="AZ71" s="29">
        <v>25</v>
      </c>
      <c r="BA71" s="28">
        <v>25.13</v>
      </c>
      <c r="BB71" s="24"/>
      <c r="BC71" s="24"/>
      <c r="BD71" s="22" t="s">
        <v>402</v>
      </c>
      <c r="BE71" s="22">
        <v>65</v>
      </c>
      <c r="BF71" s="22">
        <v>35</v>
      </c>
    </row>
    <row r="72" spans="1:58" x14ac:dyDescent="0.2">
      <c r="A72" t="s">
        <v>787</v>
      </c>
      <c r="B72" s="17" t="s">
        <v>376</v>
      </c>
      <c r="C72" s="17">
        <v>2010</v>
      </c>
      <c r="D72" s="17" t="s">
        <v>87</v>
      </c>
      <c r="E72" s="17" t="s">
        <v>88</v>
      </c>
      <c r="F72" s="8" t="s">
        <v>807</v>
      </c>
      <c r="G72" s="17" t="s">
        <v>88</v>
      </c>
      <c r="H72" s="17" t="s">
        <v>88</v>
      </c>
      <c r="I72" s="17" t="s">
        <v>279</v>
      </c>
      <c r="J72" s="17" t="s">
        <v>377</v>
      </c>
      <c r="K72" s="17" t="s">
        <v>91</v>
      </c>
      <c r="L72" s="17" t="s">
        <v>54</v>
      </c>
      <c r="M72" s="17" t="s">
        <v>260</v>
      </c>
      <c r="N72" s="17" t="s">
        <v>56</v>
      </c>
      <c r="O72" s="34" t="s">
        <v>58</v>
      </c>
      <c r="P72" s="34" t="s">
        <v>57</v>
      </c>
      <c r="Q72" s="34" t="s">
        <v>57</v>
      </c>
      <c r="R72" s="34" t="s">
        <v>57</v>
      </c>
      <c r="S72" s="34" t="s">
        <v>58</v>
      </c>
      <c r="T72" s="34" t="s">
        <v>57</v>
      </c>
      <c r="U72" s="51" t="s">
        <v>58</v>
      </c>
      <c r="V72" s="51" t="s">
        <v>57</v>
      </c>
      <c r="W72" s="51" t="s">
        <v>57</v>
      </c>
      <c r="X72" s="51" t="s">
        <v>57</v>
      </c>
      <c r="Y72" s="51" t="s">
        <v>58</v>
      </c>
      <c r="Z72" s="51" t="s">
        <v>57</v>
      </c>
      <c r="AA72" s="32" t="s">
        <v>378</v>
      </c>
      <c r="AB72" s="32" t="s">
        <v>379</v>
      </c>
      <c r="AC72" s="32" t="s">
        <v>380</v>
      </c>
      <c r="AD72" s="32" t="s">
        <v>381</v>
      </c>
      <c r="AE72" s="32"/>
      <c r="AF72" s="32"/>
      <c r="AG72" s="17" t="s">
        <v>87</v>
      </c>
      <c r="AH72" s="17"/>
      <c r="AI72" s="17"/>
      <c r="AJ72" s="17"/>
      <c r="AK72" s="17" t="s">
        <v>382</v>
      </c>
      <c r="AL72" s="17"/>
      <c r="AM72" s="17"/>
      <c r="AN72" s="17"/>
      <c r="AO72" s="17"/>
      <c r="AP72" s="17"/>
      <c r="AQ72" s="17" t="s">
        <v>100</v>
      </c>
      <c r="AR72" s="17"/>
      <c r="AS72" s="20" t="s">
        <v>65</v>
      </c>
      <c r="AT72" s="20" t="s">
        <v>66</v>
      </c>
      <c r="AU72" s="20" t="s">
        <v>67</v>
      </c>
      <c r="AV72" s="24">
        <v>43.28</v>
      </c>
      <c r="AW72" s="25">
        <v>25</v>
      </c>
      <c r="AX72" s="24">
        <v>13.08</v>
      </c>
      <c r="AY72" s="28">
        <v>46.8</v>
      </c>
      <c r="AZ72" s="29">
        <v>25</v>
      </c>
      <c r="BA72" s="28">
        <v>3.13</v>
      </c>
      <c r="BB72" s="24"/>
      <c r="BC72" s="24"/>
      <c r="BD72" s="22" t="s">
        <v>683</v>
      </c>
      <c r="BE72" s="22">
        <v>35</v>
      </c>
      <c r="BF72" s="22">
        <v>35</v>
      </c>
    </row>
    <row r="73" spans="1:58" x14ac:dyDescent="0.2">
      <c r="A73" t="s">
        <v>787</v>
      </c>
      <c r="B73" s="17" t="s">
        <v>376</v>
      </c>
      <c r="C73" s="17">
        <v>2010</v>
      </c>
      <c r="D73" s="17" t="s">
        <v>388</v>
      </c>
      <c r="E73" s="17" t="s">
        <v>801</v>
      </c>
      <c r="F73" s="17" t="s">
        <v>806</v>
      </c>
      <c r="G73" s="32" t="s">
        <v>49</v>
      </c>
      <c r="H73" s="17" t="s">
        <v>75</v>
      </c>
      <c r="I73" s="17" t="s">
        <v>279</v>
      </c>
      <c r="J73" s="17" t="s">
        <v>377</v>
      </c>
      <c r="K73" s="17" t="s">
        <v>91</v>
      </c>
      <c r="L73" s="17" t="s">
        <v>54</v>
      </c>
      <c r="M73" s="17" t="s">
        <v>260</v>
      </c>
      <c r="N73" s="17" t="s">
        <v>56</v>
      </c>
      <c r="O73" s="34" t="s">
        <v>58</v>
      </c>
      <c r="P73" s="34" t="s">
        <v>57</v>
      </c>
      <c r="Q73" s="34" t="s">
        <v>57</v>
      </c>
      <c r="R73" s="34" t="s">
        <v>57</v>
      </c>
      <c r="S73" s="34" t="s">
        <v>58</v>
      </c>
      <c r="T73" s="34" t="s">
        <v>57</v>
      </c>
      <c r="U73" s="51" t="s">
        <v>58</v>
      </c>
      <c r="V73" s="51" t="s">
        <v>57</v>
      </c>
      <c r="W73" s="51" t="s">
        <v>57</v>
      </c>
      <c r="X73" s="51" t="s">
        <v>57</v>
      </c>
      <c r="Y73" s="51" t="s">
        <v>58</v>
      </c>
      <c r="Z73" s="51" t="s">
        <v>57</v>
      </c>
      <c r="AA73" s="32" t="s">
        <v>389</v>
      </c>
      <c r="AB73" s="32" t="s">
        <v>390</v>
      </c>
      <c r="AC73" s="32" t="s">
        <v>391</v>
      </c>
      <c r="AD73" s="32" t="s">
        <v>392</v>
      </c>
      <c r="AE73" s="32"/>
      <c r="AF73" s="32"/>
      <c r="AG73" s="17" t="s">
        <v>393</v>
      </c>
      <c r="AH73" s="17"/>
      <c r="AI73" s="17"/>
      <c r="AJ73" s="17"/>
      <c r="AK73" s="17" t="s">
        <v>394</v>
      </c>
      <c r="AL73" s="17"/>
      <c r="AM73" s="17"/>
      <c r="AN73" s="17"/>
      <c r="AO73" s="17"/>
      <c r="AP73" s="17"/>
      <c r="AQ73" s="17" t="s">
        <v>395</v>
      </c>
      <c r="AR73" s="17"/>
      <c r="AS73" s="20" t="s">
        <v>65</v>
      </c>
      <c r="AT73" s="20" t="s">
        <v>66</v>
      </c>
      <c r="AU73" s="20" t="s">
        <v>67</v>
      </c>
      <c r="AV73" s="24">
        <v>42</v>
      </c>
      <c r="AW73" s="25">
        <v>25</v>
      </c>
      <c r="AX73" s="24">
        <v>65.17</v>
      </c>
      <c r="AY73" s="28">
        <v>56.33</v>
      </c>
      <c r="AZ73" s="29">
        <v>25</v>
      </c>
      <c r="BA73" s="28">
        <v>54.14</v>
      </c>
      <c r="BB73" s="24"/>
      <c r="BC73" s="24"/>
      <c r="BD73" s="22" t="s">
        <v>402</v>
      </c>
      <c r="BE73" s="22">
        <v>65</v>
      </c>
      <c r="BF73" s="22">
        <v>35</v>
      </c>
    </row>
    <row r="74" spans="1:58" x14ac:dyDescent="0.2">
      <c r="A74" t="s">
        <v>787</v>
      </c>
      <c r="B74" s="17" t="s">
        <v>376</v>
      </c>
      <c r="C74" s="17">
        <v>2010</v>
      </c>
      <c r="D74" s="17" t="s">
        <v>388</v>
      </c>
      <c r="E74" s="17" t="s">
        <v>801</v>
      </c>
      <c r="F74" s="17" t="s">
        <v>806</v>
      </c>
      <c r="G74" s="32" t="s">
        <v>49</v>
      </c>
      <c r="H74" s="17" t="s">
        <v>75</v>
      </c>
      <c r="I74" s="17" t="s">
        <v>279</v>
      </c>
      <c r="J74" s="17" t="s">
        <v>377</v>
      </c>
      <c r="K74" s="17" t="s">
        <v>91</v>
      </c>
      <c r="L74" s="17" t="s">
        <v>54</v>
      </c>
      <c r="M74" s="17" t="s">
        <v>260</v>
      </c>
      <c r="N74" s="17" t="s">
        <v>56</v>
      </c>
      <c r="O74" s="34" t="s">
        <v>58</v>
      </c>
      <c r="P74" s="34" t="s">
        <v>57</v>
      </c>
      <c r="Q74" s="34" t="s">
        <v>57</v>
      </c>
      <c r="R74" s="34" t="s">
        <v>57</v>
      </c>
      <c r="S74" s="34" t="s">
        <v>58</v>
      </c>
      <c r="T74" s="34" t="s">
        <v>57</v>
      </c>
      <c r="U74" s="51" t="s">
        <v>58</v>
      </c>
      <c r="V74" s="51" t="s">
        <v>57</v>
      </c>
      <c r="W74" s="51" t="s">
        <v>57</v>
      </c>
      <c r="X74" s="51" t="s">
        <v>57</v>
      </c>
      <c r="Y74" s="51" t="s">
        <v>58</v>
      </c>
      <c r="Z74" s="51" t="s">
        <v>57</v>
      </c>
      <c r="AA74" s="32" t="s">
        <v>389</v>
      </c>
      <c r="AB74" s="32" t="s">
        <v>390</v>
      </c>
      <c r="AC74" s="32" t="s">
        <v>391</v>
      </c>
      <c r="AD74" s="32" t="s">
        <v>392</v>
      </c>
      <c r="AE74" s="32"/>
      <c r="AF74" s="32"/>
      <c r="AG74" s="17" t="s">
        <v>393</v>
      </c>
      <c r="AH74" s="17"/>
      <c r="AI74" s="17"/>
      <c r="AJ74" s="17"/>
      <c r="AK74" s="17" t="s">
        <v>394</v>
      </c>
      <c r="AL74" s="17"/>
      <c r="AM74" s="17"/>
      <c r="AN74" s="17"/>
      <c r="AO74" s="17"/>
      <c r="AP74" s="17"/>
      <c r="AQ74" s="17" t="s">
        <v>395</v>
      </c>
      <c r="AR74" s="17"/>
      <c r="AS74" s="20" t="s">
        <v>65</v>
      </c>
      <c r="AT74" s="20" t="s">
        <v>66</v>
      </c>
      <c r="AU74" s="20" t="s">
        <v>67</v>
      </c>
      <c r="AV74" s="24">
        <v>42</v>
      </c>
      <c r="AW74" s="25">
        <v>25</v>
      </c>
      <c r="AX74" s="24">
        <v>65.17</v>
      </c>
      <c r="AY74" s="28">
        <v>44.35</v>
      </c>
      <c r="AZ74" s="29">
        <v>25</v>
      </c>
      <c r="BA74" s="28">
        <v>65.150000000000006</v>
      </c>
      <c r="BB74" s="24"/>
      <c r="BC74" s="24"/>
      <c r="BD74" s="22" t="s">
        <v>683</v>
      </c>
      <c r="BE74" s="22">
        <v>35</v>
      </c>
      <c r="BF74" s="22">
        <v>35</v>
      </c>
    </row>
    <row r="75" spans="1:58" x14ac:dyDescent="0.2">
      <c r="A75" t="s">
        <v>786</v>
      </c>
      <c r="B75" s="8" t="s">
        <v>717</v>
      </c>
      <c r="C75" s="8">
        <v>2019</v>
      </c>
      <c r="D75" s="8" t="s">
        <v>118</v>
      </c>
      <c r="E75" s="8" t="s">
        <v>800</v>
      </c>
      <c r="F75" s="8" t="s">
        <v>804</v>
      </c>
      <c r="G75" s="36" t="s">
        <v>49</v>
      </c>
      <c r="H75" s="8" t="s">
        <v>75</v>
      </c>
      <c r="I75" s="8" t="s">
        <v>175</v>
      </c>
      <c r="J75" s="8" t="s">
        <v>718</v>
      </c>
      <c r="K75" s="8" t="s">
        <v>719</v>
      </c>
      <c r="L75" s="8" t="s">
        <v>54</v>
      </c>
      <c r="M75" s="8" t="s">
        <v>121</v>
      </c>
      <c r="N75" s="8" t="s">
        <v>56</v>
      </c>
      <c r="O75" s="37" t="s">
        <v>93</v>
      </c>
      <c r="P75" s="37" t="s">
        <v>57</v>
      </c>
      <c r="Q75" s="37" t="s">
        <v>57</v>
      </c>
      <c r="R75" s="37" t="s">
        <v>57</v>
      </c>
      <c r="S75" s="37" t="s">
        <v>58</v>
      </c>
      <c r="T75" s="37" t="s">
        <v>57</v>
      </c>
      <c r="U75" s="53" t="s">
        <v>93</v>
      </c>
      <c r="V75" s="53" t="s">
        <v>712</v>
      </c>
      <c r="W75" s="53" t="s">
        <v>58</v>
      </c>
      <c r="X75" s="53" t="s">
        <v>58</v>
      </c>
      <c r="Y75" s="53" t="s">
        <v>58</v>
      </c>
      <c r="Z75" s="53" t="s">
        <v>58</v>
      </c>
      <c r="AA75" s="36"/>
      <c r="AB75" s="38">
        <v>0.71430000000000005</v>
      </c>
      <c r="AC75" s="36" t="s">
        <v>732</v>
      </c>
      <c r="AD75" s="38">
        <v>0.55359999999999998</v>
      </c>
      <c r="AE75" s="36"/>
      <c r="AF75" s="36"/>
      <c r="AG75" s="8" t="s">
        <v>743</v>
      </c>
      <c r="AH75" s="8"/>
      <c r="AI75" s="8"/>
      <c r="AJ75" s="8" t="s">
        <v>395</v>
      </c>
      <c r="AK75" s="8"/>
      <c r="AL75" s="8"/>
      <c r="AM75" s="8"/>
      <c r="AN75" s="8"/>
      <c r="AO75" s="8"/>
      <c r="AP75" s="8"/>
      <c r="AQ75" s="8"/>
      <c r="AR75" s="8"/>
      <c r="AS75" s="20" t="s">
        <v>317</v>
      </c>
      <c r="AT75" s="20" t="s">
        <v>764</v>
      </c>
      <c r="AU75" s="20" t="s">
        <v>67</v>
      </c>
      <c r="AV75" s="24">
        <v>13.93</v>
      </c>
      <c r="AW75" s="25">
        <v>56</v>
      </c>
      <c r="AX75" s="24">
        <v>3.45</v>
      </c>
      <c r="AY75" s="28">
        <v>10.19</v>
      </c>
      <c r="AZ75" s="29">
        <v>47</v>
      </c>
      <c r="BA75" s="28">
        <v>2.78</v>
      </c>
      <c r="BB75" s="42"/>
      <c r="BC75" s="42"/>
      <c r="BD75" s="44" t="s">
        <v>773</v>
      </c>
      <c r="BE75" s="44">
        <v>210</v>
      </c>
      <c r="BF75" s="44">
        <v>150</v>
      </c>
    </row>
    <row r="76" spans="1:58" x14ac:dyDescent="0.2">
      <c r="A76" t="s">
        <v>786</v>
      </c>
      <c r="B76" s="8" t="s">
        <v>717</v>
      </c>
      <c r="C76" s="8">
        <v>2019</v>
      </c>
      <c r="D76" s="8" t="s">
        <v>548</v>
      </c>
      <c r="E76" s="8" t="s">
        <v>88</v>
      </c>
      <c r="F76" s="8" t="s">
        <v>807</v>
      </c>
      <c r="G76" s="8" t="s">
        <v>88</v>
      </c>
      <c r="H76" s="8" t="s">
        <v>88</v>
      </c>
      <c r="I76" s="8" t="s">
        <v>175</v>
      </c>
      <c r="J76" s="8" t="s">
        <v>718</v>
      </c>
      <c r="K76" s="8" t="s">
        <v>719</v>
      </c>
      <c r="L76" s="8" t="s">
        <v>54</v>
      </c>
      <c r="M76" s="8" t="s">
        <v>121</v>
      </c>
      <c r="N76" s="8" t="s">
        <v>56</v>
      </c>
      <c r="O76" s="37" t="s">
        <v>93</v>
      </c>
      <c r="P76" s="37" t="s">
        <v>57</v>
      </c>
      <c r="Q76" s="37" t="s">
        <v>57</v>
      </c>
      <c r="R76" s="37" t="s">
        <v>57</v>
      </c>
      <c r="S76" s="37" t="s">
        <v>58</v>
      </c>
      <c r="T76" s="37" t="s">
        <v>57</v>
      </c>
      <c r="U76" s="53" t="s">
        <v>93</v>
      </c>
      <c r="V76" s="53" t="s">
        <v>712</v>
      </c>
      <c r="W76" s="53" t="s">
        <v>58</v>
      </c>
      <c r="X76" s="53" t="s">
        <v>58</v>
      </c>
      <c r="Y76" s="53" t="s">
        <v>58</v>
      </c>
      <c r="Z76" s="53" t="s">
        <v>58</v>
      </c>
      <c r="AA76" s="36"/>
      <c r="AB76" s="38">
        <v>0.63390000000000002</v>
      </c>
      <c r="AC76" s="36" t="s">
        <v>733</v>
      </c>
      <c r="AD76" s="38">
        <v>0.69640000000000002</v>
      </c>
      <c r="AE76" s="36"/>
      <c r="AF76" s="36"/>
      <c r="AG76" s="8" t="s">
        <v>744</v>
      </c>
      <c r="AH76" s="8"/>
      <c r="AI76" s="8"/>
      <c r="AJ76" s="8" t="s">
        <v>395</v>
      </c>
      <c r="AK76" s="8"/>
      <c r="AL76" s="8"/>
      <c r="AM76" s="8"/>
      <c r="AN76" s="8"/>
      <c r="AO76" s="8"/>
      <c r="AP76" s="8"/>
      <c r="AQ76" s="8"/>
      <c r="AR76" s="8"/>
      <c r="AS76" s="20" t="s">
        <v>317</v>
      </c>
      <c r="AT76" s="20" t="s">
        <v>764</v>
      </c>
      <c r="AU76" s="20" t="s">
        <v>67</v>
      </c>
      <c r="AV76" s="24">
        <v>13.21</v>
      </c>
      <c r="AW76" s="25">
        <v>56</v>
      </c>
      <c r="AX76" s="24">
        <v>3.11</v>
      </c>
      <c r="AY76" s="28">
        <v>12.21</v>
      </c>
      <c r="AZ76" s="29">
        <v>35</v>
      </c>
      <c r="BA76" s="28">
        <v>3.56</v>
      </c>
      <c r="BB76" s="42"/>
      <c r="BC76" s="42"/>
      <c r="BD76" s="44" t="s">
        <v>773</v>
      </c>
      <c r="BE76" s="44">
        <v>210</v>
      </c>
      <c r="BF76" s="44">
        <v>150</v>
      </c>
    </row>
    <row r="77" spans="1:58" x14ac:dyDescent="0.2">
      <c r="A77" t="s">
        <v>786</v>
      </c>
      <c r="B77" s="8" t="s">
        <v>717</v>
      </c>
      <c r="C77" s="8">
        <v>2019</v>
      </c>
      <c r="D77" s="8" t="s">
        <v>118</v>
      </c>
      <c r="E77" s="8" t="s">
        <v>800</v>
      </c>
      <c r="F77" s="8" t="s">
        <v>804</v>
      </c>
      <c r="G77" s="36" t="s">
        <v>49</v>
      </c>
      <c r="H77" s="8" t="s">
        <v>75</v>
      </c>
      <c r="I77" s="8" t="s">
        <v>175</v>
      </c>
      <c r="J77" s="8" t="s">
        <v>718</v>
      </c>
      <c r="K77" s="8" t="s">
        <v>719</v>
      </c>
      <c r="L77" s="8" t="s">
        <v>54</v>
      </c>
      <c r="M77" s="8" t="s">
        <v>121</v>
      </c>
      <c r="N77" s="8" t="s">
        <v>56</v>
      </c>
      <c r="O77" s="37" t="s">
        <v>93</v>
      </c>
      <c r="P77" s="37" t="s">
        <v>57</v>
      </c>
      <c r="Q77" s="37" t="s">
        <v>57</v>
      </c>
      <c r="R77" s="37" t="s">
        <v>57</v>
      </c>
      <c r="S77" s="37" t="s">
        <v>58</v>
      </c>
      <c r="T77" s="37" t="s">
        <v>57</v>
      </c>
      <c r="U77" s="53" t="s">
        <v>93</v>
      </c>
      <c r="V77" s="53" t="s">
        <v>712</v>
      </c>
      <c r="W77" s="53" t="s">
        <v>58</v>
      </c>
      <c r="X77" s="53" t="s">
        <v>58</v>
      </c>
      <c r="Y77" s="53" t="s">
        <v>58</v>
      </c>
      <c r="Z77" s="53" t="s">
        <v>58</v>
      </c>
      <c r="AA77" s="36"/>
      <c r="AB77" s="38">
        <v>0.71430000000000005</v>
      </c>
      <c r="AC77" s="36" t="s">
        <v>732</v>
      </c>
      <c r="AD77" s="38">
        <v>0.55359999999999998</v>
      </c>
      <c r="AE77" s="36"/>
      <c r="AF77" s="36"/>
      <c r="AG77" s="8" t="s">
        <v>743</v>
      </c>
      <c r="AH77" s="8"/>
      <c r="AI77" s="8"/>
      <c r="AJ77" s="8" t="s">
        <v>395</v>
      </c>
      <c r="AK77" s="8"/>
      <c r="AL77" s="8"/>
      <c r="AM77" s="8"/>
      <c r="AN77" s="8"/>
      <c r="AO77" s="8"/>
      <c r="AP77" s="8"/>
      <c r="AQ77" s="8"/>
      <c r="AR77" s="8"/>
      <c r="AS77" s="20" t="s">
        <v>317</v>
      </c>
      <c r="AT77" s="20" t="s">
        <v>764</v>
      </c>
      <c r="AU77" s="20" t="s">
        <v>67</v>
      </c>
      <c r="AV77" s="24">
        <v>13.93</v>
      </c>
      <c r="AW77" s="25">
        <v>56</v>
      </c>
      <c r="AX77" s="24">
        <v>3.45</v>
      </c>
      <c r="AY77" s="28">
        <v>9.4</v>
      </c>
      <c r="AZ77" s="29">
        <v>54</v>
      </c>
      <c r="BA77" s="28">
        <v>3.39</v>
      </c>
      <c r="BB77" s="42"/>
      <c r="BC77" s="42"/>
      <c r="BD77" s="44" t="s">
        <v>772</v>
      </c>
      <c r="BE77" s="44">
        <v>150</v>
      </c>
      <c r="BF77" s="44">
        <v>150</v>
      </c>
    </row>
    <row r="78" spans="1:58" x14ac:dyDescent="0.2">
      <c r="A78" t="s">
        <v>786</v>
      </c>
      <c r="B78" s="8" t="s">
        <v>717</v>
      </c>
      <c r="C78" s="8">
        <v>2019</v>
      </c>
      <c r="D78" s="8" t="s">
        <v>548</v>
      </c>
      <c r="E78" s="8" t="s">
        <v>88</v>
      </c>
      <c r="F78" s="8" t="s">
        <v>807</v>
      </c>
      <c r="G78" s="8" t="s">
        <v>88</v>
      </c>
      <c r="H78" s="8" t="s">
        <v>88</v>
      </c>
      <c r="I78" s="8" t="s">
        <v>175</v>
      </c>
      <c r="J78" s="8" t="s">
        <v>718</v>
      </c>
      <c r="K78" s="8" t="s">
        <v>719</v>
      </c>
      <c r="L78" s="8" t="s">
        <v>54</v>
      </c>
      <c r="M78" s="8" t="s">
        <v>121</v>
      </c>
      <c r="N78" s="8" t="s">
        <v>56</v>
      </c>
      <c r="O78" s="37" t="s">
        <v>93</v>
      </c>
      <c r="P78" s="37" t="s">
        <v>57</v>
      </c>
      <c r="Q78" s="37" t="s">
        <v>57</v>
      </c>
      <c r="R78" s="37" t="s">
        <v>57</v>
      </c>
      <c r="S78" s="37" t="s">
        <v>58</v>
      </c>
      <c r="T78" s="37" t="s">
        <v>57</v>
      </c>
      <c r="U78" s="53" t="s">
        <v>93</v>
      </c>
      <c r="V78" s="53" t="s">
        <v>712</v>
      </c>
      <c r="W78" s="53" t="s">
        <v>58</v>
      </c>
      <c r="X78" s="53" t="s">
        <v>58</v>
      </c>
      <c r="Y78" s="53" t="s">
        <v>58</v>
      </c>
      <c r="Z78" s="53" t="s">
        <v>58</v>
      </c>
      <c r="AA78" s="36"/>
      <c r="AB78" s="38">
        <v>0.63390000000000002</v>
      </c>
      <c r="AC78" s="36" t="s">
        <v>733</v>
      </c>
      <c r="AD78" s="38">
        <v>0.69640000000000002</v>
      </c>
      <c r="AE78" s="36"/>
      <c r="AF78" s="36"/>
      <c r="AG78" s="8" t="s">
        <v>744</v>
      </c>
      <c r="AH78" s="8"/>
      <c r="AI78" s="8"/>
      <c r="AJ78" s="8" t="s">
        <v>395</v>
      </c>
      <c r="AK78" s="8"/>
      <c r="AL78" s="8"/>
      <c r="AM78" s="8"/>
      <c r="AN78" s="8"/>
      <c r="AO78" s="8"/>
      <c r="AP78" s="8"/>
      <c r="AQ78" s="8"/>
      <c r="AR78" s="8"/>
      <c r="AS78" s="20" t="s">
        <v>317</v>
      </c>
      <c r="AT78" s="20" t="s">
        <v>764</v>
      </c>
      <c r="AU78" s="20" t="s">
        <v>67</v>
      </c>
      <c r="AV78" s="24">
        <v>13.21</v>
      </c>
      <c r="AW78" s="25">
        <v>56</v>
      </c>
      <c r="AX78" s="24">
        <v>3.11</v>
      </c>
      <c r="AY78" s="28">
        <v>11.96</v>
      </c>
      <c r="AZ78" s="29">
        <v>45</v>
      </c>
      <c r="BA78" s="28">
        <v>3.4</v>
      </c>
      <c r="BB78" s="42"/>
      <c r="BC78" s="42"/>
      <c r="BD78" s="44" t="s">
        <v>772</v>
      </c>
      <c r="BE78" s="44">
        <v>150</v>
      </c>
      <c r="BF78" s="44">
        <v>150</v>
      </c>
    </row>
    <row r="79" spans="1:58" x14ac:dyDescent="0.2">
      <c r="A79" t="s">
        <v>787</v>
      </c>
      <c r="B79" s="17" t="s">
        <v>405</v>
      </c>
      <c r="C79" s="17">
        <v>2017</v>
      </c>
      <c r="D79" s="17" t="s">
        <v>87</v>
      </c>
      <c r="E79" s="17" t="s">
        <v>88</v>
      </c>
      <c r="F79" s="8" t="s">
        <v>807</v>
      </c>
      <c r="G79" s="17" t="s">
        <v>88</v>
      </c>
      <c r="H79" s="17" t="s">
        <v>88</v>
      </c>
      <c r="I79" s="17" t="s">
        <v>279</v>
      </c>
      <c r="J79" s="17" t="s">
        <v>406</v>
      </c>
      <c r="K79" s="17" t="s">
        <v>53</v>
      </c>
      <c r="L79" s="17" t="s">
        <v>54</v>
      </c>
      <c r="M79" s="17" t="s">
        <v>260</v>
      </c>
      <c r="N79" s="17" t="s">
        <v>56</v>
      </c>
      <c r="O79" s="34" t="s">
        <v>58</v>
      </c>
      <c r="P79" s="34" t="s">
        <v>57</v>
      </c>
      <c r="Q79" s="34" t="s">
        <v>57</v>
      </c>
      <c r="R79" s="34" t="s">
        <v>57</v>
      </c>
      <c r="S79" s="34" t="s">
        <v>58</v>
      </c>
      <c r="T79" s="34" t="s">
        <v>57</v>
      </c>
      <c r="U79" s="51" t="s">
        <v>58</v>
      </c>
      <c r="V79" s="51" t="s">
        <v>57</v>
      </c>
      <c r="W79" s="51" t="s">
        <v>57</v>
      </c>
      <c r="X79" s="51" t="s">
        <v>57</v>
      </c>
      <c r="Y79" s="51" t="s">
        <v>58</v>
      </c>
      <c r="Z79" s="51" t="s">
        <v>57</v>
      </c>
      <c r="AA79" s="32"/>
      <c r="AB79" s="32"/>
      <c r="AC79" s="32" t="s">
        <v>407</v>
      </c>
      <c r="AD79" s="32" t="s">
        <v>408</v>
      </c>
      <c r="AE79" s="32" t="s">
        <v>409</v>
      </c>
      <c r="AF79" s="32"/>
      <c r="AG79" s="17" t="s">
        <v>87</v>
      </c>
      <c r="AH79" s="17"/>
      <c r="AI79" s="17"/>
      <c r="AJ79" s="17"/>
      <c r="AK79" s="17" t="s">
        <v>410</v>
      </c>
      <c r="AL79" s="17"/>
      <c r="AM79" s="17"/>
      <c r="AN79" s="17"/>
      <c r="AO79" s="17"/>
      <c r="AP79" s="17"/>
      <c r="AQ79" s="17" t="s">
        <v>100</v>
      </c>
      <c r="AR79" s="17"/>
      <c r="AS79" s="20" t="s">
        <v>411</v>
      </c>
      <c r="AT79" s="20" t="s">
        <v>777</v>
      </c>
      <c r="AU79" s="20" t="s">
        <v>67</v>
      </c>
      <c r="AV79" s="24">
        <v>28.39</v>
      </c>
      <c r="AW79" s="25">
        <v>28</v>
      </c>
      <c r="AX79" s="24">
        <v>6.41</v>
      </c>
      <c r="AY79" s="28">
        <v>27.85</v>
      </c>
      <c r="AZ79" s="29">
        <v>28</v>
      </c>
      <c r="BA79" s="28">
        <v>5.98</v>
      </c>
      <c r="BB79" s="24"/>
      <c r="BC79" s="24"/>
      <c r="BD79" s="22" t="s">
        <v>684</v>
      </c>
      <c r="BE79" s="22">
        <v>56</v>
      </c>
      <c r="BF79" s="22">
        <v>35</v>
      </c>
    </row>
    <row r="80" spans="1:58" x14ac:dyDescent="0.2">
      <c r="A80" t="s">
        <v>787</v>
      </c>
      <c r="B80" s="17" t="s">
        <v>405</v>
      </c>
      <c r="C80" s="17">
        <v>2017</v>
      </c>
      <c r="D80" s="17" t="s">
        <v>417</v>
      </c>
      <c r="E80" s="17" t="s">
        <v>802</v>
      </c>
      <c r="F80" s="17" t="s">
        <v>805</v>
      </c>
      <c r="G80" s="32" t="s">
        <v>49</v>
      </c>
      <c r="H80" s="17" t="s">
        <v>75</v>
      </c>
      <c r="I80" s="17" t="s">
        <v>279</v>
      </c>
      <c r="J80" s="17" t="s">
        <v>406</v>
      </c>
      <c r="K80" s="17" t="s">
        <v>53</v>
      </c>
      <c r="L80" s="17" t="s">
        <v>54</v>
      </c>
      <c r="M80" s="17" t="s">
        <v>260</v>
      </c>
      <c r="N80" s="17" t="s">
        <v>56</v>
      </c>
      <c r="O80" s="34" t="s">
        <v>58</v>
      </c>
      <c r="P80" s="34" t="s">
        <v>57</v>
      </c>
      <c r="Q80" s="34" t="s">
        <v>57</v>
      </c>
      <c r="R80" s="34" t="s">
        <v>57</v>
      </c>
      <c r="S80" s="34" t="s">
        <v>58</v>
      </c>
      <c r="T80" s="34" t="s">
        <v>57</v>
      </c>
      <c r="U80" s="51" t="s">
        <v>58</v>
      </c>
      <c r="V80" s="51" t="s">
        <v>57</v>
      </c>
      <c r="W80" s="51" t="s">
        <v>57</v>
      </c>
      <c r="X80" s="51" t="s">
        <v>57</v>
      </c>
      <c r="Y80" s="51" t="s">
        <v>58</v>
      </c>
      <c r="Z80" s="51" t="s">
        <v>57</v>
      </c>
      <c r="AA80" s="32"/>
      <c r="AB80" s="32"/>
      <c r="AC80" s="32" t="s">
        <v>418</v>
      </c>
      <c r="AD80" s="32" t="s">
        <v>419</v>
      </c>
      <c r="AE80" s="32" t="s">
        <v>420</v>
      </c>
      <c r="AF80" s="32"/>
      <c r="AG80" s="17" t="s">
        <v>421</v>
      </c>
      <c r="AH80" s="17"/>
      <c r="AI80" s="17"/>
      <c r="AJ80" s="17"/>
      <c r="AK80" s="17" t="s">
        <v>422</v>
      </c>
      <c r="AL80" s="17"/>
      <c r="AM80" s="17"/>
      <c r="AN80" s="17"/>
      <c r="AO80" s="17"/>
      <c r="AP80" s="17"/>
      <c r="AQ80" s="17" t="s">
        <v>64</v>
      </c>
      <c r="AR80" s="17"/>
      <c r="AS80" s="20" t="s">
        <v>411</v>
      </c>
      <c r="AT80" s="20" t="s">
        <v>777</v>
      </c>
      <c r="AU80" s="20" t="s">
        <v>67</v>
      </c>
      <c r="AV80" s="24">
        <v>29.8</v>
      </c>
      <c r="AW80" s="25">
        <v>26</v>
      </c>
      <c r="AX80" s="24">
        <v>4.8</v>
      </c>
      <c r="AY80" s="28">
        <v>32.729999999999897</v>
      </c>
      <c r="AZ80" s="29">
        <v>26</v>
      </c>
      <c r="BA80" s="28">
        <v>4.75</v>
      </c>
      <c r="BB80" s="24"/>
      <c r="BC80" s="24"/>
      <c r="BD80" s="22" t="s">
        <v>684</v>
      </c>
      <c r="BE80" s="22">
        <v>56</v>
      </c>
      <c r="BF80" s="22">
        <v>35</v>
      </c>
    </row>
    <row r="81" spans="1:58" x14ac:dyDescent="0.2">
      <c r="A81" t="s">
        <v>787</v>
      </c>
      <c r="B81" s="17" t="s">
        <v>427</v>
      </c>
      <c r="C81" s="17">
        <v>2017</v>
      </c>
      <c r="D81" s="17" t="s">
        <v>439</v>
      </c>
      <c r="E81" s="17" t="s">
        <v>792</v>
      </c>
      <c r="F81" s="17" t="s">
        <v>796</v>
      </c>
      <c r="G81" s="32" t="s">
        <v>49</v>
      </c>
      <c r="H81" s="17" t="s">
        <v>50</v>
      </c>
      <c r="I81" s="17" t="s">
        <v>429</v>
      </c>
      <c r="J81" s="17" t="s">
        <v>430</v>
      </c>
      <c r="K81" s="17" t="s">
        <v>91</v>
      </c>
      <c r="L81" s="17" t="s">
        <v>54</v>
      </c>
      <c r="M81" s="17" t="s">
        <v>260</v>
      </c>
      <c r="N81" s="17" t="s">
        <v>56</v>
      </c>
      <c r="O81" s="34" t="s">
        <v>93</v>
      </c>
      <c r="P81" s="34" t="s">
        <v>57</v>
      </c>
      <c r="Q81" s="34" t="s">
        <v>57</v>
      </c>
      <c r="R81" s="34" t="s">
        <v>57</v>
      </c>
      <c r="S81" s="34" t="s">
        <v>58</v>
      </c>
      <c r="T81" s="34" t="s">
        <v>57</v>
      </c>
      <c r="U81" s="51" t="s">
        <v>93</v>
      </c>
      <c r="V81" s="51" t="s">
        <v>57</v>
      </c>
      <c r="W81" s="51" t="s">
        <v>57</v>
      </c>
      <c r="X81" s="51" t="s">
        <v>57</v>
      </c>
      <c r="Y81" s="51" t="s">
        <v>58</v>
      </c>
      <c r="Z81" s="51" t="s">
        <v>57</v>
      </c>
      <c r="AA81" s="32"/>
      <c r="AB81" s="32"/>
      <c r="AC81" s="32" t="s">
        <v>440</v>
      </c>
      <c r="AD81" s="32" t="s">
        <v>441</v>
      </c>
      <c r="AE81" s="32"/>
      <c r="AF81" s="32"/>
      <c r="AG81" s="17" t="s">
        <v>442</v>
      </c>
      <c r="AH81" s="17"/>
      <c r="AI81" s="17"/>
      <c r="AJ81" s="17"/>
      <c r="AK81" s="17" t="s">
        <v>443</v>
      </c>
      <c r="AL81" s="17"/>
      <c r="AM81" s="17"/>
      <c r="AN81" s="17"/>
      <c r="AO81" s="17"/>
      <c r="AP81" s="17"/>
      <c r="AQ81" s="17" t="s">
        <v>64</v>
      </c>
      <c r="AR81" s="17"/>
      <c r="AS81" s="20" t="s">
        <v>65</v>
      </c>
      <c r="AT81" s="20" t="s">
        <v>66</v>
      </c>
      <c r="AU81" s="20" t="s">
        <v>67</v>
      </c>
      <c r="AV81" s="24">
        <v>52.1</v>
      </c>
      <c r="AW81" s="25">
        <v>55</v>
      </c>
      <c r="AX81" s="24">
        <v>15.1</v>
      </c>
      <c r="AY81" s="28">
        <v>-17.399999999999999</v>
      </c>
      <c r="AZ81" s="29">
        <v>55</v>
      </c>
      <c r="BA81" s="28">
        <v>8.3800000000000008</v>
      </c>
      <c r="BB81" s="24"/>
      <c r="BC81" s="24"/>
      <c r="BD81" s="22" t="s">
        <v>438</v>
      </c>
      <c r="BE81" s="22">
        <f>56+90</f>
        <v>146</v>
      </c>
      <c r="BF81" s="22">
        <v>56</v>
      </c>
    </row>
    <row r="82" spans="1:58" x14ac:dyDescent="0.2">
      <c r="A82" t="s">
        <v>787</v>
      </c>
      <c r="B82" s="17" t="s">
        <v>427</v>
      </c>
      <c r="C82" s="17">
        <v>2017</v>
      </c>
      <c r="D82" s="17" t="s">
        <v>439</v>
      </c>
      <c r="E82" s="17" t="s">
        <v>792</v>
      </c>
      <c r="F82" s="17" t="s">
        <v>796</v>
      </c>
      <c r="G82" s="32" t="s">
        <v>49</v>
      </c>
      <c r="H82" s="17" t="s">
        <v>50</v>
      </c>
      <c r="I82" s="17" t="s">
        <v>429</v>
      </c>
      <c r="J82" s="17" t="s">
        <v>430</v>
      </c>
      <c r="K82" s="17" t="s">
        <v>91</v>
      </c>
      <c r="L82" s="17" t="s">
        <v>54</v>
      </c>
      <c r="M82" s="17" t="s">
        <v>260</v>
      </c>
      <c r="N82" s="17" t="s">
        <v>56</v>
      </c>
      <c r="O82" s="34" t="s">
        <v>93</v>
      </c>
      <c r="P82" s="34" t="s">
        <v>57</v>
      </c>
      <c r="Q82" s="34" t="s">
        <v>57</v>
      </c>
      <c r="R82" s="34" t="s">
        <v>57</v>
      </c>
      <c r="S82" s="34" t="s">
        <v>58</v>
      </c>
      <c r="T82" s="34" t="s">
        <v>57</v>
      </c>
      <c r="U82" s="51" t="s">
        <v>93</v>
      </c>
      <c r="V82" s="51" t="s">
        <v>57</v>
      </c>
      <c r="W82" s="51" t="s">
        <v>57</v>
      </c>
      <c r="X82" s="51" t="s">
        <v>57</v>
      </c>
      <c r="Y82" s="51" t="s">
        <v>58</v>
      </c>
      <c r="Z82" s="51" t="s">
        <v>57</v>
      </c>
      <c r="AA82" s="32"/>
      <c r="AB82" s="32"/>
      <c r="AC82" s="32" t="s">
        <v>440</v>
      </c>
      <c r="AD82" s="32" t="s">
        <v>441</v>
      </c>
      <c r="AE82" s="32"/>
      <c r="AF82" s="32"/>
      <c r="AG82" s="17" t="s">
        <v>442</v>
      </c>
      <c r="AH82" s="17"/>
      <c r="AI82" s="17"/>
      <c r="AJ82" s="17"/>
      <c r="AK82" s="17" t="s">
        <v>443</v>
      </c>
      <c r="AL82" s="17"/>
      <c r="AM82" s="17"/>
      <c r="AN82" s="17"/>
      <c r="AO82" s="17"/>
      <c r="AP82" s="17"/>
      <c r="AQ82" s="17" t="s">
        <v>64</v>
      </c>
      <c r="AR82" s="17"/>
      <c r="AS82" s="20" t="s">
        <v>65</v>
      </c>
      <c r="AT82" s="20" t="s">
        <v>66</v>
      </c>
      <c r="AU82" s="20" t="s">
        <v>67</v>
      </c>
      <c r="AV82" s="24">
        <v>52.1</v>
      </c>
      <c r="AW82" s="25">
        <v>55</v>
      </c>
      <c r="AX82" s="24">
        <v>15.1</v>
      </c>
      <c r="AY82" s="28">
        <v>-17.36</v>
      </c>
      <c r="AZ82" s="29">
        <v>55</v>
      </c>
      <c r="BA82" s="28">
        <v>8.34</v>
      </c>
      <c r="BB82" s="24"/>
      <c r="BC82" s="24"/>
      <c r="BD82" s="22" t="s">
        <v>682</v>
      </c>
      <c r="BE82" s="22">
        <v>56</v>
      </c>
      <c r="BF82" s="22">
        <v>56</v>
      </c>
    </row>
    <row r="83" spans="1:58" x14ac:dyDescent="0.2">
      <c r="A83" t="s">
        <v>787</v>
      </c>
      <c r="B83" s="17" t="s">
        <v>427</v>
      </c>
      <c r="C83" s="17">
        <v>2017</v>
      </c>
      <c r="D83" s="17" t="s">
        <v>428</v>
      </c>
      <c r="E83" s="17" t="s">
        <v>88</v>
      </c>
      <c r="F83" s="8" t="s">
        <v>807</v>
      </c>
      <c r="G83" s="17" t="s">
        <v>88</v>
      </c>
      <c r="H83" s="17" t="s">
        <v>88</v>
      </c>
      <c r="I83" s="17" t="s">
        <v>429</v>
      </c>
      <c r="J83" s="17" t="s">
        <v>430</v>
      </c>
      <c r="K83" s="17" t="s">
        <v>91</v>
      </c>
      <c r="L83" s="17" t="s">
        <v>54</v>
      </c>
      <c r="M83" s="17" t="s">
        <v>260</v>
      </c>
      <c r="N83" s="17" t="s">
        <v>56</v>
      </c>
      <c r="O83" s="34" t="s">
        <v>93</v>
      </c>
      <c r="P83" s="34" t="s">
        <v>57</v>
      </c>
      <c r="Q83" s="34" t="s">
        <v>57</v>
      </c>
      <c r="R83" s="34" t="s">
        <v>57</v>
      </c>
      <c r="S83" s="34" t="s">
        <v>58</v>
      </c>
      <c r="T83" s="34" t="s">
        <v>57</v>
      </c>
      <c r="U83" s="51" t="s">
        <v>93</v>
      </c>
      <c r="V83" s="51" t="s">
        <v>57</v>
      </c>
      <c r="W83" s="51" t="s">
        <v>57</v>
      </c>
      <c r="X83" s="51" t="s">
        <v>57</v>
      </c>
      <c r="Y83" s="51" t="s">
        <v>58</v>
      </c>
      <c r="Z83" s="51" t="s">
        <v>57</v>
      </c>
      <c r="AA83" s="32"/>
      <c r="AB83" s="32"/>
      <c r="AC83" s="32" t="s">
        <v>431</v>
      </c>
      <c r="AD83" s="32" t="s">
        <v>432</v>
      </c>
      <c r="AE83" s="32"/>
      <c r="AF83" s="32"/>
      <c r="AG83" s="17" t="s">
        <v>88</v>
      </c>
      <c r="AH83" s="17"/>
      <c r="AI83" s="17"/>
      <c r="AJ83" s="17"/>
      <c r="AK83" s="17" t="s">
        <v>88</v>
      </c>
      <c r="AL83" s="17"/>
      <c r="AM83" s="17"/>
      <c r="AN83" s="17"/>
      <c r="AO83" s="17"/>
      <c r="AP83" s="17"/>
      <c r="AQ83" s="17" t="s">
        <v>100</v>
      </c>
      <c r="AR83" s="17"/>
      <c r="AS83" s="20" t="s">
        <v>65</v>
      </c>
      <c r="AT83" s="20" t="s">
        <v>66</v>
      </c>
      <c r="AU83" s="20" t="s">
        <v>67</v>
      </c>
      <c r="AV83" s="24">
        <v>50</v>
      </c>
      <c r="AW83" s="25">
        <v>59</v>
      </c>
      <c r="AX83" s="24">
        <v>12.6</v>
      </c>
      <c r="AY83" s="28">
        <v>0.74</v>
      </c>
      <c r="AZ83" s="29">
        <v>59</v>
      </c>
      <c r="BA83" s="28">
        <v>0.84</v>
      </c>
      <c r="BB83" s="24"/>
      <c r="BC83" s="24"/>
      <c r="BD83" s="22" t="s">
        <v>438</v>
      </c>
      <c r="BE83" s="22">
        <f>56+90</f>
        <v>146</v>
      </c>
      <c r="BF83" s="22">
        <v>56</v>
      </c>
    </row>
    <row r="84" spans="1:58" x14ac:dyDescent="0.2">
      <c r="A84" t="s">
        <v>787</v>
      </c>
      <c r="B84" s="17" t="s">
        <v>427</v>
      </c>
      <c r="C84" s="17">
        <v>2017</v>
      </c>
      <c r="D84" s="17" t="s">
        <v>428</v>
      </c>
      <c r="E84" s="17" t="s">
        <v>88</v>
      </c>
      <c r="F84" s="8" t="s">
        <v>807</v>
      </c>
      <c r="G84" s="17" t="s">
        <v>88</v>
      </c>
      <c r="H84" s="17" t="s">
        <v>88</v>
      </c>
      <c r="I84" s="17" t="s">
        <v>429</v>
      </c>
      <c r="J84" s="17" t="s">
        <v>430</v>
      </c>
      <c r="K84" s="17" t="s">
        <v>91</v>
      </c>
      <c r="L84" s="17" t="s">
        <v>54</v>
      </c>
      <c r="M84" s="17" t="s">
        <v>260</v>
      </c>
      <c r="N84" s="17" t="s">
        <v>56</v>
      </c>
      <c r="O84" s="34" t="s">
        <v>93</v>
      </c>
      <c r="P84" s="34" t="s">
        <v>57</v>
      </c>
      <c r="Q84" s="34" t="s">
        <v>57</v>
      </c>
      <c r="R84" s="34" t="s">
        <v>57</v>
      </c>
      <c r="S84" s="34" t="s">
        <v>58</v>
      </c>
      <c r="T84" s="34" t="s">
        <v>57</v>
      </c>
      <c r="U84" s="51" t="s">
        <v>93</v>
      </c>
      <c r="V84" s="51" t="s">
        <v>57</v>
      </c>
      <c r="W84" s="51" t="s">
        <v>57</v>
      </c>
      <c r="X84" s="51" t="s">
        <v>57</v>
      </c>
      <c r="Y84" s="51" t="s">
        <v>58</v>
      </c>
      <c r="Z84" s="51" t="s">
        <v>57</v>
      </c>
      <c r="AA84" s="32"/>
      <c r="AB84" s="32"/>
      <c r="AC84" s="32" t="s">
        <v>431</v>
      </c>
      <c r="AD84" s="32" t="s">
        <v>432</v>
      </c>
      <c r="AE84" s="32"/>
      <c r="AF84" s="32"/>
      <c r="AG84" s="17" t="s">
        <v>88</v>
      </c>
      <c r="AH84" s="17"/>
      <c r="AI84" s="17"/>
      <c r="AJ84" s="17"/>
      <c r="AK84" s="17" t="s">
        <v>88</v>
      </c>
      <c r="AL84" s="17"/>
      <c r="AM84" s="17"/>
      <c r="AN84" s="17"/>
      <c r="AO84" s="17"/>
      <c r="AP84" s="17"/>
      <c r="AQ84" s="17" t="s">
        <v>100</v>
      </c>
      <c r="AR84" s="17"/>
      <c r="AS84" s="20" t="s">
        <v>65</v>
      </c>
      <c r="AT84" s="20" t="s">
        <v>66</v>
      </c>
      <c r="AU84" s="20" t="s">
        <v>67</v>
      </c>
      <c r="AV84" s="24">
        <v>50</v>
      </c>
      <c r="AW84" s="25">
        <v>59</v>
      </c>
      <c r="AX84" s="24">
        <v>12.6</v>
      </c>
      <c r="AY84" s="28">
        <v>0.15</v>
      </c>
      <c r="AZ84" s="29">
        <v>59</v>
      </c>
      <c r="BA84" s="28">
        <v>0.4</v>
      </c>
      <c r="BB84" s="24"/>
      <c r="BC84" s="24"/>
      <c r="BD84" s="22" t="s">
        <v>682</v>
      </c>
      <c r="BE84" s="22">
        <v>56</v>
      </c>
      <c r="BF84" s="22">
        <v>56</v>
      </c>
    </row>
    <row r="85" spans="1:58" x14ac:dyDescent="0.2">
      <c r="A85" t="s">
        <v>787</v>
      </c>
      <c r="B85" s="17" t="s">
        <v>449</v>
      </c>
      <c r="C85" s="17">
        <v>2016</v>
      </c>
      <c r="D85" s="17" t="s">
        <v>450</v>
      </c>
      <c r="E85" s="17" t="s">
        <v>792</v>
      </c>
      <c r="F85" s="17" t="s">
        <v>795</v>
      </c>
      <c r="G85" s="32" t="s">
        <v>49</v>
      </c>
      <c r="H85" s="17" t="s">
        <v>75</v>
      </c>
      <c r="I85" s="17" t="s">
        <v>258</v>
      </c>
      <c r="J85" s="17" t="s">
        <v>451</v>
      </c>
      <c r="K85" s="17" t="s">
        <v>53</v>
      </c>
      <c r="L85" s="17" t="s">
        <v>54</v>
      </c>
      <c r="M85" s="17" t="s">
        <v>452</v>
      </c>
      <c r="N85" s="17" t="s">
        <v>56</v>
      </c>
      <c r="O85" s="34" t="s">
        <v>58</v>
      </c>
      <c r="P85" s="34" t="s">
        <v>58</v>
      </c>
      <c r="Q85" s="34" t="s">
        <v>58</v>
      </c>
      <c r="R85" s="34" t="s">
        <v>57</v>
      </c>
      <c r="S85" s="34" t="s">
        <v>58</v>
      </c>
      <c r="T85" s="34" t="s">
        <v>57</v>
      </c>
      <c r="U85" s="51" t="s">
        <v>58</v>
      </c>
      <c r="V85" s="51" t="s">
        <v>58</v>
      </c>
      <c r="W85" s="51" t="s">
        <v>58</v>
      </c>
      <c r="X85" s="51" t="s">
        <v>57</v>
      </c>
      <c r="Y85" s="51" t="s">
        <v>58</v>
      </c>
      <c r="Z85" s="51" t="s">
        <v>57</v>
      </c>
      <c r="AA85" s="32" t="s">
        <v>453</v>
      </c>
      <c r="AB85" s="32" t="s">
        <v>454</v>
      </c>
      <c r="AC85" s="32" t="s">
        <v>455</v>
      </c>
      <c r="AD85" s="32" t="s">
        <v>456</v>
      </c>
      <c r="AE85" s="32"/>
      <c r="AF85" s="32"/>
      <c r="AG85" s="17" t="s">
        <v>457</v>
      </c>
      <c r="AH85" s="17"/>
      <c r="AI85" s="17"/>
      <c r="AJ85" s="17"/>
      <c r="AK85" s="17" t="s">
        <v>458</v>
      </c>
      <c r="AL85" s="17"/>
      <c r="AM85" s="17"/>
      <c r="AN85" s="17"/>
      <c r="AO85" s="17"/>
      <c r="AP85" s="17"/>
      <c r="AQ85" s="17" t="s">
        <v>209</v>
      </c>
      <c r="AR85" s="17"/>
      <c r="AS85" s="20" t="s">
        <v>65</v>
      </c>
      <c r="AT85" s="20" t="s">
        <v>459</v>
      </c>
      <c r="AU85" s="20" t="s">
        <v>67</v>
      </c>
      <c r="AV85" s="24">
        <v>38.020000000000003</v>
      </c>
      <c r="AW85" s="25">
        <v>35</v>
      </c>
      <c r="AX85" s="24">
        <v>21.49</v>
      </c>
      <c r="AY85" s="28">
        <v>34.71</v>
      </c>
      <c r="AZ85" s="29">
        <v>35</v>
      </c>
      <c r="BA85" s="28">
        <v>18.82</v>
      </c>
      <c r="BB85" s="24"/>
      <c r="BC85" s="24"/>
      <c r="BD85" s="22" t="s">
        <v>465</v>
      </c>
      <c r="BE85" s="22">
        <v>180</v>
      </c>
      <c r="BF85" s="22">
        <v>90</v>
      </c>
    </row>
    <row r="86" spans="1:58" x14ac:dyDescent="0.2">
      <c r="A86" t="s">
        <v>787</v>
      </c>
      <c r="B86" s="17" t="s">
        <v>449</v>
      </c>
      <c r="C86" s="17">
        <v>2016</v>
      </c>
      <c r="D86" s="17" t="s">
        <v>466</v>
      </c>
      <c r="E86" s="17" t="s">
        <v>88</v>
      </c>
      <c r="F86" s="8" t="s">
        <v>807</v>
      </c>
      <c r="G86" s="17" t="s">
        <v>88</v>
      </c>
      <c r="H86" s="17" t="s">
        <v>88</v>
      </c>
      <c r="I86" s="17" t="s">
        <v>258</v>
      </c>
      <c r="J86" s="17" t="s">
        <v>451</v>
      </c>
      <c r="K86" s="17" t="s">
        <v>53</v>
      </c>
      <c r="L86" s="17" t="s">
        <v>54</v>
      </c>
      <c r="M86" s="17" t="s">
        <v>452</v>
      </c>
      <c r="N86" s="17" t="s">
        <v>56</v>
      </c>
      <c r="O86" s="34" t="s">
        <v>58</v>
      </c>
      <c r="P86" s="34" t="s">
        <v>58</v>
      </c>
      <c r="Q86" s="34" t="s">
        <v>58</v>
      </c>
      <c r="R86" s="34" t="s">
        <v>57</v>
      </c>
      <c r="S86" s="34" t="s">
        <v>58</v>
      </c>
      <c r="T86" s="34" t="s">
        <v>57</v>
      </c>
      <c r="U86" s="51" t="s">
        <v>58</v>
      </c>
      <c r="V86" s="51" t="s">
        <v>58</v>
      </c>
      <c r="W86" s="51" t="s">
        <v>58</v>
      </c>
      <c r="X86" s="51" t="s">
        <v>57</v>
      </c>
      <c r="Y86" s="51" t="s">
        <v>58</v>
      </c>
      <c r="Z86" s="51" t="s">
        <v>57</v>
      </c>
      <c r="AA86" s="32" t="s">
        <v>467</v>
      </c>
      <c r="AB86" s="32" t="s">
        <v>468</v>
      </c>
      <c r="AC86" s="32" t="s">
        <v>469</v>
      </c>
      <c r="AD86" s="32" t="s">
        <v>470</v>
      </c>
      <c r="AE86" s="32"/>
      <c r="AF86" s="32"/>
      <c r="AG86" s="17" t="s">
        <v>471</v>
      </c>
      <c r="AH86" s="17"/>
      <c r="AI86" s="17"/>
      <c r="AJ86" s="17"/>
      <c r="AK86" s="17" t="s">
        <v>472</v>
      </c>
      <c r="AL86" s="17"/>
      <c r="AM86" s="17"/>
      <c r="AN86" s="17"/>
      <c r="AO86" s="17"/>
      <c r="AP86" s="17"/>
      <c r="AQ86" s="17" t="s">
        <v>100</v>
      </c>
      <c r="AR86" s="17"/>
      <c r="AS86" s="20" t="s">
        <v>65</v>
      </c>
      <c r="AT86" s="20" t="s">
        <v>459</v>
      </c>
      <c r="AU86" s="20" t="s">
        <v>67</v>
      </c>
      <c r="AV86" s="24">
        <v>31.19</v>
      </c>
      <c r="AW86" s="25">
        <v>35</v>
      </c>
      <c r="AX86" s="24">
        <v>16.54</v>
      </c>
      <c r="AY86" s="28">
        <v>35.659999999999897</v>
      </c>
      <c r="AZ86" s="29">
        <v>35</v>
      </c>
      <c r="BA86" s="28">
        <v>17.07</v>
      </c>
      <c r="BB86" s="24"/>
      <c r="BC86" s="24"/>
      <c r="BD86" s="22" t="s">
        <v>465</v>
      </c>
      <c r="BE86" s="22">
        <v>180</v>
      </c>
      <c r="BF86" s="22">
        <v>90</v>
      </c>
    </row>
    <row r="87" spans="1:58" x14ac:dyDescent="0.2">
      <c r="A87" t="s">
        <v>787</v>
      </c>
      <c r="B87" s="17" t="s">
        <v>449</v>
      </c>
      <c r="C87" s="17">
        <v>2016</v>
      </c>
      <c r="D87" s="17" t="s">
        <v>450</v>
      </c>
      <c r="E87" s="17" t="s">
        <v>792</v>
      </c>
      <c r="F87" s="17" t="s">
        <v>795</v>
      </c>
      <c r="G87" s="32" t="s">
        <v>49</v>
      </c>
      <c r="H87" s="17" t="s">
        <v>75</v>
      </c>
      <c r="I87" s="17" t="s">
        <v>258</v>
      </c>
      <c r="J87" s="17" t="s">
        <v>451</v>
      </c>
      <c r="K87" s="17" t="s">
        <v>53</v>
      </c>
      <c r="L87" s="17" t="s">
        <v>54</v>
      </c>
      <c r="M87" s="17" t="s">
        <v>452</v>
      </c>
      <c r="N87" s="17" t="s">
        <v>56</v>
      </c>
      <c r="O87" s="34" t="s">
        <v>58</v>
      </c>
      <c r="P87" s="34" t="s">
        <v>58</v>
      </c>
      <c r="Q87" s="34" t="s">
        <v>58</v>
      </c>
      <c r="R87" s="34" t="s">
        <v>57</v>
      </c>
      <c r="S87" s="34" t="s">
        <v>58</v>
      </c>
      <c r="T87" s="34" t="s">
        <v>57</v>
      </c>
      <c r="U87" s="51" t="s">
        <v>58</v>
      </c>
      <c r="V87" s="51" t="s">
        <v>58</v>
      </c>
      <c r="W87" s="51" t="s">
        <v>58</v>
      </c>
      <c r="X87" s="51" t="s">
        <v>57</v>
      </c>
      <c r="Y87" s="51" t="s">
        <v>58</v>
      </c>
      <c r="Z87" s="51" t="s">
        <v>57</v>
      </c>
      <c r="AA87" s="32" t="s">
        <v>453</v>
      </c>
      <c r="AB87" s="32" t="s">
        <v>454</v>
      </c>
      <c r="AC87" s="32" t="s">
        <v>455</v>
      </c>
      <c r="AD87" s="32" t="s">
        <v>456</v>
      </c>
      <c r="AE87" s="32"/>
      <c r="AF87" s="32"/>
      <c r="AG87" s="17" t="s">
        <v>457</v>
      </c>
      <c r="AH87" s="17"/>
      <c r="AI87" s="17"/>
      <c r="AJ87" s="17"/>
      <c r="AK87" s="17" t="s">
        <v>458</v>
      </c>
      <c r="AL87" s="17"/>
      <c r="AM87" s="17"/>
      <c r="AN87" s="17"/>
      <c r="AO87" s="17"/>
      <c r="AP87" s="17"/>
      <c r="AQ87" s="17" t="s">
        <v>209</v>
      </c>
      <c r="AR87" s="17"/>
      <c r="AS87" s="20" t="s">
        <v>477</v>
      </c>
      <c r="AT87" s="20" t="s">
        <v>143</v>
      </c>
      <c r="AU87" s="20" t="s">
        <v>67</v>
      </c>
      <c r="AV87" s="24">
        <v>86</v>
      </c>
      <c r="AW87" s="25">
        <v>35</v>
      </c>
      <c r="AX87" s="24">
        <v>9.15</v>
      </c>
      <c r="AY87" s="28">
        <v>88.51</v>
      </c>
      <c r="AZ87" s="29">
        <v>35</v>
      </c>
      <c r="BA87" s="28">
        <v>8.2799999999999905</v>
      </c>
      <c r="BB87" s="24"/>
      <c r="BC87" s="24"/>
      <c r="BD87" s="22" t="s">
        <v>465</v>
      </c>
      <c r="BE87" s="22">
        <v>180</v>
      </c>
      <c r="BF87" s="22">
        <v>90</v>
      </c>
    </row>
    <row r="88" spans="1:58" x14ac:dyDescent="0.2">
      <c r="A88" t="s">
        <v>787</v>
      </c>
      <c r="B88" s="17" t="s">
        <v>449</v>
      </c>
      <c r="C88" s="17">
        <v>2016</v>
      </c>
      <c r="D88" s="17" t="s">
        <v>466</v>
      </c>
      <c r="E88" s="17" t="s">
        <v>88</v>
      </c>
      <c r="F88" s="8" t="s">
        <v>807</v>
      </c>
      <c r="G88" s="17" t="s">
        <v>88</v>
      </c>
      <c r="H88" s="17" t="s">
        <v>88</v>
      </c>
      <c r="I88" s="17" t="s">
        <v>258</v>
      </c>
      <c r="J88" s="17" t="s">
        <v>451</v>
      </c>
      <c r="K88" s="17" t="s">
        <v>53</v>
      </c>
      <c r="L88" s="17" t="s">
        <v>54</v>
      </c>
      <c r="M88" s="17" t="s">
        <v>452</v>
      </c>
      <c r="N88" s="17" t="s">
        <v>56</v>
      </c>
      <c r="O88" s="34" t="s">
        <v>58</v>
      </c>
      <c r="P88" s="34" t="s">
        <v>58</v>
      </c>
      <c r="Q88" s="34" t="s">
        <v>58</v>
      </c>
      <c r="R88" s="34" t="s">
        <v>57</v>
      </c>
      <c r="S88" s="34" t="s">
        <v>58</v>
      </c>
      <c r="T88" s="34" t="s">
        <v>57</v>
      </c>
      <c r="U88" s="51" t="s">
        <v>58</v>
      </c>
      <c r="V88" s="51" t="s">
        <v>58</v>
      </c>
      <c r="W88" s="51" t="s">
        <v>58</v>
      </c>
      <c r="X88" s="51" t="s">
        <v>57</v>
      </c>
      <c r="Y88" s="51" t="s">
        <v>58</v>
      </c>
      <c r="Z88" s="51" t="s">
        <v>57</v>
      </c>
      <c r="AA88" s="32" t="s">
        <v>467</v>
      </c>
      <c r="AB88" s="32" t="s">
        <v>468</v>
      </c>
      <c r="AC88" s="32" t="s">
        <v>469</v>
      </c>
      <c r="AD88" s="32" t="s">
        <v>470</v>
      </c>
      <c r="AE88" s="32"/>
      <c r="AF88" s="32"/>
      <c r="AG88" s="17" t="s">
        <v>471</v>
      </c>
      <c r="AH88" s="17"/>
      <c r="AI88" s="17"/>
      <c r="AJ88" s="17"/>
      <c r="AK88" s="17" t="s">
        <v>472</v>
      </c>
      <c r="AL88" s="17"/>
      <c r="AM88" s="17"/>
      <c r="AN88" s="17"/>
      <c r="AO88" s="17"/>
      <c r="AP88" s="17"/>
      <c r="AQ88" s="17" t="s">
        <v>100</v>
      </c>
      <c r="AR88" s="17"/>
      <c r="AS88" s="20" t="s">
        <v>477</v>
      </c>
      <c r="AT88" s="20" t="s">
        <v>143</v>
      </c>
      <c r="AU88" s="20" t="s">
        <v>67</v>
      </c>
      <c r="AV88" s="24">
        <v>87.2</v>
      </c>
      <c r="AW88" s="25">
        <v>35</v>
      </c>
      <c r="AX88" s="24">
        <v>5.69</v>
      </c>
      <c r="AY88" s="28">
        <v>85.23</v>
      </c>
      <c r="AZ88" s="29">
        <v>35</v>
      </c>
      <c r="BA88" s="28">
        <v>5.68</v>
      </c>
      <c r="BB88" s="24"/>
      <c r="BC88" s="24"/>
      <c r="BD88" s="22" t="s">
        <v>465</v>
      </c>
      <c r="BE88" s="22">
        <v>180</v>
      </c>
      <c r="BF88" s="22">
        <v>90</v>
      </c>
    </row>
    <row r="89" spans="1:58" x14ac:dyDescent="0.2">
      <c r="A89" t="s">
        <v>787</v>
      </c>
      <c r="B89" s="17" t="s">
        <v>486</v>
      </c>
      <c r="C89" s="17">
        <v>2012</v>
      </c>
      <c r="D89" s="17" t="s">
        <v>487</v>
      </c>
      <c r="E89" s="17" t="s">
        <v>792</v>
      </c>
      <c r="F89" s="17" t="s">
        <v>797</v>
      </c>
      <c r="G89" s="32" t="s">
        <v>191</v>
      </c>
      <c r="H89" s="17" t="s">
        <v>192</v>
      </c>
      <c r="I89" s="17" t="s">
        <v>175</v>
      </c>
      <c r="J89" s="17" t="s">
        <v>176</v>
      </c>
      <c r="K89" s="17" t="s">
        <v>53</v>
      </c>
      <c r="L89" s="17" t="s">
        <v>54</v>
      </c>
      <c r="M89" s="17" t="s">
        <v>260</v>
      </c>
      <c r="N89" s="17" t="s">
        <v>488</v>
      </c>
      <c r="O89" s="34" t="s">
        <v>58</v>
      </c>
      <c r="P89" s="34" t="s">
        <v>58</v>
      </c>
      <c r="Q89" s="34" t="s">
        <v>93</v>
      </c>
      <c r="R89" s="34" t="s">
        <v>57</v>
      </c>
      <c r="S89" s="34" t="s">
        <v>58</v>
      </c>
      <c r="T89" s="34" t="s">
        <v>57</v>
      </c>
      <c r="U89" s="51" t="s">
        <v>58</v>
      </c>
      <c r="V89" s="51" t="s">
        <v>58</v>
      </c>
      <c r="W89" s="51" t="s">
        <v>93</v>
      </c>
      <c r="X89" s="51" t="s">
        <v>57</v>
      </c>
      <c r="Y89" s="51" t="s">
        <v>58</v>
      </c>
      <c r="Z89" s="51" t="s">
        <v>57</v>
      </c>
      <c r="AA89" s="32" t="s">
        <v>491</v>
      </c>
      <c r="AB89" s="32" t="s">
        <v>433</v>
      </c>
      <c r="AC89" s="32"/>
      <c r="AD89" s="32"/>
      <c r="AE89" s="32"/>
      <c r="AF89" s="32"/>
      <c r="AG89" s="17"/>
      <c r="AH89" s="17"/>
      <c r="AI89" s="17"/>
      <c r="AJ89" s="17" t="s">
        <v>492</v>
      </c>
      <c r="AK89" s="17"/>
      <c r="AL89" s="17" t="s">
        <v>493</v>
      </c>
      <c r="AM89" s="17"/>
      <c r="AN89" s="17"/>
      <c r="AO89" s="17"/>
      <c r="AP89" s="17"/>
      <c r="AQ89" s="17" t="s">
        <v>494</v>
      </c>
      <c r="AR89" s="17"/>
      <c r="AS89" s="20" t="s">
        <v>188</v>
      </c>
      <c r="AT89" s="20" t="s">
        <v>178</v>
      </c>
      <c r="AU89" s="20" t="s">
        <v>67</v>
      </c>
      <c r="AV89" s="24">
        <v>18.36</v>
      </c>
      <c r="AW89" s="25">
        <v>20</v>
      </c>
      <c r="AX89" s="24">
        <v>3.19</v>
      </c>
      <c r="AY89" s="28">
        <v>19.579999999999899</v>
      </c>
      <c r="AZ89" s="29">
        <v>20</v>
      </c>
      <c r="BA89" s="28">
        <v>4.2</v>
      </c>
      <c r="BB89" s="24"/>
      <c r="BC89" s="24"/>
      <c r="BD89" s="22" t="s">
        <v>685</v>
      </c>
      <c r="BE89" s="22">
        <v>194</v>
      </c>
      <c r="BF89" s="22">
        <v>14</v>
      </c>
    </row>
    <row r="90" spans="1:58" x14ac:dyDescent="0.2">
      <c r="A90" t="s">
        <v>787</v>
      </c>
      <c r="B90" s="17" t="s">
        <v>486</v>
      </c>
      <c r="C90" s="17">
        <v>2012</v>
      </c>
      <c r="D90" s="17" t="s">
        <v>87</v>
      </c>
      <c r="E90" s="17" t="s">
        <v>88</v>
      </c>
      <c r="F90" s="8" t="s">
        <v>807</v>
      </c>
      <c r="G90" s="17" t="s">
        <v>88</v>
      </c>
      <c r="H90" s="17" t="s">
        <v>88</v>
      </c>
      <c r="I90" s="17" t="s">
        <v>175</v>
      </c>
      <c r="J90" s="17" t="s">
        <v>176</v>
      </c>
      <c r="K90" s="17" t="s">
        <v>53</v>
      </c>
      <c r="L90" s="17" t="s">
        <v>54</v>
      </c>
      <c r="M90" s="17" t="s">
        <v>260</v>
      </c>
      <c r="N90" s="17" t="s">
        <v>488</v>
      </c>
      <c r="O90" s="34" t="s">
        <v>58</v>
      </c>
      <c r="P90" s="34" t="s">
        <v>58</v>
      </c>
      <c r="Q90" s="34" t="s">
        <v>93</v>
      </c>
      <c r="R90" s="34" t="s">
        <v>57</v>
      </c>
      <c r="S90" s="34" t="s">
        <v>58</v>
      </c>
      <c r="T90" s="34" t="s">
        <v>57</v>
      </c>
      <c r="U90" s="51" t="s">
        <v>58</v>
      </c>
      <c r="V90" s="51" t="s">
        <v>58</v>
      </c>
      <c r="W90" s="51" t="s">
        <v>93</v>
      </c>
      <c r="X90" s="51" t="s">
        <v>57</v>
      </c>
      <c r="Y90" s="51" t="s">
        <v>58</v>
      </c>
      <c r="Z90" s="51" t="s">
        <v>57</v>
      </c>
      <c r="AA90" s="32" t="s">
        <v>498</v>
      </c>
      <c r="AB90" s="32" t="s">
        <v>445</v>
      </c>
      <c r="AC90" s="32"/>
      <c r="AD90" s="32"/>
      <c r="AE90" s="32"/>
      <c r="AF90" s="32"/>
      <c r="AG90" s="17"/>
      <c r="AH90" s="17"/>
      <c r="AI90" s="17"/>
      <c r="AJ90" s="17" t="s">
        <v>499</v>
      </c>
      <c r="AK90" s="17"/>
      <c r="AL90" s="17" t="s">
        <v>500</v>
      </c>
      <c r="AM90" s="17"/>
      <c r="AN90" s="17"/>
      <c r="AO90" s="17"/>
      <c r="AP90" s="17"/>
      <c r="AQ90" s="17" t="s">
        <v>501</v>
      </c>
      <c r="AR90" s="17"/>
      <c r="AS90" s="20" t="s">
        <v>188</v>
      </c>
      <c r="AT90" s="20" t="s">
        <v>178</v>
      </c>
      <c r="AU90" s="20" t="s">
        <v>67</v>
      </c>
      <c r="AV90" s="24">
        <v>18.559999999999899</v>
      </c>
      <c r="AW90" s="25">
        <v>20</v>
      </c>
      <c r="AX90" s="24">
        <v>3.67</v>
      </c>
      <c r="AY90" s="28">
        <v>19.329999999999899</v>
      </c>
      <c r="AZ90" s="29">
        <v>20</v>
      </c>
      <c r="BA90" s="28">
        <v>4.1500000000000004</v>
      </c>
      <c r="BB90" s="24"/>
      <c r="BC90" s="24"/>
      <c r="BD90" s="22" t="s">
        <v>685</v>
      </c>
      <c r="BE90" s="22">
        <v>194</v>
      </c>
      <c r="BF90" s="22">
        <v>14</v>
      </c>
    </row>
    <row r="91" spans="1:58" x14ac:dyDescent="0.2">
      <c r="A91" t="s">
        <v>787</v>
      </c>
      <c r="B91" s="17" t="s">
        <v>505</v>
      </c>
      <c r="C91" s="17">
        <v>2010</v>
      </c>
      <c r="D91" s="17" t="s">
        <v>506</v>
      </c>
      <c r="E91" s="17" t="s">
        <v>88</v>
      </c>
      <c r="F91" s="8" t="s">
        <v>807</v>
      </c>
      <c r="G91" s="17" t="s">
        <v>88</v>
      </c>
      <c r="H91" s="17" t="s">
        <v>88</v>
      </c>
      <c r="I91" s="17" t="s">
        <v>175</v>
      </c>
      <c r="J91" s="17" t="s">
        <v>507</v>
      </c>
      <c r="K91" s="17" t="s">
        <v>53</v>
      </c>
      <c r="L91" s="17" t="s">
        <v>54</v>
      </c>
      <c r="M91" s="17" t="s">
        <v>92</v>
      </c>
      <c r="N91" s="17" t="s">
        <v>177</v>
      </c>
      <c r="O91" s="34" t="s">
        <v>58</v>
      </c>
      <c r="P91" s="34" t="s">
        <v>58</v>
      </c>
      <c r="Q91" s="34" t="s">
        <v>93</v>
      </c>
      <c r="R91" s="34" t="s">
        <v>58</v>
      </c>
      <c r="S91" s="34" t="s">
        <v>58</v>
      </c>
      <c r="T91" s="34" t="s">
        <v>58</v>
      </c>
      <c r="U91" s="51" t="s">
        <v>58</v>
      </c>
      <c r="V91" s="51" t="s">
        <v>58</v>
      </c>
      <c r="W91" s="51" t="s">
        <v>93</v>
      </c>
      <c r="X91" s="51" t="s">
        <v>58</v>
      </c>
      <c r="Y91" s="51" t="s">
        <v>58</v>
      </c>
      <c r="Z91" s="51" t="s">
        <v>58</v>
      </c>
      <c r="AA91" s="32" t="s">
        <v>508</v>
      </c>
      <c r="AB91" s="32" t="s">
        <v>509</v>
      </c>
      <c r="AC91" s="32"/>
      <c r="AD91" s="32"/>
      <c r="AE91" s="32"/>
      <c r="AF91" s="32"/>
      <c r="AG91" s="17" t="s">
        <v>510</v>
      </c>
      <c r="AH91" s="17"/>
      <c r="AI91" s="17"/>
      <c r="AJ91" s="17"/>
      <c r="AK91" s="17" t="s">
        <v>511</v>
      </c>
      <c r="AL91" s="17"/>
      <c r="AM91" s="17"/>
      <c r="AN91" s="17"/>
      <c r="AO91" s="17"/>
      <c r="AP91" s="17"/>
      <c r="AQ91" s="17" t="s">
        <v>512</v>
      </c>
      <c r="AR91" s="17"/>
      <c r="AS91" s="20" t="s">
        <v>168</v>
      </c>
      <c r="AT91" s="20" t="s">
        <v>513</v>
      </c>
      <c r="AU91" s="20" t="s">
        <v>67</v>
      </c>
      <c r="AV91" s="24">
        <v>450.1</v>
      </c>
      <c r="AW91" s="25">
        <v>19</v>
      </c>
      <c r="AX91" s="24">
        <v>151</v>
      </c>
      <c r="AY91" s="28">
        <v>405.1</v>
      </c>
      <c r="AZ91" s="29">
        <v>19</v>
      </c>
      <c r="BA91" s="28">
        <v>146.4</v>
      </c>
      <c r="BB91" s="24"/>
      <c r="BC91" s="24"/>
      <c r="BD91" s="22" t="s">
        <v>519</v>
      </c>
      <c r="BE91" s="22">
        <v>365</v>
      </c>
      <c r="BF91" s="22">
        <v>365</v>
      </c>
    </row>
    <row r="92" spans="1:58" x14ac:dyDescent="0.2">
      <c r="A92" t="s">
        <v>787</v>
      </c>
      <c r="B92" s="17" t="s">
        <v>505</v>
      </c>
      <c r="C92" s="17">
        <v>2010</v>
      </c>
      <c r="D92" s="17" t="s">
        <v>520</v>
      </c>
      <c r="E92" s="17" t="s">
        <v>792</v>
      </c>
      <c r="F92" s="17" t="s">
        <v>795</v>
      </c>
      <c r="G92" s="32" t="s">
        <v>191</v>
      </c>
      <c r="H92" s="17" t="s">
        <v>192</v>
      </c>
      <c r="I92" s="17" t="s">
        <v>175</v>
      </c>
      <c r="J92" s="17" t="s">
        <v>507</v>
      </c>
      <c r="K92" s="17" t="s">
        <v>53</v>
      </c>
      <c r="L92" s="17" t="s">
        <v>54</v>
      </c>
      <c r="M92" s="17" t="s">
        <v>92</v>
      </c>
      <c r="N92" s="17" t="s">
        <v>177</v>
      </c>
      <c r="O92" s="34" t="s">
        <v>58</v>
      </c>
      <c r="P92" s="34" t="s">
        <v>58</v>
      </c>
      <c r="Q92" s="34" t="s">
        <v>93</v>
      </c>
      <c r="R92" s="34" t="s">
        <v>58</v>
      </c>
      <c r="S92" s="34" t="s">
        <v>58</v>
      </c>
      <c r="T92" s="34" t="s">
        <v>58</v>
      </c>
      <c r="U92" s="51" t="s">
        <v>58</v>
      </c>
      <c r="V92" s="51" t="s">
        <v>58</v>
      </c>
      <c r="W92" s="51" t="s">
        <v>93</v>
      </c>
      <c r="X92" s="51" t="s">
        <v>58</v>
      </c>
      <c r="Y92" s="51" t="s">
        <v>58</v>
      </c>
      <c r="Z92" s="51" t="s">
        <v>58</v>
      </c>
      <c r="AA92" s="32" t="s">
        <v>521</v>
      </c>
      <c r="AB92" s="32" t="s">
        <v>522</v>
      </c>
      <c r="AC92" s="32"/>
      <c r="AD92" s="32"/>
      <c r="AE92" s="32"/>
      <c r="AF92" s="32"/>
      <c r="AG92" s="17" t="s">
        <v>523</v>
      </c>
      <c r="AH92" s="17"/>
      <c r="AI92" s="17"/>
      <c r="AJ92" s="17"/>
      <c r="AK92" s="17" t="s">
        <v>524</v>
      </c>
      <c r="AL92" s="17"/>
      <c r="AM92" s="17"/>
      <c r="AN92" s="17"/>
      <c r="AO92" s="17"/>
      <c r="AP92" s="17"/>
      <c r="AQ92" s="17" t="s">
        <v>525</v>
      </c>
      <c r="AR92" s="17"/>
      <c r="AS92" s="20" t="s">
        <v>168</v>
      </c>
      <c r="AT92" s="20" t="s">
        <v>513</v>
      </c>
      <c r="AU92" s="20" t="s">
        <v>67</v>
      </c>
      <c r="AV92" s="24">
        <v>448.1</v>
      </c>
      <c r="AW92" s="25">
        <v>19</v>
      </c>
      <c r="AX92" s="24">
        <v>132.4</v>
      </c>
      <c r="AY92" s="28">
        <v>570.1</v>
      </c>
      <c r="AZ92" s="29">
        <v>19</v>
      </c>
      <c r="BA92" s="28">
        <v>141.9</v>
      </c>
      <c r="BB92" s="24"/>
      <c r="BC92" s="24"/>
      <c r="BD92" s="22" t="s">
        <v>519</v>
      </c>
      <c r="BE92" s="22">
        <v>365</v>
      </c>
      <c r="BF92" s="22">
        <v>365</v>
      </c>
    </row>
    <row r="93" spans="1:58" x14ac:dyDescent="0.2">
      <c r="A93" t="s">
        <v>787</v>
      </c>
      <c r="B93" s="17" t="s">
        <v>530</v>
      </c>
      <c r="C93" s="17">
        <v>2010</v>
      </c>
      <c r="D93" s="17" t="s">
        <v>506</v>
      </c>
      <c r="E93" s="17" t="s">
        <v>88</v>
      </c>
      <c r="F93" s="8" t="s">
        <v>807</v>
      </c>
      <c r="G93" s="17" t="s">
        <v>88</v>
      </c>
      <c r="H93" s="17" t="s">
        <v>88</v>
      </c>
      <c r="I93" s="17" t="s">
        <v>175</v>
      </c>
      <c r="J93" s="17" t="s">
        <v>531</v>
      </c>
      <c r="K93" s="17" t="s">
        <v>53</v>
      </c>
      <c r="L93" s="17" t="s">
        <v>54</v>
      </c>
      <c r="M93" s="17" t="s">
        <v>92</v>
      </c>
      <c r="N93" s="17" t="s">
        <v>532</v>
      </c>
      <c r="O93" s="34" t="s">
        <v>58</v>
      </c>
      <c r="P93" s="34" t="s">
        <v>58</v>
      </c>
      <c r="Q93" s="34" t="s">
        <v>93</v>
      </c>
      <c r="R93" s="34" t="s">
        <v>58</v>
      </c>
      <c r="S93" s="34" t="s">
        <v>58</v>
      </c>
      <c r="T93" s="34" t="s">
        <v>58</v>
      </c>
      <c r="U93" s="51" t="s">
        <v>58</v>
      </c>
      <c r="V93" s="51" t="s">
        <v>58</v>
      </c>
      <c r="W93" s="51" t="s">
        <v>93</v>
      </c>
      <c r="X93" s="51" t="s">
        <v>58</v>
      </c>
      <c r="Y93" s="51" t="s">
        <v>58</v>
      </c>
      <c r="Z93" s="51" t="s">
        <v>58</v>
      </c>
      <c r="AA93" s="32"/>
      <c r="AB93" s="32"/>
      <c r="AC93" s="32"/>
      <c r="AD93" s="32"/>
      <c r="AE93" s="32"/>
      <c r="AF93" s="32"/>
      <c r="AG93" s="17" t="s">
        <v>538</v>
      </c>
      <c r="AH93" s="17"/>
      <c r="AI93" s="17"/>
      <c r="AJ93" s="17"/>
      <c r="AK93" s="17"/>
      <c r="AL93" s="17"/>
      <c r="AM93" s="17"/>
      <c r="AN93" s="17"/>
      <c r="AO93" s="17"/>
      <c r="AP93" s="17"/>
      <c r="AQ93" s="17"/>
      <c r="AR93" s="17"/>
      <c r="AS93" s="20" t="s">
        <v>188</v>
      </c>
      <c r="AT93" s="20" t="s">
        <v>178</v>
      </c>
      <c r="AU93" s="20" t="s">
        <v>67</v>
      </c>
      <c r="AV93" s="24">
        <v>15.32</v>
      </c>
      <c r="AW93" s="25">
        <v>60</v>
      </c>
      <c r="AX93" s="24">
        <v>1.98</v>
      </c>
      <c r="AY93" s="28">
        <v>14.07</v>
      </c>
      <c r="AZ93" s="29">
        <v>60</v>
      </c>
      <c r="BA93" s="28">
        <v>1.63</v>
      </c>
      <c r="BB93" s="24"/>
      <c r="BC93" s="24"/>
      <c r="BD93" s="22" t="s">
        <v>821</v>
      </c>
      <c r="BE93" s="22">
        <v>365</v>
      </c>
      <c r="BF93" s="22">
        <v>365</v>
      </c>
    </row>
    <row r="94" spans="1:58" x14ac:dyDescent="0.2">
      <c r="A94" t="s">
        <v>787</v>
      </c>
      <c r="B94" s="17" t="s">
        <v>530</v>
      </c>
      <c r="C94" s="17">
        <v>2010</v>
      </c>
      <c r="D94" s="17" t="s">
        <v>539</v>
      </c>
      <c r="E94" s="17" t="s">
        <v>792</v>
      </c>
      <c r="F94" s="17" t="s">
        <v>795</v>
      </c>
      <c r="G94" s="32" t="s">
        <v>105</v>
      </c>
      <c r="H94" s="17" t="s">
        <v>106</v>
      </c>
      <c r="I94" s="17" t="s">
        <v>175</v>
      </c>
      <c r="J94" s="17" t="s">
        <v>531</v>
      </c>
      <c r="K94" s="17" t="s">
        <v>53</v>
      </c>
      <c r="L94" s="17" t="s">
        <v>54</v>
      </c>
      <c r="M94" s="17" t="s">
        <v>92</v>
      </c>
      <c r="N94" s="17" t="s">
        <v>532</v>
      </c>
      <c r="O94" s="34" t="s">
        <v>58</v>
      </c>
      <c r="P94" s="34" t="s">
        <v>58</v>
      </c>
      <c r="Q94" s="34" t="s">
        <v>93</v>
      </c>
      <c r="R94" s="34" t="s">
        <v>58</v>
      </c>
      <c r="S94" s="34" t="s">
        <v>58</v>
      </c>
      <c r="T94" s="34" t="s">
        <v>58</v>
      </c>
      <c r="U94" s="51" t="s">
        <v>58</v>
      </c>
      <c r="V94" s="51" t="s">
        <v>58</v>
      </c>
      <c r="W94" s="51" t="s">
        <v>93</v>
      </c>
      <c r="X94" s="51" t="s">
        <v>58</v>
      </c>
      <c r="Y94" s="51" t="s">
        <v>58</v>
      </c>
      <c r="Z94" s="51" t="s">
        <v>58</v>
      </c>
      <c r="AA94" s="32" t="s">
        <v>543</v>
      </c>
      <c r="AB94" s="32" t="s">
        <v>544</v>
      </c>
      <c r="AC94" s="32"/>
      <c r="AD94" s="32"/>
      <c r="AE94" s="32"/>
      <c r="AF94" s="32"/>
      <c r="AG94" s="17" t="s">
        <v>545</v>
      </c>
      <c r="AH94" s="17"/>
      <c r="AI94" s="17"/>
      <c r="AJ94" s="17"/>
      <c r="AK94" s="17" t="s">
        <v>546</v>
      </c>
      <c r="AL94" s="17"/>
      <c r="AM94" s="17"/>
      <c r="AN94" s="17"/>
      <c r="AO94" s="17"/>
      <c r="AP94" s="17"/>
      <c r="AQ94" s="17" t="s">
        <v>525</v>
      </c>
      <c r="AR94" s="17"/>
      <c r="AS94" s="20" t="s">
        <v>188</v>
      </c>
      <c r="AT94" s="20" t="s">
        <v>178</v>
      </c>
      <c r="AU94" s="20" t="s">
        <v>67</v>
      </c>
      <c r="AV94" s="24">
        <v>15.1</v>
      </c>
      <c r="AW94" s="25">
        <v>60</v>
      </c>
      <c r="AX94" s="24">
        <v>2.56</v>
      </c>
      <c r="AY94" s="28">
        <v>16.12</v>
      </c>
      <c r="AZ94" s="29">
        <v>60</v>
      </c>
      <c r="BA94" s="28">
        <v>2.84</v>
      </c>
      <c r="BB94" s="24"/>
      <c r="BC94" s="24"/>
      <c r="BD94" s="22" t="s">
        <v>821</v>
      </c>
      <c r="BE94" s="22">
        <v>365</v>
      </c>
      <c r="BF94" s="22">
        <v>365</v>
      </c>
    </row>
    <row r="95" spans="1:58" x14ac:dyDescent="0.2">
      <c r="A95" t="s">
        <v>786</v>
      </c>
      <c r="B95" s="8" t="s">
        <v>704</v>
      </c>
      <c r="C95" s="8">
        <v>2019</v>
      </c>
      <c r="D95" s="8" t="s">
        <v>118</v>
      </c>
      <c r="E95" s="17" t="s">
        <v>792</v>
      </c>
      <c r="F95" s="8" t="s">
        <v>798</v>
      </c>
      <c r="G95" s="36" t="s">
        <v>191</v>
      </c>
      <c r="H95" s="8" t="s">
        <v>192</v>
      </c>
      <c r="I95" s="8" t="s">
        <v>258</v>
      </c>
      <c r="J95" s="8" t="s">
        <v>705</v>
      </c>
      <c r="K95" s="8" t="s">
        <v>706</v>
      </c>
      <c r="L95" s="8" t="s">
        <v>706</v>
      </c>
      <c r="M95" s="8" t="s">
        <v>707</v>
      </c>
      <c r="N95" s="8" t="s">
        <v>56</v>
      </c>
      <c r="O95" s="37" t="s">
        <v>57</v>
      </c>
      <c r="P95" s="37" t="s">
        <v>57</v>
      </c>
      <c r="Q95" s="37" t="s">
        <v>93</v>
      </c>
      <c r="R95" s="37" t="s">
        <v>57</v>
      </c>
      <c r="S95" s="37" t="s">
        <v>57</v>
      </c>
      <c r="T95" s="37" t="s">
        <v>57</v>
      </c>
      <c r="U95" s="53" t="s">
        <v>93</v>
      </c>
      <c r="V95" s="53" t="s">
        <v>57</v>
      </c>
      <c r="W95" s="53" t="s">
        <v>93</v>
      </c>
      <c r="X95" s="53" t="s">
        <v>58</v>
      </c>
      <c r="Y95" s="53" t="s">
        <v>58</v>
      </c>
      <c r="Z95" s="53" t="s">
        <v>57</v>
      </c>
      <c r="AA95" s="36" t="s">
        <v>722</v>
      </c>
      <c r="AB95" s="38">
        <v>0.76700000000000002</v>
      </c>
      <c r="AC95" s="36" t="s">
        <v>728</v>
      </c>
      <c r="AD95" s="38">
        <v>0.83330000000000004</v>
      </c>
      <c r="AE95" s="36"/>
      <c r="AF95" s="36"/>
      <c r="AG95" s="8" t="s">
        <v>737</v>
      </c>
      <c r="AH95" s="8"/>
      <c r="AI95" s="8"/>
      <c r="AJ95" s="8" t="s">
        <v>395</v>
      </c>
      <c r="AK95" s="8"/>
      <c r="AL95" s="8"/>
      <c r="AM95" s="8"/>
      <c r="AN95" s="8"/>
      <c r="AO95" s="8"/>
      <c r="AP95" s="8"/>
      <c r="AQ95" s="8"/>
      <c r="AR95" s="8"/>
      <c r="AS95" s="13" t="s">
        <v>65</v>
      </c>
      <c r="AT95" s="13" t="s">
        <v>66</v>
      </c>
      <c r="AU95" s="13" t="s">
        <v>67</v>
      </c>
      <c r="AV95" s="42">
        <v>31.43</v>
      </c>
      <c r="AW95" s="43">
        <v>30</v>
      </c>
      <c r="AX95" s="42">
        <v>18.18</v>
      </c>
      <c r="AY95" s="40">
        <v>27.87</v>
      </c>
      <c r="AZ95" s="41">
        <v>26</v>
      </c>
      <c r="BA95" s="40">
        <v>18.39</v>
      </c>
      <c r="BB95" s="42"/>
      <c r="BC95" s="42"/>
      <c r="BD95" s="44" t="s">
        <v>748</v>
      </c>
      <c r="BE95" s="44">
        <v>112</v>
      </c>
      <c r="BF95" s="44">
        <v>112</v>
      </c>
    </row>
    <row r="96" spans="1:58" x14ac:dyDescent="0.2">
      <c r="A96" t="s">
        <v>786</v>
      </c>
      <c r="B96" s="8" t="s">
        <v>704</v>
      </c>
      <c r="C96" s="8">
        <v>2019</v>
      </c>
      <c r="D96" s="8" t="s">
        <v>87</v>
      </c>
      <c r="E96" s="8" t="s">
        <v>88</v>
      </c>
      <c r="F96" s="8" t="s">
        <v>807</v>
      </c>
      <c r="G96" s="8" t="s">
        <v>88</v>
      </c>
      <c r="H96" s="8" t="s">
        <v>88</v>
      </c>
      <c r="I96" s="8" t="s">
        <v>258</v>
      </c>
      <c r="J96" s="8" t="s">
        <v>705</v>
      </c>
      <c r="K96" s="8" t="s">
        <v>706</v>
      </c>
      <c r="L96" s="8" t="s">
        <v>706</v>
      </c>
      <c r="M96" s="8" t="s">
        <v>707</v>
      </c>
      <c r="N96" s="8" t="s">
        <v>56</v>
      </c>
      <c r="O96" s="37" t="s">
        <v>57</v>
      </c>
      <c r="P96" s="37" t="s">
        <v>57</v>
      </c>
      <c r="Q96" s="37" t="s">
        <v>93</v>
      </c>
      <c r="R96" s="37" t="s">
        <v>57</v>
      </c>
      <c r="S96" s="37" t="s">
        <v>57</v>
      </c>
      <c r="T96" s="37" t="s">
        <v>57</v>
      </c>
      <c r="U96" s="53" t="s">
        <v>93</v>
      </c>
      <c r="V96" s="53" t="s">
        <v>57</v>
      </c>
      <c r="W96" s="53" t="s">
        <v>93</v>
      </c>
      <c r="X96" s="53" t="s">
        <v>58</v>
      </c>
      <c r="Y96" s="53" t="s">
        <v>58</v>
      </c>
      <c r="Z96" s="53" t="s">
        <v>57</v>
      </c>
      <c r="AA96" s="36" t="s">
        <v>723</v>
      </c>
      <c r="AB96" s="38">
        <v>0.67700000000000005</v>
      </c>
      <c r="AC96" s="36" t="s">
        <v>729</v>
      </c>
      <c r="AD96" s="38">
        <v>0.74229999999999996</v>
      </c>
      <c r="AE96" s="36"/>
      <c r="AF96" s="36"/>
      <c r="AG96" s="8" t="s">
        <v>738</v>
      </c>
      <c r="AH96" s="8"/>
      <c r="AI96" s="8"/>
      <c r="AJ96" s="8" t="s">
        <v>395</v>
      </c>
      <c r="AK96" s="8"/>
      <c r="AL96" s="8"/>
      <c r="AM96" s="8"/>
      <c r="AN96" s="8"/>
      <c r="AO96" s="8"/>
      <c r="AP96" s="8"/>
      <c r="AQ96" s="8"/>
      <c r="AR96" s="8"/>
      <c r="AS96" s="13" t="s">
        <v>65</v>
      </c>
      <c r="AT96" s="13" t="s">
        <v>66</v>
      </c>
      <c r="AU96" s="13" t="s">
        <v>67</v>
      </c>
      <c r="AV96" s="42">
        <v>40.17</v>
      </c>
      <c r="AW96" s="25">
        <v>31</v>
      </c>
      <c r="AX96" s="42">
        <v>18.100000000000001</v>
      </c>
      <c r="AY96" s="40">
        <v>40.700000000000003</v>
      </c>
      <c r="AZ96" s="41">
        <v>28</v>
      </c>
      <c r="BA96" s="40">
        <v>17.66</v>
      </c>
      <c r="BB96" s="42"/>
      <c r="BC96" s="42"/>
      <c r="BD96" s="44" t="s">
        <v>748</v>
      </c>
      <c r="BE96" s="44">
        <v>112</v>
      </c>
      <c r="BF96" s="44">
        <v>112</v>
      </c>
    </row>
    <row r="97" spans="1:58" x14ac:dyDescent="0.2">
      <c r="A97" t="s">
        <v>786</v>
      </c>
      <c r="B97" s="8" t="s">
        <v>704</v>
      </c>
      <c r="C97" s="8">
        <v>2019</v>
      </c>
      <c r="D97" s="8" t="s">
        <v>118</v>
      </c>
      <c r="E97" s="17" t="s">
        <v>792</v>
      </c>
      <c r="F97" s="8" t="s">
        <v>798</v>
      </c>
      <c r="G97" s="36" t="s">
        <v>191</v>
      </c>
      <c r="H97" s="8" t="s">
        <v>192</v>
      </c>
      <c r="I97" s="8" t="s">
        <v>258</v>
      </c>
      <c r="J97" s="8" t="s">
        <v>705</v>
      </c>
      <c r="K97" s="8" t="s">
        <v>706</v>
      </c>
      <c r="L97" s="8" t="s">
        <v>706</v>
      </c>
      <c r="M97" s="8" t="s">
        <v>707</v>
      </c>
      <c r="N97" s="8" t="s">
        <v>56</v>
      </c>
      <c r="O97" s="37" t="s">
        <v>57</v>
      </c>
      <c r="P97" s="37" t="s">
        <v>57</v>
      </c>
      <c r="Q97" s="37" t="s">
        <v>93</v>
      </c>
      <c r="R97" s="37" t="s">
        <v>57</v>
      </c>
      <c r="S97" s="37" t="s">
        <v>57</v>
      </c>
      <c r="T97" s="37" t="s">
        <v>57</v>
      </c>
      <c r="U97" s="53" t="s">
        <v>93</v>
      </c>
      <c r="V97" s="53" t="s">
        <v>57</v>
      </c>
      <c r="W97" s="53" t="s">
        <v>93</v>
      </c>
      <c r="X97" s="53" t="s">
        <v>58</v>
      </c>
      <c r="Y97" s="53" t="s">
        <v>58</v>
      </c>
      <c r="Z97" s="53" t="s">
        <v>57</v>
      </c>
      <c r="AA97" s="36" t="s">
        <v>722</v>
      </c>
      <c r="AB97" s="38">
        <v>0.76700000000000002</v>
      </c>
      <c r="AC97" s="36" t="s">
        <v>728</v>
      </c>
      <c r="AD97" s="38">
        <v>0.83330000000000004</v>
      </c>
      <c r="AE97" s="36"/>
      <c r="AF97" s="36"/>
      <c r="AG97" s="8" t="s">
        <v>737</v>
      </c>
      <c r="AH97" s="8"/>
      <c r="AI97" s="8"/>
      <c r="AJ97" s="8" t="s">
        <v>395</v>
      </c>
      <c r="AK97" s="8"/>
      <c r="AL97" s="8"/>
      <c r="AM97" s="8"/>
      <c r="AN97" s="8"/>
      <c r="AO97" s="8"/>
      <c r="AP97" s="8"/>
      <c r="AQ97" s="8"/>
      <c r="AR97" s="8"/>
      <c r="AS97" s="20" t="s">
        <v>765</v>
      </c>
      <c r="AT97" s="20" t="s">
        <v>763</v>
      </c>
      <c r="AU97" s="20" t="s">
        <v>67</v>
      </c>
      <c r="AV97" s="24">
        <v>10.06</v>
      </c>
      <c r="AW97" s="25">
        <v>30</v>
      </c>
      <c r="AX97" s="24">
        <v>8.89</v>
      </c>
      <c r="AY97" s="28">
        <v>6.18</v>
      </c>
      <c r="AZ97" s="29">
        <v>26</v>
      </c>
      <c r="BA97" s="28">
        <v>7.26</v>
      </c>
      <c r="BB97" s="24"/>
      <c r="BC97" s="42"/>
      <c r="BD97" s="44" t="s">
        <v>748</v>
      </c>
      <c r="BE97" s="44">
        <v>112</v>
      </c>
      <c r="BF97" s="44">
        <v>112</v>
      </c>
    </row>
    <row r="98" spans="1:58" x14ac:dyDescent="0.2">
      <c r="A98" t="s">
        <v>786</v>
      </c>
      <c r="B98" s="8" t="s">
        <v>704</v>
      </c>
      <c r="C98" s="8">
        <v>2019</v>
      </c>
      <c r="D98" s="8" t="s">
        <v>87</v>
      </c>
      <c r="E98" s="8" t="s">
        <v>88</v>
      </c>
      <c r="F98" s="8" t="s">
        <v>807</v>
      </c>
      <c r="G98" s="8" t="s">
        <v>88</v>
      </c>
      <c r="H98" s="8" t="s">
        <v>88</v>
      </c>
      <c r="I98" s="8" t="s">
        <v>258</v>
      </c>
      <c r="J98" s="8" t="s">
        <v>705</v>
      </c>
      <c r="K98" s="8" t="s">
        <v>706</v>
      </c>
      <c r="L98" s="8" t="s">
        <v>706</v>
      </c>
      <c r="M98" s="8" t="s">
        <v>707</v>
      </c>
      <c r="N98" s="8" t="s">
        <v>56</v>
      </c>
      <c r="O98" s="37" t="s">
        <v>57</v>
      </c>
      <c r="P98" s="37" t="s">
        <v>57</v>
      </c>
      <c r="Q98" s="37" t="s">
        <v>93</v>
      </c>
      <c r="R98" s="37" t="s">
        <v>57</v>
      </c>
      <c r="S98" s="37" t="s">
        <v>57</v>
      </c>
      <c r="T98" s="37" t="s">
        <v>57</v>
      </c>
      <c r="U98" s="53" t="s">
        <v>93</v>
      </c>
      <c r="V98" s="53" t="s">
        <v>57</v>
      </c>
      <c r="W98" s="53" t="s">
        <v>93</v>
      </c>
      <c r="X98" s="53" t="s">
        <v>58</v>
      </c>
      <c r="Y98" s="53" t="s">
        <v>58</v>
      </c>
      <c r="Z98" s="53" t="s">
        <v>57</v>
      </c>
      <c r="AA98" s="36" t="s">
        <v>723</v>
      </c>
      <c r="AB98" s="38">
        <v>0.67700000000000005</v>
      </c>
      <c r="AC98" s="36" t="s">
        <v>729</v>
      </c>
      <c r="AD98" s="38">
        <v>0.74229999999999996</v>
      </c>
      <c r="AE98" s="36"/>
      <c r="AF98" s="36"/>
      <c r="AG98" s="8" t="s">
        <v>738</v>
      </c>
      <c r="AH98" s="8"/>
      <c r="AI98" s="8"/>
      <c r="AJ98" s="8" t="s">
        <v>395</v>
      </c>
      <c r="AK98" s="8"/>
      <c r="AL98" s="8"/>
      <c r="AM98" s="8"/>
      <c r="AN98" s="8"/>
      <c r="AO98" s="8"/>
      <c r="AP98" s="8"/>
      <c r="AQ98" s="8"/>
      <c r="AR98" s="8"/>
      <c r="AS98" s="20" t="s">
        <v>765</v>
      </c>
      <c r="AT98" s="20" t="s">
        <v>763</v>
      </c>
      <c r="AU98" s="20" t="s">
        <v>67</v>
      </c>
      <c r="AV98" s="24">
        <v>12.23</v>
      </c>
      <c r="AW98" s="25">
        <v>31</v>
      </c>
      <c r="AX98" s="24">
        <v>8.0500000000000007</v>
      </c>
      <c r="AY98" s="28">
        <v>15.47</v>
      </c>
      <c r="AZ98" s="29">
        <v>28</v>
      </c>
      <c r="BA98" s="28">
        <v>9.2799999999999994</v>
      </c>
      <c r="BB98" s="24"/>
      <c r="BC98" s="42"/>
      <c r="BD98" s="44" t="s">
        <v>748</v>
      </c>
      <c r="BE98" s="44">
        <v>112</v>
      </c>
      <c r="BF98" s="44">
        <v>112</v>
      </c>
    </row>
    <row r="99" spans="1:58" x14ac:dyDescent="0.2">
      <c r="A99" t="s">
        <v>786</v>
      </c>
      <c r="B99" s="8" t="s">
        <v>704</v>
      </c>
      <c r="C99" s="8">
        <v>2019</v>
      </c>
      <c r="D99" s="8" t="s">
        <v>118</v>
      </c>
      <c r="E99" s="17" t="s">
        <v>792</v>
      </c>
      <c r="F99" s="8" t="s">
        <v>798</v>
      </c>
      <c r="G99" s="36" t="s">
        <v>191</v>
      </c>
      <c r="H99" s="8" t="s">
        <v>192</v>
      </c>
      <c r="I99" s="8" t="s">
        <v>258</v>
      </c>
      <c r="J99" s="8" t="s">
        <v>705</v>
      </c>
      <c r="K99" s="8" t="s">
        <v>706</v>
      </c>
      <c r="L99" s="8" t="s">
        <v>706</v>
      </c>
      <c r="M99" s="8" t="s">
        <v>707</v>
      </c>
      <c r="N99" s="8" t="s">
        <v>56</v>
      </c>
      <c r="O99" s="37" t="s">
        <v>57</v>
      </c>
      <c r="P99" s="37" t="s">
        <v>57</v>
      </c>
      <c r="Q99" s="37" t="s">
        <v>93</v>
      </c>
      <c r="R99" s="37" t="s">
        <v>57</v>
      </c>
      <c r="S99" s="37" t="s">
        <v>57</v>
      </c>
      <c r="T99" s="37" t="s">
        <v>57</v>
      </c>
      <c r="U99" s="53" t="s">
        <v>93</v>
      </c>
      <c r="V99" s="53" t="s">
        <v>57</v>
      </c>
      <c r="W99" s="53" t="s">
        <v>93</v>
      </c>
      <c r="X99" s="53" t="s">
        <v>58</v>
      </c>
      <c r="Y99" s="53" t="s">
        <v>58</v>
      </c>
      <c r="Z99" s="53" t="s">
        <v>57</v>
      </c>
      <c r="AA99" s="36" t="s">
        <v>722</v>
      </c>
      <c r="AB99" s="38">
        <v>0.76700000000000002</v>
      </c>
      <c r="AC99" s="36" t="s">
        <v>728</v>
      </c>
      <c r="AD99" s="38">
        <v>0.83330000000000004</v>
      </c>
      <c r="AE99" s="36"/>
      <c r="AF99" s="36"/>
      <c r="AG99" s="8" t="s">
        <v>737</v>
      </c>
      <c r="AH99" s="8"/>
      <c r="AI99" s="8"/>
      <c r="AJ99" s="8" t="s">
        <v>395</v>
      </c>
      <c r="AK99" s="8"/>
      <c r="AL99" s="8"/>
      <c r="AM99" s="8"/>
      <c r="AN99" s="8"/>
      <c r="AO99" s="8"/>
      <c r="AP99" s="8"/>
      <c r="AQ99" s="8"/>
      <c r="AR99" s="8"/>
      <c r="AS99" s="20" t="s">
        <v>317</v>
      </c>
      <c r="AT99" s="20" t="s">
        <v>762</v>
      </c>
      <c r="AU99" s="20" t="s">
        <v>67</v>
      </c>
      <c r="AV99" s="24">
        <v>11.62</v>
      </c>
      <c r="AW99" s="25">
        <v>30</v>
      </c>
      <c r="AX99" s="24">
        <v>8.34</v>
      </c>
      <c r="AY99" s="28">
        <v>9.68</v>
      </c>
      <c r="AZ99" s="29">
        <v>26</v>
      </c>
      <c r="BA99" s="28">
        <v>8.4499999999999993</v>
      </c>
      <c r="BB99" s="24"/>
      <c r="BC99" s="42"/>
      <c r="BD99" s="44" t="s">
        <v>748</v>
      </c>
      <c r="BE99" s="44">
        <v>112</v>
      </c>
      <c r="BF99" s="44">
        <v>112</v>
      </c>
    </row>
    <row r="100" spans="1:58" x14ac:dyDescent="0.2">
      <c r="A100" t="s">
        <v>786</v>
      </c>
      <c r="B100" s="8" t="s">
        <v>704</v>
      </c>
      <c r="C100" s="8">
        <v>2019</v>
      </c>
      <c r="D100" s="8" t="s">
        <v>87</v>
      </c>
      <c r="E100" s="8" t="s">
        <v>88</v>
      </c>
      <c r="F100" s="8" t="s">
        <v>807</v>
      </c>
      <c r="G100" s="8" t="s">
        <v>88</v>
      </c>
      <c r="H100" s="8" t="s">
        <v>88</v>
      </c>
      <c r="I100" s="8" t="s">
        <v>258</v>
      </c>
      <c r="J100" s="8" t="s">
        <v>705</v>
      </c>
      <c r="K100" s="8" t="s">
        <v>706</v>
      </c>
      <c r="L100" s="8" t="s">
        <v>706</v>
      </c>
      <c r="M100" s="8" t="s">
        <v>707</v>
      </c>
      <c r="N100" s="8" t="s">
        <v>56</v>
      </c>
      <c r="O100" s="37" t="s">
        <v>57</v>
      </c>
      <c r="P100" s="37" t="s">
        <v>57</v>
      </c>
      <c r="Q100" s="37" t="s">
        <v>93</v>
      </c>
      <c r="R100" s="37" t="s">
        <v>57</v>
      </c>
      <c r="S100" s="37" t="s">
        <v>57</v>
      </c>
      <c r="T100" s="37" t="s">
        <v>57</v>
      </c>
      <c r="U100" s="53" t="s">
        <v>93</v>
      </c>
      <c r="V100" s="53" t="s">
        <v>57</v>
      </c>
      <c r="W100" s="53" t="s">
        <v>93</v>
      </c>
      <c r="X100" s="53" t="s">
        <v>58</v>
      </c>
      <c r="Y100" s="53" t="s">
        <v>58</v>
      </c>
      <c r="Z100" s="53" t="s">
        <v>57</v>
      </c>
      <c r="AA100" s="36" t="s">
        <v>723</v>
      </c>
      <c r="AB100" s="38">
        <v>0.67700000000000005</v>
      </c>
      <c r="AC100" s="36" t="s">
        <v>729</v>
      </c>
      <c r="AD100" s="38">
        <v>0.74229999999999996</v>
      </c>
      <c r="AE100" s="36"/>
      <c r="AF100" s="36"/>
      <c r="AG100" s="8" t="s">
        <v>738</v>
      </c>
      <c r="AH100" s="8"/>
      <c r="AI100" s="8"/>
      <c r="AJ100" s="8" t="s">
        <v>395</v>
      </c>
      <c r="AK100" s="8"/>
      <c r="AL100" s="8"/>
      <c r="AM100" s="8"/>
      <c r="AN100" s="8"/>
      <c r="AO100" s="8"/>
      <c r="AP100" s="8"/>
      <c r="AQ100" s="8"/>
      <c r="AR100" s="8"/>
      <c r="AS100" s="20" t="s">
        <v>317</v>
      </c>
      <c r="AT100" s="20" t="s">
        <v>762</v>
      </c>
      <c r="AU100" s="20" t="s">
        <v>67</v>
      </c>
      <c r="AV100" s="24">
        <v>15.23</v>
      </c>
      <c r="AW100" s="25">
        <v>31</v>
      </c>
      <c r="AX100" s="24">
        <v>7.7</v>
      </c>
      <c r="AY100" s="28">
        <v>20.64</v>
      </c>
      <c r="AZ100" s="29">
        <v>28</v>
      </c>
      <c r="BA100" s="28">
        <v>8.94</v>
      </c>
      <c r="BB100" s="24"/>
      <c r="BC100" s="42"/>
      <c r="BD100" s="44" t="s">
        <v>748</v>
      </c>
      <c r="BE100" s="44">
        <v>112</v>
      </c>
      <c r="BF100" s="44">
        <v>112</v>
      </c>
    </row>
    <row r="101" spans="1:58" x14ac:dyDescent="0.2">
      <c r="A101" t="s">
        <v>786</v>
      </c>
      <c r="B101" s="8" t="s">
        <v>704</v>
      </c>
      <c r="C101" s="8">
        <v>2019</v>
      </c>
      <c r="D101" s="8" t="s">
        <v>118</v>
      </c>
      <c r="E101" s="17" t="s">
        <v>792</v>
      </c>
      <c r="F101" s="8" t="s">
        <v>798</v>
      </c>
      <c r="G101" s="36" t="s">
        <v>191</v>
      </c>
      <c r="H101" s="8" t="s">
        <v>192</v>
      </c>
      <c r="I101" s="8" t="s">
        <v>258</v>
      </c>
      <c r="J101" s="8" t="s">
        <v>705</v>
      </c>
      <c r="K101" s="8" t="s">
        <v>706</v>
      </c>
      <c r="L101" s="8" t="s">
        <v>706</v>
      </c>
      <c r="M101" s="8" t="s">
        <v>707</v>
      </c>
      <c r="N101" s="8" t="s">
        <v>56</v>
      </c>
      <c r="O101" s="37" t="s">
        <v>57</v>
      </c>
      <c r="P101" s="37" t="s">
        <v>57</v>
      </c>
      <c r="Q101" s="37" t="s">
        <v>93</v>
      </c>
      <c r="R101" s="37" t="s">
        <v>57</v>
      </c>
      <c r="S101" s="37" t="s">
        <v>57</v>
      </c>
      <c r="T101" s="37" t="s">
        <v>57</v>
      </c>
      <c r="U101" s="53" t="s">
        <v>93</v>
      </c>
      <c r="V101" s="53" t="s">
        <v>57</v>
      </c>
      <c r="W101" s="53" t="s">
        <v>93</v>
      </c>
      <c r="X101" s="53" t="s">
        <v>58</v>
      </c>
      <c r="Y101" s="53" t="s">
        <v>58</v>
      </c>
      <c r="Z101" s="53" t="s">
        <v>57</v>
      </c>
      <c r="AA101" s="36" t="s">
        <v>722</v>
      </c>
      <c r="AB101" s="38">
        <v>0.76700000000000002</v>
      </c>
      <c r="AC101" s="36" t="s">
        <v>728</v>
      </c>
      <c r="AD101" s="38">
        <v>0.83330000000000004</v>
      </c>
      <c r="AE101" s="36"/>
      <c r="AF101" s="36"/>
      <c r="AG101" s="8" t="s">
        <v>737</v>
      </c>
      <c r="AH101" s="8"/>
      <c r="AI101" s="8"/>
      <c r="AJ101" s="8" t="s">
        <v>395</v>
      </c>
      <c r="AK101" s="8"/>
      <c r="AL101" s="8"/>
      <c r="AM101" s="8"/>
      <c r="AN101" s="8"/>
      <c r="AO101" s="8"/>
      <c r="AP101" s="8"/>
      <c r="AQ101" s="8"/>
      <c r="AR101" s="8"/>
      <c r="AS101" s="20" t="s">
        <v>128</v>
      </c>
      <c r="AT101" s="20" t="s">
        <v>776</v>
      </c>
      <c r="AU101" s="20" t="s">
        <v>67</v>
      </c>
      <c r="AV101" s="24">
        <v>11.87</v>
      </c>
      <c r="AW101" s="25">
        <v>30</v>
      </c>
      <c r="AX101" s="24">
        <v>9.73</v>
      </c>
      <c r="AY101" s="28">
        <v>10.5</v>
      </c>
      <c r="AZ101" s="29">
        <v>26</v>
      </c>
      <c r="BA101" s="28">
        <v>8.6999999999999993</v>
      </c>
      <c r="BB101" s="24"/>
      <c r="BC101" s="42"/>
      <c r="BD101" s="44" t="s">
        <v>748</v>
      </c>
      <c r="BE101" s="44">
        <v>112</v>
      </c>
      <c r="BF101" s="44">
        <v>112</v>
      </c>
    </row>
    <row r="102" spans="1:58" x14ac:dyDescent="0.2">
      <c r="A102" t="s">
        <v>786</v>
      </c>
      <c r="B102" s="8" t="s">
        <v>704</v>
      </c>
      <c r="C102" s="8">
        <v>2019</v>
      </c>
      <c r="D102" s="8" t="s">
        <v>87</v>
      </c>
      <c r="E102" s="8" t="s">
        <v>88</v>
      </c>
      <c r="F102" s="8" t="s">
        <v>807</v>
      </c>
      <c r="G102" s="8" t="s">
        <v>88</v>
      </c>
      <c r="H102" s="8" t="s">
        <v>88</v>
      </c>
      <c r="I102" s="8" t="s">
        <v>258</v>
      </c>
      <c r="J102" s="8" t="s">
        <v>705</v>
      </c>
      <c r="K102" s="8" t="s">
        <v>706</v>
      </c>
      <c r="L102" s="8" t="s">
        <v>706</v>
      </c>
      <c r="M102" s="8" t="s">
        <v>707</v>
      </c>
      <c r="N102" s="8" t="s">
        <v>56</v>
      </c>
      <c r="O102" s="37" t="s">
        <v>57</v>
      </c>
      <c r="P102" s="37" t="s">
        <v>57</v>
      </c>
      <c r="Q102" s="37" t="s">
        <v>93</v>
      </c>
      <c r="R102" s="37" t="s">
        <v>57</v>
      </c>
      <c r="S102" s="37" t="s">
        <v>57</v>
      </c>
      <c r="T102" s="37" t="s">
        <v>57</v>
      </c>
      <c r="U102" s="53" t="s">
        <v>93</v>
      </c>
      <c r="V102" s="53" t="s">
        <v>57</v>
      </c>
      <c r="W102" s="53" t="s">
        <v>93</v>
      </c>
      <c r="X102" s="53" t="s">
        <v>58</v>
      </c>
      <c r="Y102" s="53" t="s">
        <v>58</v>
      </c>
      <c r="Z102" s="53" t="s">
        <v>57</v>
      </c>
      <c r="AA102" s="36" t="s">
        <v>723</v>
      </c>
      <c r="AB102" s="38">
        <v>0.67700000000000005</v>
      </c>
      <c r="AC102" s="36" t="s">
        <v>729</v>
      </c>
      <c r="AD102" s="38">
        <v>0.74229999999999996</v>
      </c>
      <c r="AE102" s="36"/>
      <c r="AF102" s="36"/>
      <c r="AG102" s="8" t="s">
        <v>738</v>
      </c>
      <c r="AH102" s="8"/>
      <c r="AI102" s="8"/>
      <c r="AJ102" s="8" t="s">
        <v>395</v>
      </c>
      <c r="AK102" s="8"/>
      <c r="AL102" s="8"/>
      <c r="AM102" s="8"/>
      <c r="AN102" s="8"/>
      <c r="AO102" s="8"/>
      <c r="AP102" s="8"/>
      <c r="AQ102" s="8"/>
      <c r="AR102" s="8"/>
      <c r="AS102" s="20" t="s">
        <v>128</v>
      </c>
      <c r="AT102" s="20" t="s">
        <v>776</v>
      </c>
      <c r="AU102" s="20" t="s">
        <v>67</v>
      </c>
      <c r="AV102" s="24">
        <v>9.35</v>
      </c>
      <c r="AW102" s="25">
        <v>31</v>
      </c>
      <c r="AX102" s="24">
        <v>8.06</v>
      </c>
      <c r="AY102" s="28">
        <v>14.64</v>
      </c>
      <c r="AZ102" s="29">
        <v>28</v>
      </c>
      <c r="BA102" s="28">
        <v>10.06</v>
      </c>
      <c r="BB102" s="24"/>
      <c r="BC102" s="42"/>
      <c r="BD102" s="44" t="s">
        <v>748</v>
      </c>
      <c r="BE102" s="44">
        <v>112</v>
      </c>
      <c r="BF102" s="44">
        <v>112</v>
      </c>
    </row>
    <row r="103" spans="1:58" x14ac:dyDescent="0.2">
      <c r="A103" t="s">
        <v>786</v>
      </c>
      <c r="B103" s="8" t="s">
        <v>704</v>
      </c>
      <c r="C103" s="8">
        <v>2019</v>
      </c>
      <c r="D103" s="8" t="s">
        <v>118</v>
      </c>
      <c r="E103" s="17" t="s">
        <v>792</v>
      </c>
      <c r="F103" s="8" t="s">
        <v>798</v>
      </c>
      <c r="G103" s="36" t="s">
        <v>191</v>
      </c>
      <c r="H103" s="8" t="s">
        <v>192</v>
      </c>
      <c r="I103" s="8" t="s">
        <v>258</v>
      </c>
      <c r="J103" s="8" t="s">
        <v>705</v>
      </c>
      <c r="K103" s="8" t="s">
        <v>706</v>
      </c>
      <c r="L103" s="8" t="s">
        <v>706</v>
      </c>
      <c r="M103" s="8" t="s">
        <v>707</v>
      </c>
      <c r="N103" s="8" t="s">
        <v>56</v>
      </c>
      <c r="O103" s="37" t="s">
        <v>57</v>
      </c>
      <c r="P103" s="37" t="s">
        <v>57</v>
      </c>
      <c r="Q103" s="37" t="s">
        <v>93</v>
      </c>
      <c r="R103" s="37" t="s">
        <v>57</v>
      </c>
      <c r="S103" s="37" t="s">
        <v>57</v>
      </c>
      <c r="T103" s="37" t="s">
        <v>57</v>
      </c>
      <c r="U103" s="53" t="s">
        <v>93</v>
      </c>
      <c r="V103" s="53" t="s">
        <v>57</v>
      </c>
      <c r="W103" s="53" t="s">
        <v>93</v>
      </c>
      <c r="X103" s="53" t="s">
        <v>58</v>
      </c>
      <c r="Y103" s="53" t="s">
        <v>58</v>
      </c>
      <c r="Z103" s="53" t="s">
        <v>57</v>
      </c>
      <c r="AA103" s="36" t="s">
        <v>722</v>
      </c>
      <c r="AB103" s="38">
        <v>0.76700000000000002</v>
      </c>
      <c r="AC103" s="36" t="s">
        <v>728</v>
      </c>
      <c r="AD103" s="38">
        <v>0.83330000000000004</v>
      </c>
      <c r="AE103" s="36"/>
      <c r="AF103" s="36"/>
      <c r="AG103" s="8" t="s">
        <v>737</v>
      </c>
      <c r="AH103" s="8"/>
      <c r="AI103" s="8"/>
      <c r="AJ103" s="8" t="s">
        <v>395</v>
      </c>
      <c r="AK103" s="8"/>
      <c r="AL103" s="8"/>
      <c r="AM103" s="8"/>
      <c r="AN103" s="8"/>
      <c r="AO103" s="8"/>
      <c r="AP103" s="8"/>
      <c r="AQ103" s="8"/>
      <c r="AR103" s="8"/>
      <c r="AS103" s="20" t="s">
        <v>766</v>
      </c>
      <c r="AT103" s="20" t="s">
        <v>778</v>
      </c>
      <c r="AU103" s="20" t="s">
        <v>67</v>
      </c>
      <c r="AV103" s="24">
        <v>41.79</v>
      </c>
      <c r="AW103" s="25">
        <v>30</v>
      </c>
      <c r="AX103" s="24">
        <v>9.0239999999999991</v>
      </c>
      <c r="AY103" s="28">
        <v>44.87</v>
      </c>
      <c r="AZ103" s="29">
        <v>26</v>
      </c>
      <c r="BA103" s="28">
        <v>8.94</v>
      </c>
      <c r="BB103" s="24"/>
      <c r="BC103" s="42"/>
      <c r="BD103" s="44" t="s">
        <v>748</v>
      </c>
      <c r="BE103" s="44">
        <v>112</v>
      </c>
      <c r="BF103" s="44">
        <v>112</v>
      </c>
    </row>
    <row r="104" spans="1:58" x14ac:dyDescent="0.2">
      <c r="A104" t="s">
        <v>786</v>
      </c>
      <c r="B104" s="8" t="s">
        <v>704</v>
      </c>
      <c r="C104" s="8">
        <v>2019</v>
      </c>
      <c r="D104" s="8" t="s">
        <v>87</v>
      </c>
      <c r="E104" s="8" t="s">
        <v>88</v>
      </c>
      <c r="F104" s="8" t="s">
        <v>807</v>
      </c>
      <c r="G104" s="8" t="s">
        <v>88</v>
      </c>
      <c r="H104" s="8" t="s">
        <v>88</v>
      </c>
      <c r="I104" s="8" t="s">
        <v>258</v>
      </c>
      <c r="J104" s="8" t="s">
        <v>705</v>
      </c>
      <c r="K104" s="8" t="s">
        <v>706</v>
      </c>
      <c r="L104" s="8" t="s">
        <v>706</v>
      </c>
      <c r="M104" s="8" t="s">
        <v>707</v>
      </c>
      <c r="N104" s="8" t="s">
        <v>56</v>
      </c>
      <c r="O104" s="37" t="s">
        <v>57</v>
      </c>
      <c r="P104" s="37" t="s">
        <v>57</v>
      </c>
      <c r="Q104" s="37" t="s">
        <v>93</v>
      </c>
      <c r="R104" s="37" t="s">
        <v>57</v>
      </c>
      <c r="S104" s="37" t="s">
        <v>57</v>
      </c>
      <c r="T104" s="37" t="s">
        <v>57</v>
      </c>
      <c r="U104" s="53" t="s">
        <v>93</v>
      </c>
      <c r="V104" s="53" t="s">
        <v>57</v>
      </c>
      <c r="W104" s="53" t="s">
        <v>93</v>
      </c>
      <c r="X104" s="53" t="s">
        <v>58</v>
      </c>
      <c r="Y104" s="53" t="s">
        <v>58</v>
      </c>
      <c r="Z104" s="53" t="s">
        <v>57</v>
      </c>
      <c r="AA104" s="36" t="s">
        <v>723</v>
      </c>
      <c r="AB104" s="38">
        <v>0.67700000000000005</v>
      </c>
      <c r="AC104" s="36" t="s">
        <v>729</v>
      </c>
      <c r="AD104" s="38">
        <v>0.74229999999999996</v>
      </c>
      <c r="AE104" s="36"/>
      <c r="AF104" s="36"/>
      <c r="AG104" s="8" t="s">
        <v>738</v>
      </c>
      <c r="AH104" s="8"/>
      <c r="AI104" s="8"/>
      <c r="AJ104" s="8" t="s">
        <v>395</v>
      </c>
      <c r="AK104" s="8"/>
      <c r="AL104" s="8"/>
      <c r="AM104" s="8"/>
      <c r="AN104" s="8"/>
      <c r="AO104" s="8"/>
      <c r="AP104" s="8"/>
      <c r="AQ104" s="8"/>
      <c r="AR104" s="8"/>
      <c r="AS104" s="20" t="s">
        <v>766</v>
      </c>
      <c r="AT104" s="20" t="s">
        <v>778</v>
      </c>
      <c r="AU104" s="20" t="s">
        <v>67</v>
      </c>
      <c r="AV104" s="24">
        <v>42.18</v>
      </c>
      <c r="AW104" s="25">
        <v>31</v>
      </c>
      <c r="AX104" s="24">
        <v>10.52</v>
      </c>
      <c r="AY104" s="28">
        <v>39.47</v>
      </c>
      <c r="AZ104" s="29">
        <v>28</v>
      </c>
      <c r="BA104" s="28">
        <v>9.39</v>
      </c>
      <c r="BB104" s="24"/>
      <c r="BC104" s="42"/>
      <c r="BD104" s="44" t="s">
        <v>748</v>
      </c>
      <c r="BE104" s="44">
        <v>112</v>
      </c>
      <c r="BF104" s="44">
        <v>112</v>
      </c>
    </row>
    <row r="105" spans="1:58" x14ac:dyDescent="0.2">
      <c r="A105" t="s">
        <v>786</v>
      </c>
      <c r="B105" s="8" t="s">
        <v>704</v>
      </c>
      <c r="C105" s="8">
        <v>2019</v>
      </c>
      <c r="D105" s="8" t="s">
        <v>118</v>
      </c>
      <c r="E105" s="17" t="s">
        <v>792</v>
      </c>
      <c r="F105" s="8" t="s">
        <v>798</v>
      </c>
      <c r="G105" s="36" t="s">
        <v>191</v>
      </c>
      <c r="H105" s="8" t="s">
        <v>192</v>
      </c>
      <c r="I105" s="8" t="s">
        <v>258</v>
      </c>
      <c r="J105" s="8" t="s">
        <v>705</v>
      </c>
      <c r="K105" s="8" t="s">
        <v>706</v>
      </c>
      <c r="L105" s="8" t="s">
        <v>706</v>
      </c>
      <c r="M105" s="8" t="s">
        <v>707</v>
      </c>
      <c r="N105" s="8" t="s">
        <v>56</v>
      </c>
      <c r="O105" s="37" t="s">
        <v>57</v>
      </c>
      <c r="P105" s="37" t="s">
        <v>57</v>
      </c>
      <c r="Q105" s="37" t="s">
        <v>93</v>
      </c>
      <c r="R105" s="37" t="s">
        <v>57</v>
      </c>
      <c r="S105" s="37" t="s">
        <v>57</v>
      </c>
      <c r="T105" s="37" t="s">
        <v>57</v>
      </c>
      <c r="U105" s="53" t="s">
        <v>93</v>
      </c>
      <c r="V105" s="53" t="s">
        <v>57</v>
      </c>
      <c r="W105" s="53" t="s">
        <v>93</v>
      </c>
      <c r="X105" s="53" t="s">
        <v>58</v>
      </c>
      <c r="Y105" s="53" t="s">
        <v>58</v>
      </c>
      <c r="Z105" s="53" t="s">
        <v>57</v>
      </c>
      <c r="AA105" s="36" t="s">
        <v>722</v>
      </c>
      <c r="AB105" s="38">
        <v>0.76700000000000002</v>
      </c>
      <c r="AC105" s="36" t="s">
        <v>728</v>
      </c>
      <c r="AD105" s="38">
        <v>0.83330000000000004</v>
      </c>
      <c r="AE105" s="36"/>
      <c r="AF105" s="36"/>
      <c r="AG105" s="8" t="s">
        <v>737</v>
      </c>
      <c r="AH105" s="8"/>
      <c r="AI105" s="8"/>
      <c r="AJ105" s="8" t="s">
        <v>395</v>
      </c>
      <c r="AK105" s="8"/>
      <c r="AL105" s="8"/>
      <c r="AM105" s="8"/>
      <c r="AN105" s="8"/>
      <c r="AO105" s="8"/>
      <c r="AP105" s="8"/>
      <c r="AQ105" s="8"/>
      <c r="AR105" s="8"/>
      <c r="AS105" s="20" t="s">
        <v>147</v>
      </c>
      <c r="AT105" s="20" t="s">
        <v>759</v>
      </c>
      <c r="AU105" s="20" t="s">
        <v>67</v>
      </c>
      <c r="AV105" s="24">
        <v>41.75</v>
      </c>
      <c r="AW105" s="25">
        <v>30</v>
      </c>
      <c r="AX105" s="24">
        <v>10</v>
      </c>
      <c r="AY105" s="28">
        <v>45.41</v>
      </c>
      <c r="AZ105" s="29">
        <v>26</v>
      </c>
      <c r="BA105" s="28">
        <v>7.94</v>
      </c>
      <c r="BB105" s="24"/>
      <c r="BC105" s="42"/>
      <c r="BD105" s="44" t="s">
        <v>748</v>
      </c>
      <c r="BE105" s="44">
        <v>112</v>
      </c>
      <c r="BF105" s="44">
        <v>112</v>
      </c>
    </row>
    <row r="106" spans="1:58" x14ac:dyDescent="0.2">
      <c r="A106" t="s">
        <v>786</v>
      </c>
      <c r="B106" s="8" t="s">
        <v>704</v>
      </c>
      <c r="C106" s="8">
        <v>2019</v>
      </c>
      <c r="D106" s="8" t="s">
        <v>87</v>
      </c>
      <c r="E106" s="8" t="s">
        <v>88</v>
      </c>
      <c r="F106" s="8" t="s">
        <v>807</v>
      </c>
      <c r="G106" s="8" t="s">
        <v>88</v>
      </c>
      <c r="H106" s="8" t="s">
        <v>88</v>
      </c>
      <c r="I106" s="8" t="s">
        <v>258</v>
      </c>
      <c r="J106" s="8" t="s">
        <v>705</v>
      </c>
      <c r="K106" s="8" t="s">
        <v>706</v>
      </c>
      <c r="L106" s="8" t="s">
        <v>706</v>
      </c>
      <c r="M106" s="8" t="s">
        <v>707</v>
      </c>
      <c r="N106" s="8" t="s">
        <v>56</v>
      </c>
      <c r="O106" s="37" t="s">
        <v>57</v>
      </c>
      <c r="P106" s="37" t="s">
        <v>57</v>
      </c>
      <c r="Q106" s="37" t="s">
        <v>93</v>
      </c>
      <c r="R106" s="37" t="s">
        <v>57</v>
      </c>
      <c r="S106" s="37" t="s">
        <v>57</v>
      </c>
      <c r="T106" s="37" t="s">
        <v>57</v>
      </c>
      <c r="U106" s="53" t="s">
        <v>93</v>
      </c>
      <c r="V106" s="53" t="s">
        <v>57</v>
      </c>
      <c r="W106" s="53" t="s">
        <v>93</v>
      </c>
      <c r="X106" s="53" t="s">
        <v>58</v>
      </c>
      <c r="Y106" s="53" t="s">
        <v>58</v>
      </c>
      <c r="Z106" s="53" t="s">
        <v>57</v>
      </c>
      <c r="AA106" s="36" t="s">
        <v>723</v>
      </c>
      <c r="AB106" s="38">
        <v>0.67700000000000005</v>
      </c>
      <c r="AC106" s="36" t="s">
        <v>729</v>
      </c>
      <c r="AD106" s="38">
        <v>0.74229999999999996</v>
      </c>
      <c r="AE106" s="36"/>
      <c r="AF106" s="36"/>
      <c r="AG106" s="8" t="s">
        <v>738</v>
      </c>
      <c r="AH106" s="8"/>
      <c r="AI106" s="8"/>
      <c r="AJ106" s="8" t="s">
        <v>395</v>
      </c>
      <c r="AK106" s="8"/>
      <c r="AL106" s="8"/>
      <c r="AM106" s="8"/>
      <c r="AN106" s="8"/>
      <c r="AO106" s="8"/>
      <c r="AP106" s="8"/>
      <c r="AQ106" s="8"/>
      <c r="AR106" s="8"/>
      <c r="AS106" s="20" t="s">
        <v>147</v>
      </c>
      <c r="AT106" s="20" t="s">
        <v>759</v>
      </c>
      <c r="AU106" s="20" t="s">
        <v>67</v>
      </c>
      <c r="AV106" s="24">
        <v>41.59</v>
      </c>
      <c r="AW106" s="25">
        <v>31</v>
      </c>
      <c r="AX106" s="24">
        <v>9.7799999999999994</v>
      </c>
      <c r="AY106" s="28">
        <v>37.74</v>
      </c>
      <c r="AZ106" s="29">
        <v>28</v>
      </c>
      <c r="BA106" s="28">
        <v>10.77</v>
      </c>
      <c r="BB106" s="24"/>
      <c r="BC106" s="42"/>
      <c r="BD106" s="44" t="s">
        <v>748</v>
      </c>
      <c r="BE106" s="44">
        <v>112</v>
      </c>
      <c r="BF106" s="44">
        <v>112</v>
      </c>
    </row>
    <row r="107" spans="1:58" x14ac:dyDescent="0.2">
      <c r="A107" t="s">
        <v>786</v>
      </c>
      <c r="B107" s="8" t="s">
        <v>704</v>
      </c>
      <c r="C107" s="8">
        <v>2019</v>
      </c>
      <c r="D107" s="8" t="s">
        <v>118</v>
      </c>
      <c r="E107" s="17" t="s">
        <v>792</v>
      </c>
      <c r="F107" s="8" t="s">
        <v>798</v>
      </c>
      <c r="G107" s="36" t="s">
        <v>191</v>
      </c>
      <c r="H107" s="8" t="s">
        <v>192</v>
      </c>
      <c r="I107" s="8" t="s">
        <v>258</v>
      </c>
      <c r="J107" s="8" t="s">
        <v>705</v>
      </c>
      <c r="K107" s="8" t="s">
        <v>706</v>
      </c>
      <c r="L107" s="8" t="s">
        <v>706</v>
      </c>
      <c r="M107" s="8" t="s">
        <v>707</v>
      </c>
      <c r="N107" s="8" t="s">
        <v>56</v>
      </c>
      <c r="O107" s="37" t="s">
        <v>57</v>
      </c>
      <c r="P107" s="37" t="s">
        <v>57</v>
      </c>
      <c r="Q107" s="37" t="s">
        <v>93</v>
      </c>
      <c r="R107" s="37" t="s">
        <v>57</v>
      </c>
      <c r="S107" s="37" t="s">
        <v>57</v>
      </c>
      <c r="T107" s="37" t="s">
        <v>57</v>
      </c>
      <c r="U107" s="53" t="s">
        <v>93</v>
      </c>
      <c r="V107" s="53" t="s">
        <v>57</v>
      </c>
      <c r="W107" s="53" t="s">
        <v>93</v>
      </c>
      <c r="X107" s="53" t="s">
        <v>58</v>
      </c>
      <c r="Y107" s="53" t="s">
        <v>58</v>
      </c>
      <c r="Z107" s="53" t="s">
        <v>57</v>
      </c>
      <c r="AA107" s="36" t="s">
        <v>722</v>
      </c>
      <c r="AB107" s="38">
        <v>0.76700000000000002</v>
      </c>
      <c r="AC107" s="36" t="s">
        <v>728</v>
      </c>
      <c r="AD107" s="38">
        <v>0.83330000000000004</v>
      </c>
      <c r="AE107" s="36"/>
      <c r="AF107" s="36"/>
      <c r="AG107" s="8" t="s">
        <v>737</v>
      </c>
      <c r="AH107" s="8"/>
      <c r="AI107" s="8"/>
      <c r="AJ107" s="8" t="s">
        <v>395</v>
      </c>
      <c r="AK107" s="8"/>
      <c r="AL107" s="8"/>
      <c r="AM107" s="8"/>
      <c r="AN107" s="8"/>
      <c r="AO107" s="8"/>
      <c r="AP107" s="8"/>
      <c r="AQ107" s="8"/>
      <c r="AR107" s="8"/>
      <c r="AS107" s="20" t="s">
        <v>753</v>
      </c>
      <c r="AT107" s="20" t="s">
        <v>166</v>
      </c>
      <c r="AU107" s="20" t="s">
        <v>67</v>
      </c>
      <c r="AV107" s="24">
        <v>31.18</v>
      </c>
      <c r="AW107" s="25">
        <v>30</v>
      </c>
      <c r="AX107" s="24">
        <v>23.79</v>
      </c>
      <c r="AY107" s="28">
        <v>26.5</v>
      </c>
      <c r="AZ107" s="29">
        <v>26</v>
      </c>
      <c r="BA107" s="28">
        <v>21.99</v>
      </c>
      <c r="BB107" s="24"/>
      <c r="BC107" s="42"/>
      <c r="BD107" s="44" t="s">
        <v>748</v>
      </c>
      <c r="BE107" s="44">
        <v>112</v>
      </c>
      <c r="BF107" s="44">
        <v>112</v>
      </c>
    </row>
    <row r="108" spans="1:58" x14ac:dyDescent="0.2">
      <c r="A108" t="s">
        <v>786</v>
      </c>
      <c r="B108" s="8" t="s">
        <v>704</v>
      </c>
      <c r="C108" s="8">
        <v>2019</v>
      </c>
      <c r="D108" s="8" t="s">
        <v>87</v>
      </c>
      <c r="E108" s="8" t="s">
        <v>88</v>
      </c>
      <c r="F108" s="8" t="s">
        <v>807</v>
      </c>
      <c r="G108" s="8" t="s">
        <v>88</v>
      </c>
      <c r="H108" s="8" t="s">
        <v>88</v>
      </c>
      <c r="I108" s="8" t="s">
        <v>258</v>
      </c>
      <c r="J108" s="8" t="s">
        <v>705</v>
      </c>
      <c r="K108" s="8" t="s">
        <v>706</v>
      </c>
      <c r="L108" s="8" t="s">
        <v>706</v>
      </c>
      <c r="M108" s="8" t="s">
        <v>707</v>
      </c>
      <c r="N108" s="8" t="s">
        <v>56</v>
      </c>
      <c r="O108" s="37" t="s">
        <v>57</v>
      </c>
      <c r="P108" s="37" t="s">
        <v>57</v>
      </c>
      <c r="Q108" s="37" t="s">
        <v>93</v>
      </c>
      <c r="R108" s="37" t="s">
        <v>57</v>
      </c>
      <c r="S108" s="37" t="s">
        <v>57</v>
      </c>
      <c r="T108" s="37" t="s">
        <v>57</v>
      </c>
      <c r="U108" s="53" t="s">
        <v>93</v>
      </c>
      <c r="V108" s="53" t="s">
        <v>57</v>
      </c>
      <c r="W108" s="53" t="s">
        <v>93</v>
      </c>
      <c r="X108" s="53" t="s">
        <v>58</v>
      </c>
      <c r="Y108" s="53" t="s">
        <v>58</v>
      </c>
      <c r="Z108" s="53" t="s">
        <v>57</v>
      </c>
      <c r="AA108" s="36" t="s">
        <v>723</v>
      </c>
      <c r="AB108" s="38">
        <v>0.67700000000000005</v>
      </c>
      <c r="AC108" s="36" t="s">
        <v>729</v>
      </c>
      <c r="AD108" s="38">
        <v>0.74229999999999996</v>
      </c>
      <c r="AE108" s="36"/>
      <c r="AF108" s="36"/>
      <c r="AG108" s="8" t="s">
        <v>738</v>
      </c>
      <c r="AH108" s="8"/>
      <c r="AI108" s="8"/>
      <c r="AJ108" s="8" t="s">
        <v>395</v>
      </c>
      <c r="AK108" s="8"/>
      <c r="AL108" s="8"/>
      <c r="AM108" s="8"/>
      <c r="AN108" s="8"/>
      <c r="AO108" s="8"/>
      <c r="AP108" s="8"/>
      <c r="AQ108" s="8"/>
      <c r="AR108" s="8"/>
      <c r="AS108" s="20" t="s">
        <v>753</v>
      </c>
      <c r="AT108" s="20" t="s">
        <v>166</v>
      </c>
      <c r="AU108" s="20" t="s">
        <v>67</v>
      </c>
      <c r="AV108" s="24">
        <v>19.41</v>
      </c>
      <c r="AW108" s="25">
        <v>31</v>
      </c>
      <c r="AX108" s="24">
        <v>16.09</v>
      </c>
      <c r="AY108" s="28">
        <v>30.7</v>
      </c>
      <c r="AZ108" s="29">
        <v>28</v>
      </c>
      <c r="BA108" s="28">
        <v>23.78</v>
      </c>
      <c r="BB108" s="24"/>
      <c r="BC108" s="42"/>
      <c r="BD108" s="44" t="s">
        <v>748</v>
      </c>
      <c r="BE108" s="44">
        <v>112</v>
      </c>
      <c r="BF108" s="44">
        <v>112</v>
      </c>
    </row>
    <row r="109" spans="1:58" x14ac:dyDescent="0.2">
      <c r="A109" t="s">
        <v>786</v>
      </c>
      <c r="B109" s="8" t="s">
        <v>704</v>
      </c>
      <c r="C109" s="8">
        <v>2019</v>
      </c>
      <c r="D109" s="8" t="s">
        <v>118</v>
      </c>
      <c r="E109" s="17" t="s">
        <v>792</v>
      </c>
      <c r="F109" s="8" t="s">
        <v>798</v>
      </c>
      <c r="G109" s="36" t="s">
        <v>191</v>
      </c>
      <c r="H109" s="8" t="s">
        <v>192</v>
      </c>
      <c r="I109" s="8" t="s">
        <v>258</v>
      </c>
      <c r="J109" s="8" t="s">
        <v>705</v>
      </c>
      <c r="K109" s="8" t="s">
        <v>706</v>
      </c>
      <c r="L109" s="8" t="s">
        <v>706</v>
      </c>
      <c r="M109" s="8" t="s">
        <v>707</v>
      </c>
      <c r="N109" s="8" t="s">
        <v>56</v>
      </c>
      <c r="O109" s="37" t="s">
        <v>57</v>
      </c>
      <c r="P109" s="37" t="s">
        <v>57</v>
      </c>
      <c r="Q109" s="37" t="s">
        <v>93</v>
      </c>
      <c r="R109" s="37" t="s">
        <v>57</v>
      </c>
      <c r="S109" s="37" t="s">
        <v>57</v>
      </c>
      <c r="T109" s="37" t="s">
        <v>57</v>
      </c>
      <c r="U109" s="53" t="s">
        <v>93</v>
      </c>
      <c r="V109" s="53" t="s">
        <v>57</v>
      </c>
      <c r="W109" s="53" t="s">
        <v>93</v>
      </c>
      <c r="X109" s="53" t="s">
        <v>58</v>
      </c>
      <c r="Y109" s="53" t="s">
        <v>58</v>
      </c>
      <c r="Z109" s="53" t="s">
        <v>57</v>
      </c>
      <c r="AA109" s="36" t="s">
        <v>722</v>
      </c>
      <c r="AB109" s="38">
        <v>0.76700000000000002</v>
      </c>
      <c r="AC109" s="36" t="s">
        <v>728</v>
      </c>
      <c r="AD109" s="38">
        <v>0.83330000000000004</v>
      </c>
      <c r="AE109" s="36"/>
      <c r="AF109" s="36"/>
      <c r="AG109" s="8" t="s">
        <v>737</v>
      </c>
      <c r="AH109" s="8"/>
      <c r="AI109" s="8"/>
      <c r="AJ109" s="8" t="s">
        <v>395</v>
      </c>
      <c r="AK109" s="8"/>
      <c r="AL109" s="8"/>
      <c r="AM109" s="8"/>
      <c r="AN109" s="8"/>
      <c r="AO109" s="8"/>
      <c r="AP109" s="8"/>
      <c r="AQ109" s="8"/>
      <c r="AR109" s="8"/>
      <c r="AS109" s="20" t="s">
        <v>168</v>
      </c>
      <c r="AT109" s="20" t="s">
        <v>767</v>
      </c>
      <c r="AU109" s="20" t="s">
        <v>67</v>
      </c>
      <c r="AV109" s="24">
        <v>31.18</v>
      </c>
      <c r="AW109" s="25">
        <v>22</v>
      </c>
      <c r="AX109" s="24">
        <v>6.14</v>
      </c>
      <c r="AY109" s="28">
        <v>31.79</v>
      </c>
      <c r="AZ109" s="29">
        <v>17</v>
      </c>
      <c r="BA109" s="28">
        <v>5.41</v>
      </c>
      <c r="BB109" s="24"/>
      <c r="BC109" s="42"/>
      <c r="BD109" s="44" t="s">
        <v>748</v>
      </c>
      <c r="BE109" s="44">
        <v>112</v>
      </c>
      <c r="BF109" s="44">
        <v>112</v>
      </c>
    </row>
    <row r="110" spans="1:58" x14ac:dyDescent="0.2">
      <c r="A110" t="s">
        <v>786</v>
      </c>
      <c r="B110" s="8" t="s">
        <v>704</v>
      </c>
      <c r="C110" s="8">
        <v>2019</v>
      </c>
      <c r="D110" s="8" t="s">
        <v>87</v>
      </c>
      <c r="E110" s="8" t="s">
        <v>88</v>
      </c>
      <c r="F110" s="8" t="s">
        <v>807</v>
      </c>
      <c r="G110" s="8" t="s">
        <v>88</v>
      </c>
      <c r="H110" s="8" t="s">
        <v>88</v>
      </c>
      <c r="I110" s="8" t="s">
        <v>258</v>
      </c>
      <c r="J110" s="8" t="s">
        <v>705</v>
      </c>
      <c r="K110" s="8" t="s">
        <v>706</v>
      </c>
      <c r="L110" s="8" t="s">
        <v>706</v>
      </c>
      <c r="M110" s="8" t="s">
        <v>707</v>
      </c>
      <c r="N110" s="8" t="s">
        <v>56</v>
      </c>
      <c r="O110" s="37" t="s">
        <v>57</v>
      </c>
      <c r="P110" s="37" t="s">
        <v>57</v>
      </c>
      <c r="Q110" s="37" t="s">
        <v>93</v>
      </c>
      <c r="R110" s="37" t="s">
        <v>57</v>
      </c>
      <c r="S110" s="37" t="s">
        <v>57</v>
      </c>
      <c r="T110" s="37" t="s">
        <v>57</v>
      </c>
      <c r="U110" s="53" t="s">
        <v>93</v>
      </c>
      <c r="V110" s="53" t="s">
        <v>57</v>
      </c>
      <c r="W110" s="53" t="s">
        <v>93</v>
      </c>
      <c r="X110" s="53" t="s">
        <v>58</v>
      </c>
      <c r="Y110" s="53" t="s">
        <v>58</v>
      </c>
      <c r="Z110" s="53" t="s">
        <v>57</v>
      </c>
      <c r="AA110" s="36" t="s">
        <v>723</v>
      </c>
      <c r="AB110" s="38">
        <v>0.67700000000000005</v>
      </c>
      <c r="AC110" s="36" t="s">
        <v>729</v>
      </c>
      <c r="AD110" s="38">
        <v>0.74229999999999996</v>
      </c>
      <c r="AE110" s="36"/>
      <c r="AF110" s="36"/>
      <c r="AG110" s="8" t="s">
        <v>738</v>
      </c>
      <c r="AH110" s="8"/>
      <c r="AI110" s="8"/>
      <c r="AJ110" s="8" t="s">
        <v>395</v>
      </c>
      <c r="AK110" s="8"/>
      <c r="AL110" s="8"/>
      <c r="AM110" s="8"/>
      <c r="AN110" s="8"/>
      <c r="AO110" s="8"/>
      <c r="AP110" s="8"/>
      <c r="AQ110" s="8"/>
      <c r="AR110" s="8"/>
      <c r="AS110" s="45" t="s">
        <v>168</v>
      </c>
      <c r="AT110" s="45" t="s">
        <v>767</v>
      </c>
      <c r="AU110" s="45" t="s">
        <v>67</v>
      </c>
      <c r="AV110" s="46">
        <v>33.29</v>
      </c>
      <c r="AW110" s="47">
        <v>20</v>
      </c>
      <c r="AX110" s="46">
        <v>4.96</v>
      </c>
      <c r="AY110" s="46">
        <v>32.39</v>
      </c>
      <c r="AZ110" s="47">
        <v>17</v>
      </c>
      <c r="BA110" s="46">
        <v>4.33</v>
      </c>
      <c r="BB110" s="24"/>
      <c r="BC110" s="42"/>
      <c r="BD110" s="44" t="s">
        <v>748</v>
      </c>
      <c r="BE110" s="44">
        <v>112</v>
      </c>
      <c r="BF110" s="44">
        <v>112</v>
      </c>
    </row>
    <row r="111" spans="1:58" x14ac:dyDescent="0.2">
      <c r="A111" t="s">
        <v>786</v>
      </c>
      <c r="B111" s="8" t="s">
        <v>704</v>
      </c>
      <c r="C111" s="8">
        <v>2019</v>
      </c>
      <c r="D111" s="8" t="s">
        <v>118</v>
      </c>
      <c r="E111" s="17" t="s">
        <v>792</v>
      </c>
      <c r="F111" s="8" t="s">
        <v>798</v>
      </c>
      <c r="G111" s="36" t="s">
        <v>191</v>
      </c>
      <c r="H111" s="8" t="s">
        <v>192</v>
      </c>
      <c r="I111" s="8" t="s">
        <v>258</v>
      </c>
      <c r="J111" s="8" t="s">
        <v>705</v>
      </c>
      <c r="K111" s="8" t="s">
        <v>706</v>
      </c>
      <c r="L111" s="8" t="s">
        <v>706</v>
      </c>
      <c r="M111" s="8" t="s">
        <v>707</v>
      </c>
      <c r="N111" s="8" t="s">
        <v>56</v>
      </c>
      <c r="O111" s="37" t="s">
        <v>57</v>
      </c>
      <c r="P111" s="37" t="s">
        <v>57</v>
      </c>
      <c r="Q111" s="37" t="s">
        <v>93</v>
      </c>
      <c r="R111" s="37" t="s">
        <v>57</v>
      </c>
      <c r="S111" s="37" t="s">
        <v>57</v>
      </c>
      <c r="T111" s="37" t="s">
        <v>57</v>
      </c>
      <c r="U111" s="53" t="s">
        <v>93</v>
      </c>
      <c r="V111" s="53" t="s">
        <v>57</v>
      </c>
      <c r="W111" s="53" t="s">
        <v>93</v>
      </c>
      <c r="X111" s="53" t="s">
        <v>58</v>
      </c>
      <c r="Y111" s="53" t="s">
        <v>58</v>
      </c>
      <c r="Z111" s="53" t="s">
        <v>57</v>
      </c>
      <c r="AA111" s="36" t="s">
        <v>722</v>
      </c>
      <c r="AB111" s="38">
        <v>0.76700000000000002</v>
      </c>
      <c r="AC111" s="36" t="s">
        <v>728</v>
      </c>
      <c r="AD111" s="38">
        <v>0.83330000000000004</v>
      </c>
      <c r="AE111" s="36"/>
      <c r="AF111" s="36"/>
      <c r="AG111" s="8" t="s">
        <v>737</v>
      </c>
      <c r="AH111" s="8"/>
      <c r="AI111" s="8"/>
      <c r="AJ111" s="8" t="s">
        <v>395</v>
      </c>
      <c r="AK111" s="8"/>
      <c r="AL111" s="8"/>
      <c r="AM111" s="8"/>
      <c r="AN111" s="8"/>
      <c r="AO111" s="8"/>
      <c r="AP111" s="8"/>
      <c r="AQ111" s="8"/>
      <c r="AR111" s="8"/>
      <c r="AS111" s="20" t="s">
        <v>477</v>
      </c>
      <c r="AT111" s="20" t="s">
        <v>513</v>
      </c>
      <c r="AU111" s="20" t="s">
        <v>67</v>
      </c>
      <c r="AV111" s="24">
        <f>41.79+41.75</f>
        <v>83.539999999999992</v>
      </c>
      <c r="AW111" s="25">
        <v>30</v>
      </c>
      <c r="AX111" s="24">
        <f>SQRT(9.02^2+10^2)</f>
        <v>13.467011546738942</v>
      </c>
      <c r="AY111" s="28">
        <f>44.87+45.41</f>
        <v>90.28</v>
      </c>
      <c r="AZ111" s="29">
        <v>26</v>
      </c>
      <c r="BA111" s="28">
        <f>SQRT(8.94^2+7.94^2)</f>
        <v>11.956889227554131</v>
      </c>
      <c r="BB111" s="24"/>
      <c r="BC111" s="42"/>
      <c r="BD111" s="44" t="s">
        <v>748</v>
      </c>
      <c r="BE111" s="44">
        <v>112</v>
      </c>
      <c r="BF111" s="44">
        <v>112</v>
      </c>
    </row>
    <row r="112" spans="1:58" x14ac:dyDescent="0.2">
      <c r="A112" t="s">
        <v>786</v>
      </c>
      <c r="B112" s="8" t="s">
        <v>704</v>
      </c>
      <c r="C112" s="8">
        <v>2019</v>
      </c>
      <c r="D112" s="8" t="s">
        <v>87</v>
      </c>
      <c r="E112" s="8" t="s">
        <v>88</v>
      </c>
      <c r="F112" s="8" t="s">
        <v>807</v>
      </c>
      <c r="G112" s="8" t="s">
        <v>88</v>
      </c>
      <c r="H112" s="8" t="s">
        <v>88</v>
      </c>
      <c r="I112" s="8" t="s">
        <v>258</v>
      </c>
      <c r="J112" s="8" t="s">
        <v>705</v>
      </c>
      <c r="K112" s="8" t="s">
        <v>706</v>
      </c>
      <c r="L112" s="8" t="s">
        <v>706</v>
      </c>
      <c r="M112" s="8" t="s">
        <v>707</v>
      </c>
      <c r="N112" s="8" t="s">
        <v>56</v>
      </c>
      <c r="O112" s="37" t="s">
        <v>57</v>
      </c>
      <c r="P112" s="37" t="s">
        <v>57</v>
      </c>
      <c r="Q112" s="37" t="s">
        <v>93</v>
      </c>
      <c r="R112" s="37" t="s">
        <v>57</v>
      </c>
      <c r="S112" s="37" t="s">
        <v>57</v>
      </c>
      <c r="T112" s="37" t="s">
        <v>57</v>
      </c>
      <c r="U112" s="53" t="s">
        <v>93</v>
      </c>
      <c r="V112" s="53" t="s">
        <v>57</v>
      </c>
      <c r="W112" s="53" t="s">
        <v>93</v>
      </c>
      <c r="X112" s="53" t="s">
        <v>58</v>
      </c>
      <c r="Y112" s="53" t="s">
        <v>58</v>
      </c>
      <c r="Z112" s="53" t="s">
        <v>57</v>
      </c>
      <c r="AA112" s="36" t="s">
        <v>723</v>
      </c>
      <c r="AB112" s="38">
        <v>0.67700000000000005</v>
      </c>
      <c r="AC112" s="36" t="s">
        <v>729</v>
      </c>
      <c r="AD112" s="38">
        <v>0.74229999999999996</v>
      </c>
      <c r="AE112" s="36"/>
      <c r="AF112" s="36"/>
      <c r="AG112" s="8" t="s">
        <v>738</v>
      </c>
      <c r="AH112" s="8"/>
      <c r="AI112" s="8"/>
      <c r="AJ112" s="8" t="s">
        <v>395</v>
      </c>
      <c r="AK112" s="8"/>
      <c r="AL112" s="8"/>
      <c r="AM112" s="8"/>
      <c r="AN112" s="8"/>
      <c r="AO112" s="8"/>
      <c r="AP112" s="8"/>
      <c r="AQ112" s="8"/>
      <c r="AR112" s="8"/>
      <c r="AS112" s="20" t="s">
        <v>477</v>
      </c>
      <c r="AT112" s="20" t="s">
        <v>513</v>
      </c>
      <c r="AU112" s="20" t="s">
        <v>67</v>
      </c>
      <c r="AV112" s="24">
        <f>42.18+41.59</f>
        <v>83.77000000000001</v>
      </c>
      <c r="AW112" s="25">
        <v>31</v>
      </c>
      <c r="AX112" s="24">
        <f>SQRT(10.52^2+9.78^2)</f>
        <v>14.363801725170115</v>
      </c>
      <c r="AY112" s="28">
        <f>39.47+37.74</f>
        <v>77.210000000000008</v>
      </c>
      <c r="AZ112" s="29">
        <v>28</v>
      </c>
      <c r="BA112" s="28">
        <f>SQRT(9.39^2+10.77^2)</f>
        <v>14.288631844931832</v>
      </c>
      <c r="BB112" s="24"/>
      <c r="BC112" s="42"/>
      <c r="BD112" s="44" t="s">
        <v>748</v>
      </c>
      <c r="BE112" s="44">
        <v>112</v>
      </c>
      <c r="BF112" s="44">
        <v>112</v>
      </c>
    </row>
    <row r="113" spans="1:58" x14ac:dyDescent="0.2">
      <c r="A113" t="s">
        <v>787</v>
      </c>
      <c r="B113" s="17" t="s">
        <v>547</v>
      </c>
      <c r="C113" s="17">
        <v>2010</v>
      </c>
      <c r="D113" s="17" t="s">
        <v>548</v>
      </c>
      <c r="E113" s="17" t="s">
        <v>88</v>
      </c>
      <c r="F113" s="8" t="s">
        <v>807</v>
      </c>
      <c r="G113" s="17" t="s">
        <v>88</v>
      </c>
      <c r="H113" s="17" t="s">
        <v>88</v>
      </c>
      <c r="I113" s="17" t="s">
        <v>175</v>
      </c>
      <c r="J113" s="17" t="s">
        <v>549</v>
      </c>
      <c r="K113" s="17" t="s">
        <v>53</v>
      </c>
      <c r="L113" s="17" t="s">
        <v>54</v>
      </c>
      <c r="M113" s="17" t="s">
        <v>92</v>
      </c>
      <c r="N113" s="17" t="s">
        <v>177</v>
      </c>
      <c r="O113" s="34" t="s">
        <v>58</v>
      </c>
      <c r="P113" s="34" t="s">
        <v>57</v>
      </c>
      <c r="Q113" s="34" t="s">
        <v>93</v>
      </c>
      <c r="R113" s="34" t="s">
        <v>57</v>
      </c>
      <c r="S113" s="34" t="s">
        <v>58</v>
      </c>
      <c r="T113" s="34" t="s">
        <v>57</v>
      </c>
      <c r="U113" s="51" t="s">
        <v>58</v>
      </c>
      <c r="V113" s="51" t="s">
        <v>57</v>
      </c>
      <c r="W113" s="51" t="s">
        <v>93</v>
      </c>
      <c r="X113" s="51" t="s">
        <v>57</v>
      </c>
      <c r="Y113" s="51" t="s">
        <v>58</v>
      </c>
      <c r="Z113" s="51" t="s">
        <v>57</v>
      </c>
      <c r="AA113" s="32"/>
      <c r="AB113" s="32"/>
      <c r="AC113" s="32"/>
      <c r="AD113" s="32"/>
      <c r="AE113" s="32"/>
      <c r="AF113" s="32"/>
      <c r="AG113" s="17" t="s">
        <v>554</v>
      </c>
      <c r="AH113" s="17"/>
      <c r="AI113" s="17"/>
      <c r="AJ113" s="17"/>
      <c r="AK113" s="17" t="s">
        <v>555</v>
      </c>
      <c r="AL113" s="17"/>
      <c r="AM113" s="17"/>
      <c r="AN113" s="17"/>
      <c r="AO113" s="17"/>
      <c r="AP113" s="17"/>
      <c r="AQ113" s="17" t="s">
        <v>525</v>
      </c>
      <c r="AR113" s="17"/>
      <c r="AS113" s="20" t="s">
        <v>656</v>
      </c>
      <c r="AT113" s="20" t="s">
        <v>657</v>
      </c>
      <c r="AU113" s="20" t="s">
        <v>67</v>
      </c>
      <c r="AV113" s="24">
        <v>19.48</v>
      </c>
      <c r="AW113" s="25">
        <v>40</v>
      </c>
      <c r="AX113" s="24">
        <v>2.84</v>
      </c>
      <c r="AY113" s="28">
        <v>18.5</v>
      </c>
      <c r="AZ113" s="29">
        <v>40</v>
      </c>
      <c r="BA113" s="28">
        <v>3.1</v>
      </c>
      <c r="BB113" s="24"/>
      <c r="BC113" s="24"/>
      <c r="BD113" s="22" t="s">
        <v>189</v>
      </c>
      <c r="BE113" s="22">
        <v>365</v>
      </c>
      <c r="BF113" s="22">
        <v>365</v>
      </c>
    </row>
    <row r="114" spans="1:58" x14ac:dyDescent="0.2">
      <c r="A114" t="s">
        <v>787</v>
      </c>
      <c r="B114" s="17" t="s">
        <v>547</v>
      </c>
      <c r="C114" s="17">
        <v>2010</v>
      </c>
      <c r="D114" s="17" t="s">
        <v>118</v>
      </c>
      <c r="E114" s="17" t="s">
        <v>792</v>
      </c>
      <c r="F114" s="17" t="s">
        <v>795</v>
      </c>
      <c r="G114" s="32" t="s">
        <v>191</v>
      </c>
      <c r="H114" s="17" t="s">
        <v>192</v>
      </c>
      <c r="I114" s="17" t="s">
        <v>175</v>
      </c>
      <c r="J114" s="17" t="s">
        <v>549</v>
      </c>
      <c r="K114" s="17" t="s">
        <v>53</v>
      </c>
      <c r="L114" s="17" t="s">
        <v>54</v>
      </c>
      <c r="M114" s="17" t="s">
        <v>92</v>
      </c>
      <c r="N114" s="17" t="s">
        <v>177</v>
      </c>
      <c r="O114" s="34" t="s">
        <v>58</v>
      </c>
      <c r="P114" s="34" t="s">
        <v>57</v>
      </c>
      <c r="Q114" s="34" t="s">
        <v>93</v>
      </c>
      <c r="R114" s="34" t="s">
        <v>57</v>
      </c>
      <c r="S114" s="34" t="s">
        <v>58</v>
      </c>
      <c r="T114" s="34" t="s">
        <v>57</v>
      </c>
      <c r="U114" s="51" t="s">
        <v>58</v>
      </c>
      <c r="V114" s="51" t="s">
        <v>57</v>
      </c>
      <c r="W114" s="51" t="s">
        <v>93</v>
      </c>
      <c r="X114" s="51" t="s">
        <v>57</v>
      </c>
      <c r="Y114" s="51" t="s">
        <v>58</v>
      </c>
      <c r="Z114" s="51" t="s">
        <v>57</v>
      </c>
      <c r="AA114" s="32"/>
      <c r="AB114" s="32"/>
      <c r="AC114" s="32"/>
      <c r="AD114" s="32"/>
      <c r="AE114" s="32"/>
      <c r="AF114" s="32"/>
      <c r="AG114" s="17" t="s">
        <v>560</v>
      </c>
      <c r="AH114" s="17"/>
      <c r="AI114" s="17"/>
      <c r="AJ114" s="17"/>
      <c r="AK114" s="17" t="s">
        <v>561</v>
      </c>
      <c r="AL114" s="17"/>
      <c r="AM114" s="17"/>
      <c r="AN114" s="17"/>
      <c r="AO114" s="17"/>
      <c r="AP114" s="17"/>
      <c r="AQ114" s="17" t="s">
        <v>562</v>
      </c>
      <c r="AR114" s="17"/>
      <c r="AS114" s="20" t="s">
        <v>656</v>
      </c>
      <c r="AT114" s="20" t="s">
        <v>657</v>
      </c>
      <c r="AU114" s="20" t="s">
        <v>67</v>
      </c>
      <c r="AV114" s="24">
        <v>19.21</v>
      </c>
      <c r="AW114" s="25">
        <v>40</v>
      </c>
      <c r="AX114" s="24">
        <v>3.93</v>
      </c>
      <c r="AY114" s="28">
        <v>21.02</v>
      </c>
      <c r="AZ114" s="29">
        <v>40</v>
      </c>
      <c r="BA114" s="28">
        <v>3.88</v>
      </c>
      <c r="BB114" s="24"/>
      <c r="BC114" s="24"/>
      <c r="BD114" s="22" t="s">
        <v>189</v>
      </c>
      <c r="BE114" s="22">
        <v>365</v>
      </c>
      <c r="BF114" s="22">
        <v>365</v>
      </c>
    </row>
    <row r="115" spans="1:58" x14ac:dyDescent="0.2">
      <c r="A115" t="s">
        <v>787</v>
      </c>
      <c r="B115" s="17" t="s">
        <v>547</v>
      </c>
      <c r="C115" s="17">
        <v>2010</v>
      </c>
      <c r="D115" s="17" t="s">
        <v>548</v>
      </c>
      <c r="E115" s="17" t="s">
        <v>88</v>
      </c>
      <c r="F115" s="8" t="s">
        <v>807</v>
      </c>
      <c r="G115" s="17" t="s">
        <v>88</v>
      </c>
      <c r="H115" s="17" t="s">
        <v>88</v>
      </c>
      <c r="I115" s="17" t="s">
        <v>175</v>
      </c>
      <c r="J115" s="17" t="s">
        <v>549</v>
      </c>
      <c r="K115" s="17" t="s">
        <v>53</v>
      </c>
      <c r="L115" s="17" t="s">
        <v>54</v>
      </c>
      <c r="M115" s="17" t="s">
        <v>92</v>
      </c>
      <c r="N115" s="17" t="s">
        <v>177</v>
      </c>
      <c r="O115" s="34" t="s">
        <v>58</v>
      </c>
      <c r="P115" s="34" t="s">
        <v>57</v>
      </c>
      <c r="Q115" s="34" t="s">
        <v>93</v>
      </c>
      <c r="R115" s="34" t="s">
        <v>57</v>
      </c>
      <c r="S115" s="34" t="s">
        <v>58</v>
      </c>
      <c r="T115" s="34" t="s">
        <v>57</v>
      </c>
      <c r="U115" s="51" t="s">
        <v>58</v>
      </c>
      <c r="V115" s="51" t="s">
        <v>57</v>
      </c>
      <c r="W115" s="51" t="s">
        <v>93</v>
      </c>
      <c r="X115" s="51" t="s">
        <v>57</v>
      </c>
      <c r="Y115" s="51" t="s">
        <v>58</v>
      </c>
      <c r="Z115" s="51" t="s">
        <v>57</v>
      </c>
      <c r="AA115" s="32"/>
      <c r="AB115" s="32"/>
      <c r="AC115" s="32"/>
      <c r="AD115" s="32"/>
      <c r="AE115" s="32"/>
      <c r="AF115" s="32"/>
      <c r="AG115" s="17" t="s">
        <v>554</v>
      </c>
      <c r="AH115" s="17"/>
      <c r="AI115" s="17"/>
      <c r="AJ115" s="17"/>
      <c r="AK115" s="17" t="s">
        <v>555</v>
      </c>
      <c r="AL115" s="17"/>
      <c r="AM115" s="17"/>
      <c r="AN115" s="17"/>
      <c r="AO115" s="17"/>
      <c r="AP115" s="17"/>
      <c r="AQ115" s="17" t="s">
        <v>525</v>
      </c>
      <c r="AR115" s="17"/>
      <c r="AS115" s="20" t="s">
        <v>188</v>
      </c>
      <c r="AT115" s="20" t="s">
        <v>178</v>
      </c>
      <c r="AU115" s="20" t="s">
        <v>67</v>
      </c>
      <c r="AV115" s="24">
        <v>19.48</v>
      </c>
      <c r="AW115" s="25">
        <v>40</v>
      </c>
      <c r="AX115" s="24">
        <v>2.84</v>
      </c>
      <c r="AY115" s="28">
        <v>18.5</v>
      </c>
      <c r="AZ115" s="29">
        <v>40</v>
      </c>
      <c r="BA115" s="28">
        <v>3.1</v>
      </c>
      <c r="BB115" s="24"/>
      <c r="BC115" s="24"/>
      <c r="BD115" s="22" t="s">
        <v>189</v>
      </c>
      <c r="BE115" s="22">
        <v>365</v>
      </c>
      <c r="BF115" s="22">
        <v>365</v>
      </c>
    </row>
    <row r="116" spans="1:58" x14ac:dyDescent="0.2">
      <c r="A116" t="s">
        <v>787</v>
      </c>
      <c r="B116" s="17" t="s">
        <v>547</v>
      </c>
      <c r="C116" s="17">
        <v>2010</v>
      </c>
      <c r="D116" s="17" t="s">
        <v>118</v>
      </c>
      <c r="E116" s="17" t="s">
        <v>792</v>
      </c>
      <c r="F116" s="17" t="s">
        <v>795</v>
      </c>
      <c r="G116" s="32" t="s">
        <v>191</v>
      </c>
      <c r="H116" s="17" t="s">
        <v>192</v>
      </c>
      <c r="I116" s="17" t="s">
        <v>175</v>
      </c>
      <c r="J116" s="17" t="s">
        <v>549</v>
      </c>
      <c r="K116" s="17" t="s">
        <v>53</v>
      </c>
      <c r="L116" s="17" t="s">
        <v>54</v>
      </c>
      <c r="M116" s="17" t="s">
        <v>92</v>
      </c>
      <c r="N116" s="17" t="s">
        <v>177</v>
      </c>
      <c r="O116" s="34" t="s">
        <v>58</v>
      </c>
      <c r="P116" s="34" t="s">
        <v>57</v>
      </c>
      <c r="Q116" s="34" t="s">
        <v>93</v>
      </c>
      <c r="R116" s="34" t="s">
        <v>57</v>
      </c>
      <c r="S116" s="34" t="s">
        <v>58</v>
      </c>
      <c r="T116" s="34" t="s">
        <v>57</v>
      </c>
      <c r="U116" s="51" t="s">
        <v>58</v>
      </c>
      <c r="V116" s="51" t="s">
        <v>57</v>
      </c>
      <c r="W116" s="51" t="s">
        <v>93</v>
      </c>
      <c r="X116" s="51" t="s">
        <v>57</v>
      </c>
      <c r="Y116" s="51" t="s">
        <v>58</v>
      </c>
      <c r="Z116" s="51" t="s">
        <v>57</v>
      </c>
      <c r="AA116" s="32"/>
      <c r="AB116" s="32"/>
      <c r="AC116" s="32"/>
      <c r="AD116" s="32"/>
      <c r="AE116" s="32"/>
      <c r="AF116" s="32"/>
      <c r="AG116" s="17" t="s">
        <v>560</v>
      </c>
      <c r="AH116" s="17"/>
      <c r="AI116" s="17"/>
      <c r="AJ116" s="17"/>
      <c r="AK116" s="17" t="s">
        <v>561</v>
      </c>
      <c r="AL116" s="17"/>
      <c r="AM116" s="17"/>
      <c r="AN116" s="17"/>
      <c r="AO116" s="17"/>
      <c r="AP116" s="17"/>
      <c r="AQ116" s="17" t="s">
        <v>562</v>
      </c>
      <c r="AR116" s="17"/>
      <c r="AS116" s="20" t="s">
        <v>188</v>
      </c>
      <c r="AT116" s="20" t="s">
        <v>178</v>
      </c>
      <c r="AU116" s="20" t="s">
        <v>67</v>
      </c>
      <c r="AV116" s="24">
        <v>19.21</v>
      </c>
      <c r="AW116" s="25">
        <v>40</v>
      </c>
      <c r="AX116" s="24">
        <v>3.93</v>
      </c>
      <c r="AY116" s="28">
        <v>21.02</v>
      </c>
      <c r="AZ116" s="29">
        <v>40</v>
      </c>
      <c r="BA116" s="28">
        <v>3.88</v>
      </c>
      <c r="BB116" s="24"/>
      <c r="BC116" s="24"/>
      <c r="BD116" s="22" t="s">
        <v>189</v>
      </c>
      <c r="BE116" s="22">
        <v>365</v>
      </c>
      <c r="BF116" s="22">
        <v>365</v>
      </c>
    </row>
    <row r="117" spans="1:58" x14ac:dyDescent="0.2">
      <c r="A117" t="s">
        <v>787</v>
      </c>
      <c r="B117" s="17" t="s">
        <v>563</v>
      </c>
      <c r="C117" s="17">
        <v>2012</v>
      </c>
      <c r="D117" s="17" t="s">
        <v>564</v>
      </c>
      <c r="E117" s="17" t="s">
        <v>792</v>
      </c>
      <c r="F117" s="17" t="s">
        <v>795</v>
      </c>
      <c r="G117" s="32" t="s">
        <v>49</v>
      </c>
      <c r="H117" s="17" t="s">
        <v>50</v>
      </c>
      <c r="I117" s="17" t="s">
        <v>175</v>
      </c>
      <c r="J117" s="17" t="s">
        <v>565</v>
      </c>
      <c r="K117" s="17" t="s">
        <v>91</v>
      </c>
      <c r="L117" s="17" t="s">
        <v>54</v>
      </c>
      <c r="M117" s="17" t="s">
        <v>121</v>
      </c>
      <c r="N117" s="17" t="s">
        <v>56</v>
      </c>
      <c r="O117" s="34" t="s">
        <v>58</v>
      </c>
      <c r="P117" s="34" t="s">
        <v>57</v>
      </c>
      <c r="Q117" s="34" t="s">
        <v>57</v>
      </c>
      <c r="R117" s="34" t="s">
        <v>57</v>
      </c>
      <c r="S117" s="34" t="s">
        <v>58</v>
      </c>
      <c r="T117" s="34" t="s">
        <v>57</v>
      </c>
      <c r="U117" s="51" t="s">
        <v>58</v>
      </c>
      <c r="V117" s="51" t="s">
        <v>57</v>
      </c>
      <c r="W117" s="51" t="s">
        <v>57</v>
      </c>
      <c r="X117" s="51" t="s">
        <v>57</v>
      </c>
      <c r="Y117" s="51" t="s">
        <v>58</v>
      </c>
      <c r="Z117" s="51" t="s">
        <v>57</v>
      </c>
      <c r="AA117" s="32"/>
      <c r="AB117" s="32" t="s">
        <v>566</v>
      </c>
      <c r="AC117" s="32" t="s">
        <v>567</v>
      </c>
      <c r="AD117" s="32" t="s">
        <v>568</v>
      </c>
      <c r="AE117" s="32" t="s">
        <v>569</v>
      </c>
      <c r="AF117" s="32" t="s">
        <v>570</v>
      </c>
      <c r="AG117" s="17" t="s">
        <v>571</v>
      </c>
      <c r="AH117" s="17"/>
      <c r="AI117" s="17"/>
      <c r="AJ117" s="17"/>
      <c r="AK117" s="17" t="s">
        <v>572</v>
      </c>
      <c r="AL117" s="17"/>
      <c r="AM117" s="17"/>
      <c r="AN117" s="17"/>
      <c r="AO117" s="17"/>
      <c r="AP117" s="17"/>
      <c r="AQ117" s="17" t="s">
        <v>64</v>
      </c>
      <c r="AR117" s="17"/>
      <c r="AS117" s="20" t="s">
        <v>477</v>
      </c>
      <c r="AT117" s="20" t="s">
        <v>143</v>
      </c>
      <c r="AU117" s="20" t="s">
        <v>67</v>
      </c>
      <c r="AV117" s="24">
        <v>97.89</v>
      </c>
      <c r="AW117" s="25">
        <v>39</v>
      </c>
      <c r="AX117" s="24">
        <v>14.11</v>
      </c>
      <c r="AY117" s="28">
        <v>114.02</v>
      </c>
      <c r="AZ117" s="29">
        <v>39</v>
      </c>
      <c r="BA117" s="28">
        <v>13.98</v>
      </c>
      <c r="BB117" s="24"/>
      <c r="BC117" s="24"/>
      <c r="BD117" s="22" t="s">
        <v>578</v>
      </c>
      <c r="BE117" s="22">
        <v>198</v>
      </c>
      <c r="BF117" s="22">
        <v>168</v>
      </c>
    </row>
    <row r="118" spans="1:58" x14ac:dyDescent="0.2">
      <c r="A118" t="s">
        <v>787</v>
      </c>
      <c r="B118" s="17" t="s">
        <v>563</v>
      </c>
      <c r="C118" s="17">
        <v>2012</v>
      </c>
      <c r="D118" s="17" t="s">
        <v>579</v>
      </c>
      <c r="E118" s="17" t="s">
        <v>88</v>
      </c>
      <c r="F118" s="8" t="s">
        <v>807</v>
      </c>
      <c r="G118" s="17" t="s">
        <v>88</v>
      </c>
      <c r="H118" s="17" t="s">
        <v>88</v>
      </c>
      <c r="I118" s="17" t="s">
        <v>175</v>
      </c>
      <c r="J118" s="17" t="s">
        <v>565</v>
      </c>
      <c r="K118" s="17" t="s">
        <v>91</v>
      </c>
      <c r="L118" s="17" t="s">
        <v>54</v>
      </c>
      <c r="M118" s="17" t="s">
        <v>121</v>
      </c>
      <c r="N118" s="17" t="s">
        <v>56</v>
      </c>
      <c r="O118" s="34" t="s">
        <v>58</v>
      </c>
      <c r="P118" s="34" t="s">
        <v>57</v>
      </c>
      <c r="Q118" s="34" t="s">
        <v>57</v>
      </c>
      <c r="R118" s="34" t="s">
        <v>57</v>
      </c>
      <c r="S118" s="34" t="s">
        <v>58</v>
      </c>
      <c r="T118" s="34" t="s">
        <v>57</v>
      </c>
      <c r="U118" s="51" t="s">
        <v>58</v>
      </c>
      <c r="V118" s="51" t="s">
        <v>57</v>
      </c>
      <c r="W118" s="51" t="s">
        <v>57</v>
      </c>
      <c r="X118" s="51" t="s">
        <v>57</v>
      </c>
      <c r="Y118" s="51" t="s">
        <v>58</v>
      </c>
      <c r="Z118" s="51" t="s">
        <v>57</v>
      </c>
      <c r="AA118" s="32"/>
      <c r="AB118" s="32" t="s">
        <v>96</v>
      </c>
      <c r="AC118" s="32" t="s">
        <v>580</v>
      </c>
      <c r="AD118" s="32" t="s">
        <v>581</v>
      </c>
      <c r="AE118" s="32" t="s">
        <v>582</v>
      </c>
      <c r="AF118" s="32" t="s">
        <v>570</v>
      </c>
      <c r="AG118" s="17" t="s">
        <v>583</v>
      </c>
      <c r="AH118" s="17"/>
      <c r="AI118" s="17"/>
      <c r="AJ118" s="17"/>
      <c r="AK118" s="17" t="s">
        <v>584</v>
      </c>
      <c r="AL118" s="17"/>
      <c r="AM118" s="17"/>
      <c r="AN118" s="17"/>
      <c r="AO118" s="17"/>
      <c r="AP118" s="17"/>
      <c r="AQ118" s="17" t="s">
        <v>100</v>
      </c>
      <c r="AR118" s="17"/>
      <c r="AS118" s="20" t="s">
        <v>477</v>
      </c>
      <c r="AT118" s="20" t="s">
        <v>143</v>
      </c>
      <c r="AU118" s="20" t="s">
        <v>67</v>
      </c>
      <c r="AV118" s="24">
        <v>103.71</v>
      </c>
      <c r="AW118" s="25">
        <v>39</v>
      </c>
      <c r="AX118" s="24">
        <v>9.2799999999999905</v>
      </c>
      <c r="AY118" s="28">
        <v>88.19</v>
      </c>
      <c r="AZ118" s="29">
        <v>39</v>
      </c>
      <c r="BA118" s="28">
        <v>7.56</v>
      </c>
      <c r="BB118" s="24"/>
      <c r="BC118" s="24"/>
      <c r="BD118" s="22" t="s">
        <v>578</v>
      </c>
      <c r="BE118" s="22">
        <v>198</v>
      </c>
      <c r="BF118" s="22">
        <v>168</v>
      </c>
    </row>
    <row r="119" spans="1:58" x14ac:dyDescent="0.2">
      <c r="A119" t="s">
        <v>787</v>
      </c>
      <c r="B119" s="17" t="s">
        <v>589</v>
      </c>
      <c r="C119" s="17">
        <v>2014</v>
      </c>
      <c r="D119" s="17" t="s">
        <v>506</v>
      </c>
      <c r="E119" s="17" t="s">
        <v>88</v>
      </c>
      <c r="F119" s="8" t="s">
        <v>807</v>
      </c>
      <c r="G119" s="17" t="s">
        <v>88</v>
      </c>
      <c r="H119" s="17" t="s">
        <v>88</v>
      </c>
      <c r="I119" s="17" t="s">
        <v>175</v>
      </c>
      <c r="J119" s="17" t="s">
        <v>590</v>
      </c>
      <c r="K119" s="17" t="s">
        <v>53</v>
      </c>
      <c r="L119" s="17" t="s">
        <v>54</v>
      </c>
      <c r="M119" s="17" t="s">
        <v>260</v>
      </c>
      <c r="N119" s="17" t="s">
        <v>56</v>
      </c>
      <c r="O119" s="34" t="s">
        <v>58</v>
      </c>
      <c r="P119" s="34" t="s">
        <v>57</v>
      </c>
      <c r="Q119" s="34" t="s">
        <v>93</v>
      </c>
      <c r="R119" s="34" t="s">
        <v>57</v>
      </c>
      <c r="S119" s="34" t="s">
        <v>58</v>
      </c>
      <c r="T119" s="34" t="s">
        <v>57</v>
      </c>
      <c r="U119" s="51" t="s">
        <v>58</v>
      </c>
      <c r="V119" s="51" t="s">
        <v>57</v>
      </c>
      <c r="W119" s="51" t="s">
        <v>93</v>
      </c>
      <c r="X119" s="51" t="s">
        <v>57</v>
      </c>
      <c r="Y119" s="51" t="s">
        <v>58</v>
      </c>
      <c r="Z119" s="51" t="s">
        <v>57</v>
      </c>
      <c r="AA119" s="32"/>
      <c r="AB119" s="32"/>
      <c r="AC119" s="32"/>
      <c r="AD119" s="32"/>
      <c r="AE119" s="32"/>
      <c r="AF119" s="32"/>
      <c r="AG119" s="17" t="s">
        <v>596</v>
      </c>
      <c r="AH119" s="17"/>
      <c r="AI119" s="17"/>
      <c r="AJ119" s="17"/>
      <c r="AK119" s="17" t="s">
        <v>597</v>
      </c>
      <c r="AL119" s="17"/>
      <c r="AM119" s="17"/>
      <c r="AN119" s="17"/>
      <c r="AO119" s="17"/>
      <c r="AP119" s="17"/>
      <c r="AQ119" s="17" t="s">
        <v>598</v>
      </c>
      <c r="AR119" s="17"/>
      <c r="AS119" s="20" t="s">
        <v>658</v>
      </c>
      <c r="AT119" s="20" t="s">
        <v>657</v>
      </c>
      <c r="AU119" s="20" t="s">
        <v>67</v>
      </c>
      <c r="AV119" s="24">
        <v>34.21</v>
      </c>
      <c r="AW119" s="25">
        <v>61</v>
      </c>
      <c r="AX119" s="24">
        <v>5.74</v>
      </c>
      <c r="AY119" s="28">
        <v>38.950000000000003</v>
      </c>
      <c r="AZ119" s="29">
        <v>61</v>
      </c>
      <c r="BA119" s="28">
        <v>6.57</v>
      </c>
      <c r="BB119" s="24"/>
      <c r="BC119" s="24"/>
      <c r="BD119" s="22" t="s">
        <v>103</v>
      </c>
      <c r="BE119" s="22">
        <v>180</v>
      </c>
      <c r="BF119" s="22">
        <v>365</v>
      </c>
    </row>
    <row r="120" spans="1:58" x14ac:dyDescent="0.2">
      <c r="A120" t="s">
        <v>787</v>
      </c>
      <c r="B120" s="17" t="s">
        <v>589</v>
      </c>
      <c r="C120" s="17">
        <v>2014</v>
      </c>
      <c r="D120" s="17" t="s">
        <v>520</v>
      </c>
      <c r="E120" s="17" t="s">
        <v>792</v>
      </c>
      <c r="F120" s="17" t="s">
        <v>795</v>
      </c>
      <c r="G120" s="32" t="s">
        <v>191</v>
      </c>
      <c r="H120" s="17" t="s">
        <v>192</v>
      </c>
      <c r="I120" s="17" t="s">
        <v>175</v>
      </c>
      <c r="J120" s="17" t="s">
        <v>590</v>
      </c>
      <c r="K120" s="17" t="s">
        <v>53</v>
      </c>
      <c r="L120" s="17" t="s">
        <v>54</v>
      </c>
      <c r="M120" s="17" t="s">
        <v>260</v>
      </c>
      <c r="N120" s="17" t="s">
        <v>56</v>
      </c>
      <c r="O120" s="34" t="s">
        <v>58</v>
      </c>
      <c r="P120" s="34" t="s">
        <v>57</v>
      </c>
      <c r="Q120" s="34" t="s">
        <v>93</v>
      </c>
      <c r="R120" s="34" t="s">
        <v>57</v>
      </c>
      <c r="S120" s="34" t="s">
        <v>58</v>
      </c>
      <c r="T120" s="34" t="s">
        <v>57</v>
      </c>
      <c r="U120" s="51" t="s">
        <v>58</v>
      </c>
      <c r="V120" s="51" t="s">
        <v>57</v>
      </c>
      <c r="W120" s="51" t="s">
        <v>93</v>
      </c>
      <c r="X120" s="51" t="s">
        <v>57</v>
      </c>
      <c r="Y120" s="51" t="s">
        <v>58</v>
      </c>
      <c r="Z120" s="51" t="s">
        <v>57</v>
      </c>
      <c r="AA120" s="32"/>
      <c r="AB120" s="32"/>
      <c r="AC120" s="32"/>
      <c r="AD120" s="32"/>
      <c r="AE120" s="32"/>
      <c r="AF120" s="32"/>
      <c r="AG120" s="17" t="s">
        <v>603</v>
      </c>
      <c r="AH120" s="17"/>
      <c r="AI120" s="17"/>
      <c r="AJ120" s="17"/>
      <c r="AK120" s="17" t="s">
        <v>604</v>
      </c>
      <c r="AL120" s="17"/>
      <c r="AM120" s="17"/>
      <c r="AN120" s="17"/>
      <c r="AO120" s="17"/>
      <c r="AP120" s="17"/>
      <c r="AQ120" s="17" t="s">
        <v>605</v>
      </c>
      <c r="AR120" s="17"/>
      <c r="AS120" s="20" t="s">
        <v>658</v>
      </c>
      <c r="AT120" s="20" t="s">
        <v>657</v>
      </c>
      <c r="AU120" s="20" t="s">
        <v>67</v>
      </c>
      <c r="AV120" s="24">
        <v>34.14</v>
      </c>
      <c r="AW120" s="25">
        <v>62</v>
      </c>
      <c r="AX120" s="24">
        <v>5.35</v>
      </c>
      <c r="AY120" s="28">
        <v>33.159999999999897</v>
      </c>
      <c r="AZ120" s="29">
        <v>62</v>
      </c>
      <c r="BA120" s="28">
        <v>5.29</v>
      </c>
      <c r="BB120" s="24"/>
      <c r="BC120" s="24"/>
      <c r="BD120" s="22" t="s">
        <v>103</v>
      </c>
      <c r="BE120" s="22">
        <v>180</v>
      </c>
      <c r="BF120" s="22">
        <v>365</v>
      </c>
    </row>
    <row r="121" spans="1:58" x14ac:dyDescent="0.2">
      <c r="A121" t="s">
        <v>787</v>
      </c>
      <c r="B121" s="17" t="s">
        <v>589</v>
      </c>
      <c r="C121" s="17">
        <v>2014</v>
      </c>
      <c r="D121" s="17" t="s">
        <v>506</v>
      </c>
      <c r="E121" s="17" t="s">
        <v>88</v>
      </c>
      <c r="F121" s="8" t="s">
        <v>807</v>
      </c>
      <c r="G121" s="17" t="s">
        <v>88</v>
      </c>
      <c r="H121" s="17" t="s">
        <v>88</v>
      </c>
      <c r="I121" s="17" t="s">
        <v>175</v>
      </c>
      <c r="J121" s="17" t="s">
        <v>590</v>
      </c>
      <c r="K121" s="17" t="s">
        <v>53</v>
      </c>
      <c r="L121" s="17" t="s">
        <v>54</v>
      </c>
      <c r="M121" s="17" t="s">
        <v>260</v>
      </c>
      <c r="N121" s="17" t="s">
        <v>56</v>
      </c>
      <c r="O121" s="34" t="s">
        <v>58</v>
      </c>
      <c r="P121" s="34" t="s">
        <v>57</v>
      </c>
      <c r="Q121" s="34" t="s">
        <v>93</v>
      </c>
      <c r="R121" s="34" t="s">
        <v>57</v>
      </c>
      <c r="S121" s="34" t="s">
        <v>58</v>
      </c>
      <c r="T121" s="34" t="s">
        <v>57</v>
      </c>
      <c r="U121" s="51" t="s">
        <v>58</v>
      </c>
      <c r="V121" s="51" t="s">
        <v>57</v>
      </c>
      <c r="W121" s="51" t="s">
        <v>93</v>
      </c>
      <c r="X121" s="51" t="s">
        <v>57</v>
      </c>
      <c r="Y121" s="51" t="s">
        <v>58</v>
      </c>
      <c r="Z121" s="51" t="s">
        <v>57</v>
      </c>
      <c r="AA121" s="32"/>
      <c r="AB121" s="32"/>
      <c r="AC121" s="32"/>
      <c r="AD121" s="32"/>
      <c r="AE121" s="32"/>
      <c r="AF121" s="32"/>
      <c r="AG121" s="17" t="s">
        <v>596</v>
      </c>
      <c r="AH121" s="17"/>
      <c r="AI121" s="17"/>
      <c r="AJ121" s="17"/>
      <c r="AK121" s="17" t="s">
        <v>597</v>
      </c>
      <c r="AL121" s="17"/>
      <c r="AM121" s="17"/>
      <c r="AN121" s="17"/>
      <c r="AO121" s="17"/>
      <c r="AP121" s="17"/>
      <c r="AQ121" s="17" t="s">
        <v>598</v>
      </c>
      <c r="AR121" s="17"/>
      <c r="AS121" s="20" t="s">
        <v>658</v>
      </c>
      <c r="AT121" s="20" t="s">
        <v>657</v>
      </c>
      <c r="AU121" s="20" t="s">
        <v>67</v>
      </c>
      <c r="AV121" s="24">
        <v>34.21</v>
      </c>
      <c r="AW121" s="25">
        <v>61</v>
      </c>
      <c r="AX121" s="24">
        <v>5.74</v>
      </c>
      <c r="AY121" s="28">
        <v>44.53</v>
      </c>
      <c r="AZ121" s="29">
        <v>61</v>
      </c>
      <c r="BA121" s="28">
        <v>7.56</v>
      </c>
      <c r="BB121" s="24"/>
      <c r="BC121" s="24"/>
      <c r="BD121" s="22" t="s">
        <v>189</v>
      </c>
      <c r="BE121" s="22">
        <v>365</v>
      </c>
      <c r="BF121" s="22">
        <v>365</v>
      </c>
    </row>
    <row r="122" spans="1:58" x14ac:dyDescent="0.2">
      <c r="A122" t="s">
        <v>787</v>
      </c>
      <c r="B122" s="17" t="s">
        <v>589</v>
      </c>
      <c r="C122" s="17">
        <v>2014</v>
      </c>
      <c r="D122" s="17" t="s">
        <v>520</v>
      </c>
      <c r="E122" s="17" t="s">
        <v>792</v>
      </c>
      <c r="F122" s="17" t="s">
        <v>795</v>
      </c>
      <c r="G122" s="32" t="s">
        <v>191</v>
      </c>
      <c r="H122" s="17" t="s">
        <v>192</v>
      </c>
      <c r="I122" s="17" t="s">
        <v>175</v>
      </c>
      <c r="J122" s="17" t="s">
        <v>590</v>
      </c>
      <c r="K122" s="17" t="s">
        <v>53</v>
      </c>
      <c r="L122" s="17" t="s">
        <v>54</v>
      </c>
      <c r="M122" s="17" t="s">
        <v>260</v>
      </c>
      <c r="N122" s="17" t="s">
        <v>56</v>
      </c>
      <c r="O122" s="34" t="s">
        <v>58</v>
      </c>
      <c r="P122" s="34" t="s">
        <v>57</v>
      </c>
      <c r="Q122" s="34" t="s">
        <v>93</v>
      </c>
      <c r="R122" s="34" t="s">
        <v>57</v>
      </c>
      <c r="S122" s="34" t="s">
        <v>58</v>
      </c>
      <c r="T122" s="34" t="s">
        <v>57</v>
      </c>
      <c r="U122" s="51" t="s">
        <v>58</v>
      </c>
      <c r="V122" s="51" t="s">
        <v>57</v>
      </c>
      <c r="W122" s="51" t="s">
        <v>93</v>
      </c>
      <c r="X122" s="51" t="s">
        <v>57</v>
      </c>
      <c r="Y122" s="51" t="s">
        <v>58</v>
      </c>
      <c r="Z122" s="51" t="s">
        <v>57</v>
      </c>
      <c r="AA122" s="32"/>
      <c r="AB122" s="32"/>
      <c r="AC122" s="32"/>
      <c r="AD122" s="32"/>
      <c r="AE122" s="32"/>
      <c r="AF122" s="32"/>
      <c r="AG122" s="17" t="s">
        <v>603</v>
      </c>
      <c r="AH122" s="17"/>
      <c r="AI122" s="17"/>
      <c r="AJ122" s="17"/>
      <c r="AK122" s="17" t="s">
        <v>604</v>
      </c>
      <c r="AL122" s="17"/>
      <c r="AM122" s="17"/>
      <c r="AN122" s="17"/>
      <c r="AO122" s="17"/>
      <c r="AP122" s="17"/>
      <c r="AQ122" s="17" t="s">
        <v>605</v>
      </c>
      <c r="AR122" s="17"/>
      <c r="AS122" s="20" t="s">
        <v>658</v>
      </c>
      <c r="AT122" s="20" t="s">
        <v>657</v>
      </c>
      <c r="AU122" s="20" t="s">
        <v>67</v>
      </c>
      <c r="AV122" s="24">
        <v>34.14</v>
      </c>
      <c r="AW122" s="25">
        <v>62</v>
      </c>
      <c r="AX122" s="24">
        <v>5.35</v>
      </c>
      <c r="AY122" s="28">
        <v>32.99</v>
      </c>
      <c r="AZ122" s="29">
        <v>62</v>
      </c>
      <c r="BA122" s="28">
        <v>6.35</v>
      </c>
      <c r="BB122" s="24"/>
      <c r="BC122" s="24"/>
      <c r="BD122" s="22" t="s">
        <v>189</v>
      </c>
      <c r="BE122" s="22">
        <v>365</v>
      </c>
      <c r="BF122" s="22">
        <v>365</v>
      </c>
    </row>
    <row r="123" spans="1:58" x14ac:dyDescent="0.2">
      <c r="A123" t="s">
        <v>787</v>
      </c>
      <c r="B123" s="17" t="s">
        <v>589</v>
      </c>
      <c r="C123" s="17">
        <v>2014</v>
      </c>
      <c r="D123" s="17" t="s">
        <v>506</v>
      </c>
      <c r="E123" s="17" t="s">
        <v>88</v>
      </c>
      <c r="F123" s="8" t="s">
        <v>807</v>
      </c>
      <c r="G123" s="17" t="s">
        <v>88</v>
      </c>
      <c r="H123" s="17" t="s">
        <v>88</v>
      </c>
      <c r="I123" s="17" t="s">
        <v>175</v>
      </c>
      <c r="J123" s="17" t="s">
        <v>590</v>
      </c>
      <c r="K123" s="17" t="s">
        <v>53</v>
      </c>
      <c r="L123" s="17" t="s">
        <v>54</v>
      </c>
      <c r="M123" s="17" t="s">
        <v>260</v>
      </c>
      <c r="N123" s="17" t="s">
        <v>56</v>
      </c>
      <c r="O123" s="34" t="s">
        <v>58</v>
      </c>
      <c r="P123" s="34" t="s">
        <v>57</v>
      </c>
      <c r="Q123" s="34" t="s">
        <v>93</v>
      </c>
      <c r="R123" s="34" t="s">
        <v>57</v>
      </c>
      <c r="S123" s="34" t="s">
        <v>58</v>
      </c>
      <c r="T123" s="34" t="s">
        <v>57</v>
      </c>
      <c r="U123" s="51" t="s">
        <v>58</v>
      </c>
      <c r="V123" s="51" t="s">
        <v>57</v>
      </c>
      <c r="W123" s="51" t="s">
        <v>93</v>
      </c>
      <c r="X123" s="51" t="s">
        <v>57</v>
      </c>
      <c r="Y123" s="51" t="s">
        <v>58</v>
      </c>
      <c r="Z123" s="51" t="s">
        <v>57</v>
      </c>
      <c r="AA123" s="32"/>
      <c r="AB123" s="32"/>
      <c r="AC123" s="32"/>
      <c r="AD123" s="32"/>
      <c r="AE123" s="32"/>
      <c r="AF123" s="32"/>
      <c r="AG123" s="17" t="s">
        <v>596</v>
      </c>
      <c r="AH123" s="17"/>
      <c r="AI123" s="17"/>
      <c r="AJ123" s="17"/>
      <c r="AK123" s="17" t="s">
        <v>597</v>
      </c>
      <c r="AL123" s="17"/>
      <c r="AM123" s="17"/>
      <c r="AN123" s="17"/>
      <c r="AO123" s="17"/>
      <c r="AP123" s="17"/>
      <c r="AQ123" s="17" t="s">
        <v>598</v>
      </c>
      <c r="AR123" s="17"/>
      <c r="AS123" s="20" t="s">
        <v>188</v>
      </c>
      <c r="AT123" s="20" t="s">
        <v>178</v>
      </c>
      <c r="AU123" s="20" t="s">
        <v>67</v>
      </c>
      <c r="AV123" s="24">
        <v>14.12</v>
      </c>
      <c r="AW123" s="25">
        <v>61</v>
      </c>
      <c r="AX123" s="24">
        <v>3.12</v>
      </c>
      <c r="AY123" s="28">
        <v>13.23</v>
      </c>
      <c r="AZ123" s="29">
        <v>61</v>
      </c>
      <c r="BA123" s="28">
        <v>4.49</v>
      </c>
      <c r="BB123" s="24"/>
      <c r="BC123" s="24"/>
      <c r="BD123" s="22" t="s">
        <v>103</v>
      </c>
      <c r="BE123" s="22">
        <v>180</v>
      </c>
      <c r="BF123" s="22">
        <v>365</v>
      </c>
    </row>
    <row r="124" spans="1:58" x14ac:dyDescent="0.2">
      <c r="A124" t="s">
        <v>787</v>
      </c>
      <c r="B124" s="17" t="s">
        <v>589</v>
      </c>
      <c r="C124" s="17">
        <v>2014</v>
      </c>
      <c r="D124" s="17" t="s">
        <v>520</v>
      </c>
      <c r="E124" s="17" t="s">
        <v>792</v>
      </c>
      <c r="F124" s="17" t="s">
        <v>795</v>
      </c>
      <c r="G124" s="32" t="s">
        <v>191</v>
      </c>
      <c r="H124" s="17" t="s">
        <v>192</v>
      </c>
      <c r="I124" s="17" t="s">
        <v>175</v>
      </c>
      <c r="J124" s="17" t="s">
        <v>590</v>
      </c>
      <c r="K124" s="17" t="s">
        <v>53</v>
      </c>
      <c r="L124" s="17" t="s">
        <v>54</v>
      </c>
      <c r="M124" s="17" t="s">
        <v>260</v>
      </c>
      <c r="N124" s="17" t="s">
        <v>56</v>
      </c>
      <c r="O124" s="34" t="s">
        <v>58</v>
      </c>
      <c r="P124" s="34" t="s">
        <v>57</v>
      </c>
      <c r="Q124" s="34" t="s">
        <v>93</v>
      </c>
      <c r="R124" s="34" t="s">
        <v>57</v>
      </c>
      <c r="S124" s="34" t="s">
        <v>58</v>
      </c>
      <c r="T124" s="34" t="s">
        <v>57</v>
      </c>
      <c r="U124" s="51" t="s">
        <v>58</v>
      </c>
      <c r="V124" s="51" t="s">
        <v>57</v>
      </c>
      <c r="W124" s="51" t="s">
        <v>93</v>
      </c>
      <c r="X124" s="51" t="s">
        <v>57</v>
      </c>
      <c r="Y124" s="51" t="s">
        <v>58</v>
      </c>
      <c r="Z124" s="51" t="s">
        <v>57</v>
      </c>
      <c r="AA124" s="32"/>
      <c r="AB124" s="32"/>
      <c r="AC124" s="32"/>
      <c r="AD124" s="32"/>
      <c r="AE124" s="32"/>
      <c r="AF124" s="32"/>
      <c r="AG124" s="17" t="s">
        <v>603</v>
      </c>
      <c r="AH124" s="17"/>
      <c r="AI124" s="17"/>
      <c r="AJ124" s="17"/>
      <c r="AK124" s="17" t="s">
        <v>604</v>
      </c>
      <c r="AL124" s="17"/>
      <c r="AM124" s="17"/>
      <c r="AN124" s="17"/>
      <c r="AO124" s="17"/>
      <c r="AP124" s="17"/>
      <c r="AQ124" s="17" t="s">
        <v>605</v>
      </c>
      <c r="AR124" s="17"/>
      <c r="AS124" s="20" t="s">
        <v>188</v>
      </c>
      <c r="AT124" s="20" t="s">
        <v>178</v>
      </c>
      <c r="AU124" s="20" t="s">
        <v>67</v>
      </c>
      <c r="AV124" s="24">
        <v>14.19</v>
      </c>
      <c r="AW124" s="25">
        <v>62</v>
      </c>
      <c r="AX124" s="24">
        <v>3.12</v>
      </c>
      <c r="AY124" s="28">
        <v>14.29</v>
      </c>
      <c r="AZ124" s="29">
        <v>62</v>
      </c>
      <c r="BA124" s="28">
        <v>4.41</v>
      </c>
      <c r="BB124" s="24"/>
      <c r="BC124" s="24"/>
      <c r="BD124" s="22" t="s">
        <v>103</v>
      </c>
      <c r="BE124" s="22">
        <v>180</v>
      </c>
      <c r="BF124" s="22">
        <v>365</v>
      </c>
    </row>
    <row r="125" spans="1:58" x14ac:dyDescent="0.2">
      <c r="A125" t="s">
        <v>787</v>
      </c>
      <c r="B125" s="17" t="s">
        <v>589</v>
      </c>
      <c r="C125" s="17">
        <v>2014</v>
      </c>
      <c r="D125" s="17" t="s">
        <v>506</v>
      </c>
      <c r="E125" s="17" t="s">
        <v>88</v>
      </c>
      <c r="F125" s="8" t="s">
        <v>807</v>
      </c>
      <c r="G125" s="17" t="s">
        <v>88</v>
      </c>
      <c r="H125" s="17" t="s">
        <v>88</v>
      </c>
      <c r="I125" s="17" t="s">
        <v>175</v>
      </c>
      <c r="J125" s="17" t="s">
        <v>590</v>
      </c>
      <c r="K125" s="17" t="s">
        <v>53</v>
      </c>
      <c r="L125" s="17" t="s">
        <v>54</v>
      </c>
      <c r="M125" s="17" t="s">
        <v>260</v>
      </c>
      <c r="N125" s="17" t="s">
        <v>56</v>
      </c>
      <c r="O125" s="34" t="s">
        <v>58</v>
      </c>
      <c r="P125" s="34" t="s">
        <v>57</v>
      </c>
      <c r="Q125" s="34" t="s">
        <v>93</v>
      </c>
      <c r="R125" s="34" t="s">
        <v>57</v>
      </c>
      <c r="S125" s="34" t="s">
        <v>58</v>
      </c>
      <c r="T125" s="34" t="s">
        <v>57</v>
      </c>
      <c r="U125" s="51" t="s">
        <v>58</v>
      </c>
      <c r="V125" s="51" t="s">
        <v>57</v>
      </c>
      <c r="W125" s="51" t="s">
        <v>93</v>
      </c>
      <c r="X125" s="51" t="s">
        <v>57</v>
      </c>
      <c r="Y125" s="51" t="s">
        <v>58</v>
      </c>
      <c r="Z125" s="51" t="s">
        <v>57</v>
      </c>
      <c r="AA125" s="32"/>
      <c r="AB125" s="32"/>
      <c r="AC125" s="32"/>
      <c r="AD125" s="32"/>
      <c r="AE125" s="32"/>
      <c r="AF125" s="32"/>
      <c r="AG125" s="17" t="s">
        <v>596</v>
      </c>
      <c r="AH125" s="17"/>
      <c r="AI125" s="17"/>
      <c r="AJ125" s="17"/>
      <c r="AK125" s="17" t="s">
        <v>597</v>
      </c>
      <c r="AL125" s="17"/>
      <c r="AM125" s="17"/>
      <c r="AN125" s="17"/>
      <c r="AO125" s="17"/>
      <c r="AP125" s="17"/>
      <c r="AQ125" s="17" t="s">
        <v>598</v>
      </c>
      <c r="AR125" s="17"/>
      <c r="AS125" s="20" t="s">
        <v>188</v>
      </c>
      <c r="AT125" s="20" t="s">
        <v>178</v>
      </c>
      <c r="AU125" s="20" t="s">
        <v>67</v>
      </c>
      <c r="AV125" s="24">
        <v>14.12</v>
      </c>
      <c r="AW125" s="25">
        <v>61</v>
      </c>
      <c r="AX125" s="24">
        <v>3.12</v>
      </c>
      <c r="AY125" s="28">
        <v>11.99</v>
      </c>
      <c r="AZ125" s="29">
        <v>61</v>
      </c>
      <c r="BA125" s="28">
        <v>6.39</v>
      </c>
      <c r="BB125" s="24"/>
      <c r="BC125" s="24"/>
      <c r="BD125" s="22" t="s">
        <v>189</v>
      </c>
      <c r="BE125" s="22">
        <v>365</v>
      </c>
      <c r="BF125" s="22">
        <v>365</v>
      </c>
    </row>
    <row r="126" spans="1:58" x14ac:dyDescent="0.2">
      <c r="A126" t="s">
        <v>787</v>
      </c>
      <c r="B126" s="17" t="s">
        <v>589</v>
      </c>
      <c r="C126" s="17">
        <v>2014</v>
      </c>
      <c r="D126" s="17" t="s">
        <v>520</v>
      </c>
      <c r="E126" s="17" t="s">
        <v>792</v>
      </c>
      <c r="F126" s="17" t="s">
        <v>795</v>
      </c>
      <c r="G126" s="32" t="s">
        <v>191</v>
      </c>
      <c r="H126" s="17" t="s">
        <v>192</v>
      </c>
      <c r="I126" s="17" t="s">
        <v>175</v>
      </c>
      <c r="J126" s="17" t="s">
        <v>590</v>
      </c>
      <c r="K126" s="17" t="s">
        <v>53</v>
      </c>
      <c r="L126" s="17" t="s">
        <v>54</v>
      </c>
      <c r="M126" s="17" t="s">
        <v>260</v>
      </c>
      <c r="N126" s="17" t="s">
        <v>56</v>
      </c>
      <c r="O126" s="34" t="s">
        <v>58</v>
      </c>
      <c r="P126" s="34" t="s">
        <v>57</v>
      </c>
      <c r="Q126" s="34" t="s">
        <v>93</v>
      </c>
      <c r="R126" s="34" t="s">
        <v>57</v>
      </c>
      <c r="S126" s="34" t="s">
        <v>58</v>
      </c>
      <c r="T126" s="34" t="s">
        <v>57</v>
      </c>
      <c r="U126" s="51" t="s">
        <v>58</v>
      </c>
      <c r="V126" s="51" t="s">
        <v>57</v>
      </c>
      <c r="W126" s="51" t="s">
        <v>93</v>
      </c>
      <c r="X126" s="51" t="s">
        <v>57</v>
      </c>
      <c r="Y126" s="51" t="s">
        <v>58</v>
      </c>
      <c r="Z126" s="51" t="s">
        <v>57</v>
      </c>
      <c r="AA126" s="32"/>
      <c r="AB126" s="32"/>
      <c r="AC126" s="32"/>
      <c r="AD126" s="32"/>
      <c r="AE126" s="32"/>
      <c r="AF126" s="32"/>
      <c r="AG126" s="17" t="s">
        <v>603</v>
      </c>
      <c r="AH126" s="17"/>
      <c r="AI126" s="17"/>
      <c r="AJ126" s="17"/>
      <c r="AK126" s="17" t="s">
        <v>604</v>
      </c>
      <c r="AL126" s="17"/>
      <c r="AM126" s="17"/>
      <c r="AN126" s="17"/>
      <c r="AO126" s="17"/>
      <c r="AP126" s="17"/>
      <c r="AQ126" s="17" t="s">
        <v>605</v>
      </c>
      <c r="AR126" s="17"/>
      <c r="AS126" s="20" t="s">
        <v>188</v>
      </c>
      <c r="AT126" s="20" t="s">
        <v>178</v>
      </c>
      <c r="AU126" s="20" t="s">
        <v>67</v>
      </c>
      <c r="AV126" s="24">
        <v>14.19</v>
      </c>
      <c r="AW126" s="25">
        <v>62</v>
      </c>
      <c r="AX126" s="24">
        <v>3.12</v>
      </c>
      <c r="AY126" s="28">
        <v>15.98</v>
      </c>
      <c r="AZ126" s="29">
        <v>62</v>
      </c>
      <c r="BA126" s="28">
        <v>5.49</v>
      </c>
      <c r="BB126" s="24"/>
      <c r="BC126" s="24"/>
      <c r="BD126" s="22" t="s">
        <v>189</v>
      </c>
      <c r="BE126" s="22">
        <v>365</v>
      </c>
      <c r="BF126" s="22">
        <v>365</v>
      </c>
    </row>
    <row r="127" spans="1:58" x14ac:dyDescent="0.2">
      <c r="A127" t="s">
        <v>787</v>
      </c>
      <c r="B127" s="17" t="s">
        <v>632</v>
      </c>
      <c r="C127" s="17">
        <v>2017</v>
      </c>
      <c r="D127" s="17" t="s">
        <v>174</v>
      </c>
      <c r="E127" s="17" t="s">
        <v>88</v>
      </c>
      <c r="F127" s="8" t="s">
        <v>807</v>
      </c>
      <c r="G127" s="17" t="s">
        <v>88</v>
      </c>
      <c r="H127" s="17" t="s">
        <v>88</v>
      </c>
      <c r="I127" s="17" t="s">
        <v>175</v>
      </c>
      <c r="J127" s="17" t="s">
        <v>633</v>
      </c>
      <c r="K127" s="17" t="s">
        <v>91</v>
      </c>
      <c r="L127" s="17" t="s">
        <v>54</v>
      </c>
      <c r="M127" s="17" t="s">
        <v>55</v>
      </c>
      <c r="N127" s="17" t="s">
        <v>634</v>
      </c>
      <c r="O127" s="34" t="s">
        <v>58</v>
      </c>
      <c r="P127" s="34" t="s">
        <v>57</v>
      </c>
      <c r="Q127" s="34" t="s">
        <v>57</v>
      </c>
      <c r="R127" s="34" t="s">
        <v>57</v>
      </c>
      <c r="S127" s="34" t="s">
        <v>58</v>
      </c>
      <c r="T127" s="34" t="s">
        <v>57</v>
      </c>
      <c r="U127" s="51" t="s">
        <v>58</v>
      </c>
      <c r="V127" s="51" t="s">
        <v>57</v>
      </c>
      <c r="W127" s="51" t="s">
        <v>57</v>
      </c>
      <c r="X127" s="51" t="s">
        <v>57</v>
      </c>
      <c r="Y127" s="51" t="s">
        <v>58</v>
      </c>
      <c r="Z127" s="51" t="s">
        <v>57</v>
      </c>
      <c r="AA127" s="32" t="s">
        <v>635</v>
      </c>
      <c r="AB127" s="32" t="s">
        <v>636</v>
      </c>
      <c r="AC127" s="32"/>
      <c r="AD127" s="32"/>
      <c r="AE127" s="32"/>
      <c r="AF127" s="32"/>
      <c r="AG127" s="17" t="s">
        <v>637</v>
      </c>
      <c r="AH127" s="17"/>
      <c r="AI127" s="17"/>
      <c r="AJ127" s="17"/>
      <c r="AK127" s="17" t="s">
        <v>638</v>
      </c>
      <c r="AL127" s="17"/>
      <c r="AM127" s="17"/>
      <c r="AN127" s="17"/>
      <c r="AO127" s="17"/>
      <c r="AP127" s="17"/>
      <c r="AQ127" s="17" t="s">
        <v>639</v>
      </c>
      <c r="AR127" s="17"/>
      <c r="AS127" s="20" t="s">
        <v>188</v>
      </c>
      <c r="AT127" s="20" t="s">
        <v>178</v>
      </c>
      <c r="AU127" s="20" t="s">
        <v>67</v>
      </c>
      <c r="AV127" s="24">
        <v>9.85</v>
      </c>
      <c r="AW127" s="25">
        <v>70</v>
      </c>
      <c r="AX127" s="24">
        <v>1.89</v>
      </c>
      <c r="AY127" s="28">
        <v>13.27</v>
      </c>
      <c r="AZ127" s="29">
        <v>70</v>
      </c>
      <c r="BA127" s="28">
        <v>3.02</v>
      </c>
      <c r="BB127" s="24"/>
      <c r="BC127" s="24"/>
      <c r="BD127" s="22" t="s">
        <v>189</v>
      </c>
      <c r="BE127" s="22">
        <v>365</v>
      </c>
      <c r="BF127" s="22">
        <v>365</v>
      </c>
    </row>
    <row r="128" spans="1:58" x14ac:dyDescent="0.2">
      <c r="A128" t="s">
        <v>787</v>
      </c>
      <c r="B128" s="17" t="s">
        <v>632</v>
      </c>
      <c r="C128" s="17">
        <v>2017</v>
      </c>
      <c r="D128" s="17" t="s">
        <v>640</v>
      </c>
      <c r="E128" s="17" t="s">
        <v>792</v>
      </c>
      <c r="F128" s="17" t="s">
        <v>795</v>
      </c>
      <c r="G128" s="32" t="s">
        <v>191</v>
      </c>
      <c r="H128" s="17" t="s">
        <v>641</v>
      </c>
      <c r="I128" s="17" t="s">
        <v>175</v>
      </c>
      <c r="J128" s="17" t="s">
        <v>633</v>
      </c>
      <c r="K128" s="17" t="s">
        <v>91</v>
      </c>
      <c r="L128" s="17" t="s">
        <v>54</v>
      </c>
      <c r="M128" s="17" t="s">
        <v>55</v>
      </c>
      <c r="N128" s="17" t="s">
        <v>634</v>
      </c>
      <c r="O128" s="34" t="s">
        <v>58</v>
      </c>
      <c r="P128" s="34" t="s">
        <v>57</v>
      </c>
      <c r="Q128" s="34" t="s">
        <v>57</v>
      </c>
      <c r="R128" s="34" t="s">
        <v>57</v>
      </c>
      <c r="S128" s="34" t="s">
        <v>58</v>
      </c>
      <c r="T128" s="34" t="s">
        <v>57</v>
      </c>
      <c r="U128" s="51" t="s">
        <v>58</v>
      </c>
      <c r="V128" s="51" t="s">
        <v>57</v>
      </c>
      <c r="W128" s="51" t="s">
        <v>57</v>
      </c>
      <c r="X128" s="51" t="s">
        <v>57</v>
      </c>
      <c r="Y128" s="51" t="s">
        <v>58</v>
      </c>
      <c r="Z128" s="51" t="s">
        <v>57</v>
      </c>
      <c r="AA128" s="32" t="s">
        <v>642</v>
      </c>
      <c r="AB128" s="32" t="s">
        <v>643</v>
      </c>
      <c r="AC128" s="32"/>
      <c r="AD128" s="32"/>
      <c r="AE128" s="32"/>
      <c r="AF128" s="32"/>
      <c r="AG128" s="17" t="s">
        <v>644</v>
      </c>
      <c r="AH128" s="17"/>
      <c r="AI128" s="17"/>
      <c r="AJ128" s="17"/>
      <c r="AK128" s="17" t="s">
        <v>645</v>
      </c>
      <c r="AL128" s="17"/>
      <c r="AM128" s="17"/>
      <c r="AN128" s="17"/>
      <c r="AO128" s="17"/>
      <c r="AP128" s="17"/>
      <c r="AQ128" s="17" t="s">
        <v>646</v>
      </c>
      <c r="AR128" s="17"/>
      <c r="AS128" s="20" t="s">
        <v>188</v>
      </c>
      <c r="AT128" s="20" t="s">
        <v>178</v>
      </c>
      <c r="AU128" s="20" t="s">
        <v>67</v>
      </c>
      <c r="AV128" s="24">
        <v>9.8800000000000008</v>
      </c>
      <c r="AW128" s="25">
        <v>71</v>
      </c>
      <c r="AX128" s="24">
        <v>2.33</v>
      </c>
      <c r="AY128" s="28">
        <v>14.97</v>
      </c>
      <c r="AZ128" s="29">
        <v>71</v>
      </c>
      <c r="BA128" s="28">
        <v>3.03</v>
      </c>
      <c r="BB128" s="24"/>
      <c r="BC128" s="24"/>
      <c r="BD128" s="22" t="s">
        <v>189</v>
      </c>
      <c r="BE128" s="22">
        <v>365</v>
      </c>
      <c r="BF128" s="22">
        <v>365</v>
      </c>
    </row>
    <row r="129" spans="1:58" x14ac:dyDescent="0.2">
      <c r="A129" t="s">
        <v>786</v>
      </c>
      <c r="B129" s="8" t="s">
        <v>720</v>
      </c>
      <c r="C129" s="8">
        <v>2020</v>
      </c>
      <c r="D129" s="8" t="s">
        <v>118</v>
      </c>
      <c r="E129" s="8" t="s">
        <v>801</v>
      </c>
      <c r="F129" s="8" t="s">
        <v>806</v>
      </c>
      <c r="G129" s="36" t="s">
        <v>49</v>
      </c>
      <c r="H129" s="8" t="s">
        <v>75</v>
      </c>
      <c r="I129" s="8" t="s">
        <v>279</v>
      </c>
      <c r="J129" s="8" t="s">
        <v>721</v>
      </c>
      <c r="K129" s="8"/>
      <c r="L129" s="8"/>
      <c r="M129" s="8"/>
      <c r="N129" s="8" t="s">
        <v>56</v>
      </c>
      <c r="O129" s="37" t="s">
        <v>93</v>
      </c>
      <c r="P129" s="37" t="s">
        <v>93</v>
      </c>
      <c r="Q129" s="37" t="s">
        <v>93</v>
      </c>
      <c r="R129" s="37" t="s">
        <v>57</v>
      </c>
      <c r="S129" s="37" t="s">
        <v>93</v>
      </c>
      <c r="T129" s="37" t="s">
        <v>57</v>
      </c>
      <c r="U129" s="53" t="s">
        <v>93</v>
      </c>
      <c r="V129" s="53" t="s">
        <v>712</v>
      </c>
      <c r="W129" s="53" t="s">
        <v>93</v>
      </c>
      <c r="X129" s="53" t="s">
        <v>93</v>
      </c>
      <c r="Y129" s="53" t="s">
        <v>93</v>
      </c>
      <c r="Z129" s="53" t="s">
        <v>93</v>
      </c>
      <c r="AA129" s="36"/>
      <c r="AB129" s="36"/>
      <c r="AC129" s="36"/>
      <c r="AD129" s="36"/>
      <c r="AE129" s="36"/>
      <c r="AF129" s="36"/>
      <c r="AG129" s="8" t="s">
        <v>745</v>
      </c>
      <c r="AH129" s="8"/>
      <c r="AI129" s="8"/>
      <c r="AJ129" s="8" t="s">
        <v>395</v>
      </c>
      <c r="AK129" s="8"/>
      <c r="AL129" s="8"/>
      <c r="AM129" s="8"/>
      <c r="AN129" s="8"/>
      <c r="AO129" s="8"/>
      <c r="AP129" s="8"/>
      <c r="AQ129" s="8"/>
      <c r="AR129" s="8"/>
      <c r="AS129" s="20" t="s">
        <v>765</v>
      </c>
      <c r="AT129" s="20" t="s">
        <v>769</v>
      </c>
      <c r="AU129" s="20" t="s">
        <v>67</v>
      </c>
      <c r="AV129" s="24">
        <v>74.11</v>
      </c>
      <c r="AW129" s="25">
        <v>35</v>
      </c>
      <c r="AX129" s="24">
        <v>4.7300000000000004</v>
      </c>
      <c r="AY129" s="28">
        <v>70.510000000000005</v>
      </c>
      <c r="AZ129" s="29">
        <v>35</v>
      </c>
      <c r="BA129" s="28">
        <v>3.78</v>
      </c>
      <c r="BB129" s="42"/>
      <c r="BC129" s="42"/>
      <c r="BD129" s="44" t="s">
        <v>770</v>
      </c>
      <c r="BE129" s="44">
        <v>58</v>
      </c>
      <c r="BF129" s="44">
        <v>28</v>
      </c>
    </row>
    <row r="130" spans="1:58" x14ac:dyDescent="0.2">
      <c r="A130" t="s">
        <v>786</v>
      </c>
      <c r="B130" s="8" t="s">
        <v>720</v>
      </c>
      <c r="C130" s="8">
        <v>2020</v>
      </c>
      <c r="D130" s="8" t="s">
        <v>548</v>
      </c>
      <c r="E130" s="8" t="s">
        <v>88</v>
      </c>
      <c r="F130" s="8" t="s">
        <v>807</v>
      </c>
      <c r="G130" s="8" t="s">
        <v>88</v>
      </c>
      <c r="H130" s="8" t="s">
        <v>88</v>
      </c>
      <c r="I130" s="8" t="s">
        <v>279</v>
      </c>
      <c r="J130" s="8" t="s">
        <v>721</v>
      </c>
      <c r="K130" s="8"/>
      <c r="L130" s="8"/>
      <c r="M130" s="8"/>
      <c r="N130" s="8" t="s">
        <v>56</v>
      </c>
      <c r="O130" s="37" t="s">
        <v>93</v>
      </c>
      <c r="P130" s="37" t="s">
        <v>93</v>
      </c>
      <c r="Q130" s="37" t="s">
        <v>93</v>
      </c>
      <c r="R130" s="37" t="s">
        <v>57</v>
      </c>
      <c r="S130" s="37" t="s">
        <v>93</v>
      </c>
      <c r="T130" s="37" t="s">
        <v>57</v>
      </c>
      <c r="U130" s="53" t="s">
        <v>93</v>
      </c>
      <c r="V130" s="53" t="s">
        <v>712</v>
      </c>
      <c r="W130" s="53" t="s">
        <v>93</v>
      </c>
      <c r="X130" s="53" t="s">
        <v>93</v>
      </c>
      <c r="Y130" s="53" t="s">
        <v>93</v>
      </c>
      <c r="Z130" s="53" t="s">
        <v>93</v>
      </c>
      <c r="AA130" s="36"/>
      <c r="AB130" s="36"/>
      <c r="AC130" s="36"/>
      <c r="AD130" s="36"/>
      <c r="AE130" s="36"/>
      <c r="AF130" s="36"/>
      <c r="AG130" s="8" t="s">
        <v>746</v>
      </c>
      <c r="AH130" s="8"/>
      <c r="AI130" s="8"/>
      <c r="AJ130" s="8" t="s">
        <v>395</v>
      </c>
      <c r="AK130" s="8"/>
      <c r="AL130" s="8"/>
      <c r="AM130" s="8"/>
      <c r="AN130" s="8"/>
      <c r="AO130" s="8"/>
      <c r="AP130" s="8"/>
      <c r="AQ130" s="8"/>
      <c r="AR130" s="8"/>
      <c r="AS130" s="20" t="s">
        <v>765</v>
      </c>
      <c r="AT130" s="20" t="s">
        <v>769</v>
      </c>
      <c r="AU130" s="20" t="s">
        <v>67</v>
      </c>
      <c r="AV130" s="24">
        <v>75.63</v>
      </c>
      <c r="AW130" s="25">
        <v>35</v>
      </c>
      <c r="AX130" s="24">
        <v>3.08</v>
      </c>
      <c r="AY130" s="28">
        <v>76.45</v>
      </c>
      <c r="AZ130" s="29">
        <v>35</v>
      </c>
      <c r="BA130" s="28">
        <v>3.45</v>
      </c>
      <c r="BB130" s="42"/>
      <c r="BC130" s="42"/>
      <c r="BD130" s="44" t="s">
        <v>770</v>
      </c>
      <c r="BE130" s="44">
        <v>58</v>
      </c>
      <c r="BF130" s="44">
        <v>28</v>
      </c>
    </row>
    <row r="131" spans="1:58" x14ac:dyDescent="0.2">
      <c r="A131" t="s">
        <v>786</v>
      </c>
      <c r="B131" s="8" t="s">
        <v>720</v>
      </c>
      <c r="C131" s="8">
        <v>2020</v>
      </c>
      <c r="D131" s="8" t="s">
        <v>118</v>
      </c>
      <c r="E131" s="48" t="s">
        <v>801</v>
      </c>
      <c r="F131" s="48" t="s">
        <v>806</v>
      </c>
      <c r="G131" s="36" t="s">
        <v>49</v>
      </c>
      <c r="H131" s="8" t="s">
        <v>75</v>
      </c>
      <c r="I131" s="8" t="s">
        <v>279</v>
      </c>
      <c r="J131" s="8" t="s">
        <v>721</v>
      </c>
      <c r="K131" s="8"/>
      <c r="L131" s="8"/>
      <c r="M131" s="8"/>
      <c r="N131" s="8" t="s">
        <v>56</v>
      </c>
      <c r="O131" s="37" t="s">
        <v>93</v>
      </c>
      <c r="P131" s="37" t="s">
        <v>93</v>
      </c>
      <c r="Q131" s="37" t="s">
        <v>93</v>
      </c>
      <c r="R131" s="37" t="s">
        <v>57</v>
      </c>
      <c r="S131" s="37" t="s">
        <v>93</v>
      </c>
      <c r="T131" s="37" t="s">
        <v>57</v>
      </c>
      <c r="U131" s="53" t="s">
        <v>93</v>
      </c>
      <c r="V131" s="53" t="s">
        <v>712</v>
      </c>
      <c r="W131" s="53" t="s">
        <v>93</v>
      </c>
      <c r="X131" s="53" t="s">
        <v>93</v>
      </c>
      <c r="Y131" s="53" t="s">
        <v>93</v>
      </c>
      <c r="Z131" s="53" t="s">
        <v>93</v>
      </c>
      <c r="AA131" s="36"/>
      <c r="AB131" s="36"/>
      <c r="AC131" s="36"/>
      <c r="AD131" s="36"/>
      <c r="AE131" s="36"/>
      <c r="AF131" s="36"/>
      <c r="AG131" s="8" t="s">
        <v>745</v>
      </c>
      <c r="AH131" s="8"/>
      <c r="AI131" s="8"/>
      <c r="AJ131" s="8" t="s">
        <v>395</v>
      </c>
      <c r="AK131" s="8"/>
      <c r="AL131" s="8"/>
      <c r="AM131" s="8"/>
      <c r="AN131" s="8"/>
      <c r="AO131" s="8"/>
      <c r="AP131" s="8"/>
      <c r="AQ131" s="8"/>
      <c r="AR131" s="8"/>
      <c r="AS131" s="20" t="s">
        <v>765</v>
      </c>
      <c r="AT131" s="20" t="s">
        <v>769</v>
      </c>
      <c r="AU131" s="20" t="s">
        <v>67</v>
      </c>
      <c r="AV131" s="24">
        <v>74.11</v>
      </c>
      <c r="AW131" s="25">
        <v>35</v>
      </c>
      <c r="AX131" s="24">
        <v>4.7300000000000004</v>
      </c>
      <c r="AY131" s="28">
        <v>70.31</v>
      </c>
      <c r="AZ131" s="29">
        <v>35</v>
      </c>
      <c r="BA131" s="28">
        <v>3.78</v>
      </c>
      <c r="BB131" s="42"/>
      <c r="BC131" s="42"/>
      <c r="BD131" s="44" t="s">
        <v>771</v>
      </c>
      <c r="BE131" s="44">
        <v>118</v>
      </c>
      <c r="BF131" s="44">
        <v>28</v>
      </c>
    </row>
    <row r="132" spans="1:58" x14ac:dyDescent="0.2">
      <c r="A132" t="s">
        <v>786</v>
      </c>
      <c r="B132" s="8" t="s">
        <v>720</v>
      </c>
      <c r="C132" s="8">
        <v>2020</v>
      </c>
      <c r="D132" s="8" t="s">
        <v>548</v>
      </c>
      <c r="E132" s="8" t="s">
        <v>88</v>
      </c>
      <c r="F132" s="8" t="s">
        <v>807</v>
      </c>
      <c r="G132" s="8" t="s">
        <v>88</v>
      </c>
      <c r="H132" s="8" t="s">
        <v>88</v>
      </c>
      <c r="I132" s="8" t="s">
        <v>279</v>
      </c>
      <c r="J132" s="8" t="s">
        <v>721</v>
      </c>
      <c r="K132" s="8"/>
      <c r="L132" s="8"/>
      <c r="M132" s="8"/>
      <c r="N132" s="8" t="s">
        <v>56</v>
      </c>
      <c r="O132" s="37" t="s">
        <v>93</v>
      </c>
      <c r="P132" s="37" t="s">
        <v>93</v>
      </c>
      <c r="Q132" s="37" t="s">
        <v>93</v>
      </c>
      <c r="R132" s="37" t="s">
        <v>57</v>
      </c>
      <c r="S132" s="37" t="s">
        <v>93</v>
      </c>
      <c r="T132" s="37" t="s">
        <v>57</v>
      </c>
      <c r="U132" s="53" t="s">
        <v>93</v>
      </c>
      <c r="V132" s="53" t="s">
        <v>712</v>
      </c>
      <c r="W132" s="53" t="s">
        <v>93</v>
      </c>
      <c r="X132" s="53" t="s">
        <v>93</v>
      </c>
      <c r="Y132" s="53" t="s">
        <v>93</v>
      </c>
      <c r="Z132" s="53" t="s">
        <v>93</v>
      </c>
      <c r="AA132" s="36"/>
      <c r="AB132" s="36"/>
      <c r="AC132" s="36"/>
      <c r="AD132" s="36"/>
      <c r="AE132" s="36"/>
      <c r="AF132" s="36"/>
      <c r="AG132" s="8" t="s">
        <v>746</v>
      </c>
      <c r="AH132" s="8"/>
      <c r="AI132" s="8"/>
      <c r="AJ132" s="8" t="s">
        <v>395</v>
      </c>
      <c r="AK132" s="8"/>
      <c r="AL132" s="8"/>
      <c r="AM132" s="8"/>
      <c r="AN132" s="8"/>
      <c r="AO132" s="8"/>
      <c r="AP132" s="8"/>
      <c r="AQ132" s="8"/>
      <c r="AR132" s="8"/>
      <c r="AS132" s="20" t="s">
        <v>765</v>
      </c>
      <c r="AT132" s="20" t="s">
        <v>769</v>
      </c>
      <c r="AU132" s="20" t="s">
        <v>67</v>
      </c>
      <c r="AV132" s="24">
        <v>75.63</v>
      </c>
      <c r="AW132" s="25">
        <v>35</v>
      </c>
      <c r="AX132" s="24">
        <v>3.08</v>
      </c>
      <c r="AY132" s="28">
        <v>76.22</v>
      </c>
      <c r="AZ132" s="29">
        <v>35</v>
      </c>
      <c r="BA132" s="28">
        <v>5.08</v>
      </c>
      <c r="BB132" s="42"/>
      <c r="BC132" s="42"/>
      <c r="BD132" s="44" t="s">
        <v>771</v>
      </c>
      <c r="BE132" s="44">
        <v>118</v>
      </c>
      <c r="BF132" s="44">
        <v>28</v>
      </c>
    </row>
    <row r="133" spans="1:58" x14ac:dyDescent="0.2">
      <c r="A133" t="s">
        <v>787</v>
      </c>
      <c r="B133" t="s">
        <v>647</v>
      </c>
      <c r="C133" s="17">
        <v>2010</v>
      </c>
      <c r="D133" s="17" t="s">
        <v>652</v>
      </c>
      <c r="E133" s="17" t="s">
        <v>88</v>
      </c>
      <c r="F133" s="8" t="s">
        <v>807</v>
      </c>
      <c r="G133" s="17" t="s">
        <v>88</v>
      </c>
      <c r="H133" s="17" t="s">
        <v>88</v>
      </c>
      <c r="I133" s="17" t="s">
        <v>175</v>
      </c>
      <c r="J133" s="17" t="s">
        <v>176</v>
      </c>
      <c r="K133" s="17" t="s">
        <v>53</v>
      </c>
      <c r="L133" s="17" t="s">
        <v>54</v>
      </c>
      <c r="M133" s="17" t="s">
        <v>260</v>
      </c>
      <c r="N133" s="17" t="s">
        <v>488</v>
      </c>
      <c r="O133" s="34" t="s">
        <v>58</v>
      </c>
      <c r="P133" s="34" t="s">
        <v>58</v>
      </c>
      <c r="Q133" s="34" t="s">
        <v>93</v>
      </c>
      <c r="R133" s="34" t="s">
        <v>58</v>
      </c>
      <c r="S133" s="34" t="s">
        <v>58</v>
      </c>
      <c r="T133" s="34" t="s">
        <v>58</v>
      </c>
      <c r="U133" s="51" t="s">
        <v>58</v>
      </c>
      <c r="V133" s="51" t="s">
        <v>58</v>
      </c>
      <c r="W133" s="51" t="s">
        <v>93</v>
      </c>
      <c r="X133" s="51" t="s">
        <v>58</v>
      </c>
      <c r="Y133" s="51" t="s">
        <v>58</v>
      </c>
      <c r="Z133" s="51" t="s">
        <v>58</v>
      </c>
      <c r="AA133" s="32"/>
      <c r="AB133" s="32"/>
      <c r="AC133" s="32"/>
      <c r="AD133" s="32"/>
      <c r="AE133" s="32"/>
      <c r="AF133" s="32"/>
      <c r="AG133" s="17" t="s">
        <v>653</v>
      </c>
      <c r="AH133" s="17"/>
      <c r="AI133" s="17"/>
      <c r="AJ133" s="17"/>
      <c r="AK133" s="17" t="s">
        <v>654</v>
      </c>
      <c r="AL133" s="17"/>
      <c r="AM133" s="17"/>
      <c r="AN133" s="17"/>
      <c r="AO133" s="17"/>
      <c r="AP133" s="17"/>
      <c r="AQ133" s="17" t="s">
        <v>655</v>
      </c>
      <c r="AR133" s="17"/>
      <c r="AS133" s="20" t="s">
        <v>168</v>
      </c>
      <c r="AT133" s="20" t="s">
        <v>513</v>
      </c>
      <c r="AU133" s="20" t="s">
        <v>67</v>
      </c>
      <c r="AV133" s="24">
        <v>415.3</v>
      </c>
      <c r="AW133" s="25">
        <v>25</v>
      </c>
      <c r="AX133" s="24">
        <v>140.80000000000001</v>
      </c>
      <c r="AY133" s="28">
        <v>370.8</v>
      </c>
      <c r="AZ133" s="29">
        <v>25</v>
      </c>
      <c r="BA133" s="28">
        <v>132.6</v>
      </c>
      <c r="BB133" s="24"/>
      <c r="BC133" s="24"/>
      <c r="BD133" s="22" t="s">
        <v>189</v>
      </c>
      <c r="BE133" s="22">
        <v>365</v>
      </c>
      <c r="BF133" s="22">
        <v>365</v>
      </c>
    </row>
    <row r="134" spans="1:58" x14ac:dyDescent="0.2">
      <c r="A134" t="s">
        <v>787</v>
      </c>
      <c r="B134" s="17" t="s">
        <v>647</v>
      </c>
      <c r="C134" s="17">
        <v>2010</v>
      </c>
      <c r="D134" s="17" t="s">
        <v>648</v>
      </c>
      <c r="E134" s="17" t="s">
        <v>792</v>
      </c>
      <c r="F134" s="17" t="s">
        <v>795</v>
      </c>
      <c r="G134" s="32" t="s">
        <v>191</v>
      </c>
      <c r="H134" s="17" t="s">
        <v>192</v>
      </c>
      <c r="I134" s="17" t="s">
        <v>175</v>
      </c>
      <c r="J134" s="17" t="s">
        <v>176</v>
      </c>
      <c r="K134" s="17" t="s">
        <v>53</v>
      </c>
      <c r="L134" s="17" t="s">
        <v>54</v>
      </c>
      <c r="M134" s="17" t="s">
        <v>260</v>
      </c>
      <c r="N134" s="17" t="s">
        <v>488</v>
      </c>
      <c r="O134" s="34" t="s">
        <v>58</v>
      </c>
      <c r="P134" s="34" t="s">
        <v>58</v>
      </c>
      <c r="Q134" s="34" t="s">
        <v>93</v>
      </c>
      <c r="R134" s="34" t="s">
        <v>58</v>
      </c>
      <c r="S134" s="34" t="s">
        <v>58</v>
      </c>
      <c r="T134" s="34" t="s">
        <v>58</v>
      </c>
      <c r="U134" s="51" t="s">
        <v>58</v>
      </c>
      <c r="V134" s="51" t="s">
        <v>58</v>
      </c>
      <c r="W134" s="51" t="s">
        <v>93</v>
      </c>
      <c r="X134" s="51" t="s">
        <v>58</v>
      </c>
      <c r="Y134" s="51" t="s">
        <v>58</v>
      </c>
      <c r="Z134" s="51" t="s">
        <v>58</v>
      </c>
      <c r="AA134" s="32"/>
      <c r="AB134" s="32"/>
      <c r="AC134" s="32"/>
      <c r="AD134" s="32"/>
      <c r="AE134" s="32"/>
      <c r="AF134" s="32"/>
      <c r="AG134" s="17" t="s">
        <v>649</v>
      </c>
      <c r="AH134" s="17"/>
      <c r="AI134" s="17"/>
      <c r="AJ134" s="17"/>
      <c r="AK134" s="17" t="s">
        <v>650</v>
      </c>
      <c r="AL134" s="17"/>
      <c r="AM134" s="17"/>
      <c r="AN134" s="17"/>
      <c r="AO134" s="17"/>
      <c r="AP134" s="17"/>
      <c r="AQ134" s="17" t="s">
        <v>651</v>
      </c>
      <c r="AR134" s="17"/>
      <c r="AS134" s="20" t="s">
        <v>168</v>
      </c>
      <c r="AT134" s="20" t="s">
        <v>513</v>
      </c>
      <c r="AU134" s="20" t="s">
        <v>67</v>
      </c>
      <c r="AV134" s="24">
        <v>431.4</v>
      </c>
      <c r="AW134" s="25">
        <v>25</v>
      </c>
      <c r="AX134" s="24">
        <v>126.5</v>
      </c>
      <c r="AY134" s="28">
        <v>524.70000000000005</v>
      </c>
      <c r="AZ134" s="29">
        <v>25</v>
      </c>
      <c r="BA134" s="28">
        <v>128.4</v>
      </c>
      <c r="BB134" s="24"/>
      <c r="BC134" s="24"/>
      <c r="BD134" s="22" t="s">
        <v>189</v>
      </c>
      <c r="BE134" s="22">
        <v>365</v>
      </c>
      <c r="BF134" s="22">
        <v>365</v>
      </c>
    </row>
    <row r="135" spans="1:58" x14ac:dyDescent="0.2">
      <c r="B135" s="17"/>
      <c r="C135" s="17"/>
      <c r="D135" s="17"/>
      <c r="E135" s="17"/>
      <c r="F135" s="17"/>
      <c r="G135" s="32"/>
      <c r="H135" s="8"/>
      <c r="I135" s="17"/>
      <c r="J135" s="17"/>
      <c r="K135" s="17"/>
      <c r="L135" s="17"/>
      <c r="M135" s="17"/>
      <c r="N135" s="17"/>
      <c r="O135" s="34"/>
      <c r="P135" s="34"/>
      <c r="Q135" s="34"/>
      <c r="R135" s="34"/>
      <c r="S135" s="34"/>
      <c r="T135" s="34"/>
      <c r="U135" s="51"/>
      <c r="V135" s="51"/>
      <c r="W135" s="51"/>
      <c r="X135" s="51"/>
      <c r="Y135" s="51"/>
      <c r="Z135" s="51"/>
      <c r="AA135" s="32"/>
      <c r="AB135" s="32"/>
      <c r="AC135" s="32"/>
      <c r="AD135" s="32"/>
      <c r="AE135" s="32"/>
      <c r="AF135" s="32"/>
      <c r="AG135" s="17"/>
      <c r="AH135" s="17"/>
      <c r="AI135" s="17"/>
      <c r="AJ135" s="17"/>
      <c r="AK135" s="17"/>
      <c r="AL135" s="17"/>
      <c r="AM135" s="17"/>
      <c r="AN135" s="17"/>
      <c r="AO135" s="17"/>
      <c r="AP135" s="17"/>
      <c r="AQ135" s="17"/>
      <c r="AR135" s="17"/>
      <c r="AS135" s="20"/>
      <c r="AT135" s="20"/>
      <c r="AU135" s="20"/>
      <c r="AV135" s="24"/>
      <c r="AW135" s="25"/>
      <c r="AX135" s="24"/>
      <c r="AY135" s="28"/>
      <c r="AZ135" s="29"/>
      <c r="BA135" s="28"/>
      <c r="BB135" s="24"/>
      <c r="BC135" s="24"/>
      <c r="BD135" s="22"/>
      <c r="BE135" s="22"/>
      <c r="BF135" s="22"/>
    </row>
    <row r="136" spans="1:58" x14ac:dyDescent="0.2">
      <c r="B136" s="17"/>
      <c r="C136" s="17"/>
      <c r="D136" s="17"/>
      <c r="E136" s="17"/>
      <c r="F136" s="8"/>
      <c r="G136" s="17"/>
      <c r="H136" s="17"/>
      <c r="I136" s="17"/>
      <c r="J136" s="17"/>
      <c r="K136" s="17"/>
      <c r="L136" s="17"/>
      <c r="M136" s="17"/>
      <c r="N136" s="17"/>
      <c r="O136" s="34"/>
      <c r="P136" s="34"/>
      <c r="Q136" s="34"/>
      <c r="R136" s="34"/>
      <c r="S136" s="34"/>
      <c r="T136" s="34"/>
      <c r="U136" s="51"/>
      <c r="V136" s="51"/>
      <c r="W136" s="51"/>
      <c r="X136" s="51"/>
      <c r="Y136" s="51"/>
      <c r="Z136" s="51"/>
      <c r="AA136" s="32"/>
      <c r="AB136" s="32"/>
      <c r="AC136" s="32"/>
      <c r="AD136" s="32"/>
      <c r="AE136" s="32"/>
      <c r="AF136" s="32"/>
      <c r="AG136" s="17"/>
      <c r="AH136" s="17"/>
      <c r="AI136" s="17"/>
      <c r="AJ136" s="17"/>
      <c r="AK136" s="17"/>
      <c r="AL136" s="17"/>
      <c r="AM136" s="17"/>
      <c r="AN136" s="17"/>
      <c r="AO136" s="17"/>
      <c r="AP136" s="17"/>
      <c r="AQ136" s="17"/>
      <c r="AR136" s="17"/>
      <c r="AS136" s="20"/>
      <c r="AT136" s="20"/>
      <c r="AU136" s="20"/>
      <c r="AV136" s="24"/>
      <c r="AW136" s="25"/>
      <c r="AX136" s="24"/>
      <c r="AY136" s="28"/>
      <c r="AZ136" s="29"/>
      <c r="BA136" s="28"/>
      <c r="BB136" s="24"/>
      <c r="BC136" s="24"/>
      <c r="BD136" s="22"/>
      <c r="BE136" s="22"/>
      <c r="BF136" s="22"/>
    </row>
    <row r="137" spans="1:58" x14ac:dyDescent="0.2">
      <c r="B137" s="17"/>
      <c r="C137" s="17"/>
      <c r="D137" s="17"/>
      <c r="E137" s="17"/>
      <c r="F137" s="17"/>
      <c r="G137" s="32"/>
      <c r="H137" s="8"/>
      <c r="I137" s="17"/>
      <c r="J137" s="17"/>
      <c r="K137" s="17"/>
      <c r="L137" s="17"/>
      <c r="M137" s="17"/>
      <c r="N137" s="17"/>
      <c r="O137" s="34"/>
      <c r="P137" s="34"/>
      <c r="Q137" s="34"/>
      <c r="R137" s="34"/>
      <c r="S137" s="34"/>
      <c r="T137" s="34"/>
      <c r="U137" s="51"/>
      <c r="V137" s="51"/>
      <c r="W137" s="51"/>
      <c r="X137" s="51"/>
      <c r="Y137" s="51"/>
      <c r="Z137" s="51"/>
      <c r="AA137" s="32"/>
      <c r="AB137" s="32"/>
      <c r="AC137" s="32"/>
      <c r="AD137" s="32"/>
      <c r="AE137" s="32"/>
      <c r="AF137" s="32"/>
      <c r="AG137" s="17"/>
      <c r="AH137" s="17"/>
      <c r="AI137" s="17"/>
      <c r="AJ137" s="17"/>
      <c r="AK137" s="17"/>
      <c r="AL137" s="17"/>
      <c r="AM137" s="17"/>
      <c r="AN137" s="17"/>
      <c r="AO137" s="17"/>
      <c r="AP137" s="17"/>
      <c r="AQ137" s="17"/>
      <c r="AR137" s="17"/>
      <c r="AS137" s="20"/>
      <c r="AT137" s="20"/>
      <c r="AU137" s="20"/>
      <c r="AV137" s="24"/>
      <c r="AW137" s="25"/>
      <c r="AX137" s="24"/>
      <c r="AY137" s="28"/>
      <c r="AZ137" s="29"/>
      <c r="BA137" s="28"/>
      <c r="BB137" s="24"/>
      <c r="BC137" s="24"/>
      <c r="BD137" s="22"/>
      <c r="BE137" s="22"/>
      <c r="BF137" s="22"/>
    </row>
    <row r="138" spans="1:58" x14ac:dyDescent="0.2">
      <c r="B138" s="17"/>
      <c r="C138" s="17"/>
      <c r="D138" s="17"/>
      <c r="E138" s="17"/>
      <c r="F138" s="8"/>
      <c r="G138" s="17"/>
      <c r="H138" s="17"/>
      <c r="I138" s="17"/>
      <c r="J138" s="17"/>
      <c r="K138" s="17"/>
      <c r="L138" s="17"/>
      <c r="M138" s="17"/>
      <c r="N138" s="17"/>
      <c r="O138" s="34"/>
      <c r="P138" s="34"/>
      <c r="Q138" s="34"/>
      <c r="R138" s="34"/>
      <c r="S138" s="34"/>
      <c r="T138" s="34"/>
      <c r="U138" s="51"/>
      <c r="V138" s="51"/>
      <c r="W138" s="51"/>
      <c r="X138" s="51"/>
      <c r="Y138" s="51"/>
      <c r="Z138" s="51"/>
      <c r="AA138" s="32"/>
      <c r="AB138" s="32"/>
      <c r="AC138" s="32"/>
      <c r="AD138" s="32"/>
      <c r="AE138" s="32"/>
      <c r="AF138" s="32"/>
      <c r="AG138" s="17"/>
      <c r="AH138" s="17"/>
      <c r="AI138" s="17"/>
      <c r="AJ138" s="17"/>
      <c r="AK138" s="17"/>
      <c r="AL138" s="17"/>
      <c r="AM138" s="17"/>
      <c r="AN138" s="17"/>
      <c r="AO138" s="17"/>
      <c r="AP138" s="17"/>
      <c r="AQ138" s="17"/>
      <c r="AR138" s="17"/>
      <c r="AS138" s="20"/>
      <c r="AT138" s="20"/>
      <c r="AU138" s="20"/>
      <c r="AV138" s="24"/>
      <c r="AW138" s="25"/>
      <c r="AX138" s="24"/>
      <c r="AY138" s="28"/>
      <c r="AZ138" s="29"/>
      <c r="BA138" s="28"/>
      <c r="BB138" s="24"/>
      <c r="BC138" s="24"/>
      <c r="BD138" s="22"/>
      <c r="BE138" s="22"/>
      <c r="BF138" s="22"/>
    </row>
    <row r="139" spans="1:58" x14ac:dyDescent="0.2">
      <c r="B139" s="17"/>
      <c r="C139" s="17"/>
      <c r="D139" s="17"/>
      <c r="E139" s="17"/>
      <c r="F139" s="17"/>
      <c r="G139" s="32"/>
      <c r="H139" s="8"/>
      <c r="I139" s="17"/>
      <c r="J139" s="17"/>
      <c r="K139" s="17"/>
      <c r="L139" s="17"/>
      <c r="M139" s="17"/>
      <c r="N139" s="17"/>
      <c r="O139" s="34"/>
      <c r="P139" s="34"/>
      <c r="Q139" s="34"/>
      <c r="R139" s="34"/>
      <c r="S139" s="34"/>
      <c r="T139" s="34"/>
      <c r="U139" s="51"/>
      <c r="V139" s="51"/>
      <c r="W139" s="51"/>
      <c r="X139" s="51"/>
      <c r="Y139" s="51"/>
      <c r="Z139" s="51"/>
      <c r="AA139" s="32"/>
      <c r="AB139" s="32"/>
      <c r="AC139" s="32"/>
      <c r="AD139" s="32"/>
      <c r="AE139" s="32"/>
      <c r="AF139" s="32"/>
      <c r="AG139" s="17"/>
      <c r="AH139" s="17"/>
      <c r="AI139" s="17"/>
      <c r="AJ139" s="17"/>
      <c r="AK139" s="17"/>
      <c r="AL139" s="17"/>
      <c r="AM139" s="17"/>
      <c r="AN139" s="17"/>
      <c r="AO139" s="17"/>
      <c r="AP139" s="17"/>
      <c r="AQ139" s="17"/>
      <c r="AR139" s="17"/>
      <c r="AS139" s="20"/>
      <c r="AT139" s="20"/>
      <c r="AU139" s="20"/>
      <c r="AV139" s="24"/>
      <c r="AW139" s="25"/>
      <c r="AX139" s="24"/>
      <c r="AY139" s="28"/>
      <c r="AZ139" s="29"/>
      <c r="BA139" s="28"/>
      <c r="BB139" s="24"/>
      <c r="BC139" s="24"/>
      <c r="BD139" s="22"/>
      <c r="BE139" s="22"/>
      <c r="BF139" s="22"/>
    </row>
    <row r="140" spans="1:58" x14ac:dyDescent="0.2">
      <c r="B140" s="17"/>
      <c r="C140" s="17"/>
      <c r="D140" s="17"/>
      <c r="E140" s="17"/>
      <c r="F140" s="8"/>
      <c r="G140" s="17"/>
      <c r="H140" s="17"/>
      <c r="I140" s="17"/>
      <c r="J140" s="17"/>
      <c r="K140" s="17"/>
      <c r="L140" s="17"/>
      <c r="M140" s="17"/>
      <c r="N140" s="17"/>
      <c r="O140" s="34"/>
      <c r="P140" s="34"/>
      <c r="Q140" s="34"/>
      <c r="R140" s="34"/>
      <c r="S140" s="34"/>
      <c r="T140" s="34"/>
      <c r="U140" s="51"/>
      <c r="V140" s="51"/>
      <c r="W140" s="51"/>
      <c r="X140" s="51"/>
      <c r="Y140" s="51"/>
      <c r="Z140" s="51"/>
      <c r="AA140" s="32"/>
      <c r="AB140" s="32"/>
      <c r="AC140" s="32"/>
      <c r="AD140" s="32"/>
      <c r="AE140" s="32"/>
      <c r="AF140" s="32"/>
      <c r="AG140" s="17"/>
      <c r="AH140" s="17"/>
      <c r="AI140" s="17"/>
      <c r="AJ140" s="17"/>
      <c r="AK140" s="17"/>
      <c r="AL140" s="17"/>
      <c r="AM140" s="17"/>
      <c r="AN140" s="17"/>
      <c r="AO140" s="17"/>
      <c r="AP140" s="17"/>
      <c r="AQ140" s="17"/>
      <c r="AR140" s="17"/>
      <c r="AS140" s="20"/>
      <c r="AT140" s="20"/>
      <c r="AU140" s="20"/>
      <c r="AV140" s="24"/>
      <c r="AW140" s="25"/>
      <c r="AX140" s="24"/>
      <c r="AY140" s="28"/>
      <c r="AZ140" s="29"/>
      <c r="BA140" s="28"/>
      <c r="BB140" s="24"/>
      <c r="BC140" s="24"/>
      <c r="BD140" s="22"/>
      <c r="BE140" s="22"/>
      <c r="BF140" s="22"/>
    </row>
    <row r="141" spans="1:58" x14ac:dyDescent="0.2">
      <c r="B141" s="17"/>
      <c r="C141" s="17"/>
      <c r="D141" s="17"/>
      <c r="E141" s="17"/>
      <c r="F141" s="17"/>
      <c r="G141" s="32"/>
      <c r="H141" s="8"/>
      <c r="I141" s="17"/>
      <c r="J141" s="17"/>
      <c r="K141" s="17"/>
      <c r="L141" s="17"/>
      <c r="M141" s="17"/>
      <c r="N141" s="17"/>
      <c r="O141" s="34"/>
      <c r="P141" s="34"/>
      <c r="Q141" s="34"/>
      <c r="R141" s="34"/>
      <c r="S141" s="34"/>
      <c r="T141" s="34"/>
      <c r="U141" s="51"/>
      <c r="V141" s="51"/>
      <c r="W141" s="51"/>
      <c r="X141" s="51"/>
      <c r="Y141" s="51"/>
      <c r="Z141" s="51"/>
      <c r="AA141" s="32"/>
      <c r="AB141" s="32"/>
      <c r="AC141" s="32"/>
      <c r="AD141" s="32"/>
      <c r="AE141" s="32"/>
      <c r="AF141" s="32"/>
      <c r="AG141" s="17"/>
      <c r="AH141" s="17"/>
      <c r="AI141" s="17"/>
      <c r="AJ141" s="17"/>
      <c r="AK141" s="17"/>
      <c r="AL141" s="17"/>
      <c r="AM141" s="17"/>
      <c r="AN141" s="17"/>
      <c r="AO141" s="17"/>
      <c r="AP141" s="17"/>
      <c r="AQ141" s="17"/>
      <c r="AR141" s="17"/>
      <c r="AS141" s="20"/>
      <c r="AT141" s="20"/>
      <c r="AU141" s="20"/>
      <c r="AV141" s="24"/>
      <c r="AW141" s="25"/>
      <c r="AX141" s="24"/>
      <c r="AY141" s="28"/>
      <c r="AZ141" s="29"/>
      <c r="BA141" s="28"/>
      <c r="BB141" s="24"/>
      <c r="BC141" s="24"/>
      <c r="BD141" s="22"/>
      <c r="BE141" s="22"/>
      <c r="BF141" s="22"/>
    </row>
    <row r="142" spans="1:58" x14ac:dyDescent="0.2">
      <c r="B142" s="17"/>
      <c r="C142" s="17"/>
      <c r="D142" s="17"/>
      <c r="E142" s="17"/>
      <c r="F142" s="8"/>
      <c r="G142" s="17"/>
      <c r="H142" s="17"/>
      <c r="I142" s="17"/>
      <c r="J142" s="17"/>
      <c r="K142" s="17"/>
      <c r="L142" s="17"/>
      <c r="M142" s="17"/>
      <c r="N142" s="17"/>
      <c r="O142" s="34"/>
      <c r="P142" s="34"/>
      <c r="Q142" s="34"/>
      <c r="R142" s="34"/>
      <c r="S142" s="34"/>
      <c r="T142" s="34"/>
      <c r="U142" s="51"/>
      <c r="V142" s="51"/>
      <c r="W142" s="51"/>
      <c r="X142" s="51"/>
      <c r="Y142" s="51"/>
      <c r="Z142" s="51"/>
      <c r="AA142" s="32"/>
      <c r="AB142" s="32"/>
      <c r="AC142" s="32"/>
      <c r="AD142" s="32"/>
      <c r="AE142" s="32"/>
      <c r="AF142" s="32"/>
      <c r="AG142" s="17"/>
      <c r="AH142" s="17"/>
      <c r="AI142" s="17"/>
      <c r="AJ142" s="17"/>
      <c r="AK142" s="17"/>
      <c r="AL142" s="17"/>
      <c r="AM142" s="17"/>
      <c r="AN142" s="17"/>
      <c r="AO142" s="17"/>
      <c r="AP142" s="17"/>
      <c r="AQ142" s="17"/>
      <c r="AR142" s="17"/>
      <c r="AS142" s="20"/>
      <c r="AT142" s="20"/>
      <c r="AU142" s="20"/>
      <c r="AV142" s="24"/>
      <c r="AW142" s="25"/>
      <c r="AX142" s="24"/>
      <c r="AY142" s="28"/>
      <c r="AZ142" s="29"/>
      <c r="BA142" s="28"/>
      <c r="BB142" s="24"/>
      <c r="BC142" s="24"/>
      <c r="BD142" s="22"/>
      <c r="BE142" s="22"/>
      <c r="BF142" s="22"/>
    </row>
    <row r="143" spans="1:58" x14ac:dyDescent="0.2">
      <c r="B143" s="17"/>
      <c r="C143" s="17"/>
      <c r="D143" s="17"/>
      <c r="E143" s="17"/>
      <c r="F143" s="17"/>
      <c r="G143" s="32"/>
      <c r="H143" s="8"/>
      <c r="I143" s="17"/>
      <c r="J143" s="17"/>
      <c r="K143" s="17"/>
      <c r="L143" s="17"/>
      <c r="M143" s="17"/>
      <c r="N143" s="17"/>
      <c r="O143" s="34"/>
      <c r="P143" s="34"/>
      <c r="Q143" s="34"/>
      <c r="R143" s="34"/>
      <c r="S143" s="34"/>
      <c r="T143" s="34"/>
      <c r="U143" s="51"/>
      <c r="V143" s="51"/>
      <c r="W143" s="51"/>
      <c r="X143" s="51"/>
      <c r="Y143" s="51"/>
      <c r="Z143" s="51"/>
      <c r="AA143" s="32"/>
      <c r="AB143" s="32"/>
      <c r="AC143" s="32"/>
      <c r="AD143" s="32"/>
      <c r="AE143" s="32"/>
      <c r="AF143" s="32"/>
      <c r="AG143" s="17"/>
      <c r="AH143" s="17"/>
      <c r="AI143" s="17"/>
      <c r="AJ143" s="17"/>
      <c r="AK143" s="17"/>
      <c r="AL143" s="17"/>
      <c r="AM143" s="17"/>
      <c r="AN143" s="17"/>
      <c r="AO143" s="17"/>
      <c r="AP143" s="17"/>
      <c r="AQ143" s="17"/>
      <c r="AR143" s="17"/>
      <c r="AS143" s="20"/>
      <c r="AT143" s="20"/>
      <c r="AU143" s="20"/>
      <c r="AV143" s="24"/>
      <c r="AW143" s="25"/>
      <c r="AX143" s="24"/>
      <c r="AY143" s="28"/>
      <c r="AZ143" s="29"/>
      <c r="BA143" s="28"/>
      <c r="BB143" s="24"/>
      <c r="BC143" s="24"/>
      <c r="BD143" s="22"/>
      <c r="BE143" s="22"/>
      <c r="BF143" s="22"/>
    </row>
    <row r="144" spans="1:58" x14ac:dyDescent="0.2">
      <c r="B144" s="17"/>
      <c r="C144" s="17"/>
      <c r="D144" s="17"/>
      <c r="E144" s="17"/>
      <c r="F144" s="8"/>
      <c r="G144" s="17"/>
      <c r="H144" s="17"/>
      <c r="I144" s="17"/>
      <c r="J144" s="17"/>
      <c r="K144" s="17"/>
      <c r="L144" s="17"/>
      <c r="M144" s="17"/>
      <c r="N144" s="17"/>
      <c r="O144" s="34"/>
      <c r="P144" s="34"/>
      <c r="Q144" s="34"/>
      <c r="R144" s="34"/>
      <c r="S144" s="34"/>
      <c r="T144" s="34"/>
      <c r="U144" s="51"/>
      <c r="V144" s="51"/>
      <c r="W144" s="51"/>
      <c r="X144" s="51"/>
      <c r="Y144" s="51"/>
      <c r="Z144" s="51"/>
      <c r="AA144" s="32"/>
      <c r="AB144" s="32"/>
      <c r="AC144" s="32"/>
      <c r="AD144" s="32"/>
      <c r="AE144" s="32"/>
      <c r="AF144" s="32"/>
      <c r="AG144" s="17"/>
      <c r="AH144" s="17"/>
      <c r="AI144" s="17"/>
      <c r="AJ144" s="17"/>
      <c r="AK144" s="17"/>
      <c r="AL144" s="17"/>
      <c r="AM144" s="17"/>
      <c r="AN144" s="17"/>
      <c r="AO144" s="17"/>
      <c r="AP144" s="17"/>
      <c r="AQ144" s="17"/>
      <c r="AR144" s="17"/>
      <c r="AS144" s="20"/>
      <c r="AT144" s="20"/>
      <c r="AU144" s="20"/>
      <c r="AV144" s="24"/>
      <c r="AW144" s="25"/>
      <c r="AX144" s="24"/>
      <c r="AY144" s="28"/>
      <c r="AZ144" s="29"/>
      <c r="BA144" s="28"/>
      <c r="BC144" s="24"/>
      <c r="BD144" s="22"/>
      <c r="BE144" s="22"/>
      <c r="BF144" s="22"/>
    </row>
    <row r="145" spans="1:62" x14ac:dyDescent="0.2">
      <c r="B145" s="17"/>
      <c r="C145" s="17"/>
      <c r="D145" s="17"/>
      <c r="E145" s="17"/>
      <c r="F145" s="17"/>
      <c r="G145" s="32"/>
      <c r="H145" s="8"/>
      <c r="I145" s="17"/>
      <c r="J145" s="17"/>
      <c r="K145" s="17"/>
      <c r="L145" s="17"/>
      <c r="M145" s="17"/>
      <c r="N145" s="17"/>
      <c r="O145" s="34"/>
      <c r="P145" s="34"/>
      <c r="Q145" s="34"/>
      <c r="R145" s="34"/>
      <c r="S145" s="34"/>
      <c r="T145" s="34"/>
      <c r="U145" s="51"/>
      <c r="V145" s="51"/>
      <c r="W145" s="51"/>
      <c r="X145" s="51"/>
      <c r="Y145" s="51"/>
      <c r="Z145" s="51"/>
      <c r="AA145" s="32"/>
      <c r="AB145" s="32"/>
      <c r="AC145" s="32"/>
      <c r="AD145" s="32"/>
      <c r="AE145" s="32"/>
      <c r="AF145" s="32"/>
      <c r="AG145" s="17"/>
      <c r="AH145" s="17"/>
      <c r="AI145" s="17"/>
      <c r="AJ145" s="17"/>
      <c r="AK145" s="17"/>
      <c r="AL145" s="17"/>
      <c r="AM145" s="17"/>
      <c r="AN145" s="17"/>
      <c r="AO145" s="17"/>
      <c r="AP145" s="17"/>
      <c r="AQ145" s="17"/>
      <c r="AR145" s="17"/>
      <c r="AS145" s="20"/>
      <c r="AT145" s="20"/>
      <c r="AU145" s="20"/>
      <c r="AV145" s="24"/>
      <c r="AW145" s="25"/>
      <c r="AX145" s="24"/>
      <c r="AY145" s="28"/>
      <c r="AZ145" s="29"/>
      <c r="BA145" s="28"/>
      <c r="BB145" s="24"/>
      <c r="BC145" s="24"/>
      <c r="BD145" s="22"/>
      <c r="BE145" s="22"/>
      <c r="BF145" s="22"/>
    </row>
    <row r="146" spans="1:62" x14ac:dyDescent="0.2">
      <c r="B146" s="17"/>
      <c r="C146" s="17"/>
      <c r="D146" s="17"/>
      <c r="E146" s="17"/>
      <c r="F146" s="8"/>
      <c r="G146" s="17"/>
      <c r="H146" s="17"/>
      <c r="I146" s="17"/>
      <c r="J146" s="17"/>
      <c r="K146" s="17"/>
      <c r="L146" s="17"/>
      <c r="M146" s="17"/>
      <c r="N146" s="17"/>
      <c r="O146" s="34"/>
      <c r="P146" s="34"/>
      <c r="Q146" s="34"/>
      <c r="R146" s="34"/>
      <c r="S146" s="34"/>
      <c r="T146" s="34"/>
      <c r="U146" s="51"/>
      <c r="V146" s="51"/>
      <c r="W146" s="51"/>
      <c r="X146" s="51"/>
      <c r="Y146" s="51"/>
      <c r="Z146" s="51"/>
      <c r="AA146" s="32"/>
      <c r="AB146" s="32"/>
      <c r="AC146" s="32"/>
      <c r="AD146" s="32"/>
      <c r="AE146" s="32"/>
      <c r="AF146" s="32"/>
      <c r="AG146" s="17"/>
      <c r="AH146" s="17"/>
      <c r="AI146" s="17"/>
      <c r="AJ146" s="17"/>
      <c r="AK146" s="17"/>
      <c r="AL146" s="17"/>
      <c r="AM146" s="17"/>
      <c r="AN146" s="17"/>
      <c r="AO146" s="17"/>
      <c r="AP146" s="17"/>
      <c r="AQ146" s="17"/>
      <c r="AR146" s="17"/>
      <c r="AS146" s="20"/>
      <c r="AT146" s="20"/>
      <c r="AU146" s="20"/>
      <c r="AV146" s="24"/>
      <c r="AW146" s="25"/>
      <c r="AX146" s="24"/>
      <c r="AY146" s="28"/>
      <c r="AZ146" s="29"/>
      <c r="BA146" s="28"/>
      <c r="BB146" s="24"/>
      <c r="BC146" s="24"/>
      <c r="BD146" s="22"/>
      <c r="BE146" s="22"/>
      <c r="BF146" s="22"/>
    </row>
    <row r="147" spans="1:62" x14ac:dyDescent="0.2">
      <c r="B147" s="17"/>
      <c r="C147" s="17"/>
      <c r="D147" s="17"/>
      <c r="E147" s="17"/>
      <c r="F147" s="17"/>
      <c r="G147" s="32"/>
      <c r="H147" s="8"/>
      <c r="I147" s="17"/>
      <c r="J147" s="17"/>
      <c r="K147" s="17"/>
      <c r="L147" s="17"/>
      <c r="M147" s="17"/>
      <c r="N147" s="17"/>
      <c r="O147" s="34"/>
      <c r="P147" s="34"/>
      <c r="Q147" s="34"/>
      <c r="R147" s="34"/>
      <c r="S147" s="34"/>
      <c r="T147" s="34"/>
      <c r="U147" s="51"/>
      <c r="V147" s="51"/>
      <c r="W147" s="51"/>
      <c r="X147" s="51"/>
      <c r="Y147" s="51"/>
      <c r="Z147" s="51"/>
      <c r="AA147" s="32"/>
      <c r="AB147" s="32"/>
      <c r="AC147" s="32"/>
      <c r="AD147" s="32"/>
      <c r="AE147" s="32"/>
      <c r="AF147" s="32"/>
      <c r="AG147" s="17"/>
      <c r="AH147" s="17"/>
      <c r="AI147" s="17"/>
      <c r="AJ147" s="17"/>
      <c r="AK147" s="17"/>
      <c r="AL147" s="17"/>
      <c r="AM147" s="17"/>
      <c r="AN147" s="17"/>
      <c r="AO147" s="17"/>
      <c r="AP147" s="17"/>
      <c r="AQ147" s="17"/>
      <c r="AR147" s="17"/>
      <c r="AS147" s="20"/>
      <c r="AT147" s="20"/>
      <c r="AU147" s="20"/>
      <c r="AV147" s="24"/>
      <c r="AW147" s="25"/>
      <c r="AX147" s="24"/>
      <c r="AY147" s="28"/>
      <c r="AZ147" s="29"/>
      <c r="BA147" s="28"/>
      <c r="BB147" s="24"/>
      <c r="BC147" s="24"/>
      <c r="BD147" s="22"/>
      <c r="BE147" s="22"/>
      <c r="BF147" s="22"/>
    </row>
    <row r="148" spans="1:62" x14ac:dyDescent="0.2">
      <c r="B148" s="17"/>
      <c r="C148" s="17"/>
      <c r="D148" s="17"/>
      <c r="E148" s="17"/>
      <c r="F148" s="8"/>
      <c r="G148" s="17"/>
      <c r="H148" s="17"/>
      <c r="I148" s="17"/>
      <c r="J148" s="17"/>
      <c r="K148" s="17"/>
      <c r="L148" s="17"/>
      <c r="M148" s="17"/>
      <c r="N148" s="17"/>
      <c r="O148" s="34"/>
      <c r="P148" s="34"/>
      <c r="Q148" s="34"/>
      <c r="R148" s="34"/>
      <c r="S148" s="34"/>
      <c r="T148" s="34"/>
      <c r="U148" s="51"/>
      <c r="V148" s="51"/>
      <c r="W148" s="51"/>
      <c r="X148" s="51"/>
      <c r="Y148" s="51"/>
      <c r="Z148" s="51"/>
      <c r="AA148" s="32"/>
      <c r="AB148" s="32"/>
      <c r="AC148" s="32"/>
      <c r="AD148" s="32"/>
      <c r="AE148" s="32"/>
      <c r="AF148" s="32"/>
      <c r="AG148" s="17"/>
      <c r="AH148" s="17"/>
      <c r="AI148" s="17"/>
      <c r="AJ148" s="17"/>
      <c r="AK148" s="17"/>
      <c r="AL148" s="17"/>
      <c r="AM148" s="17"/>
      <c r="AN148" s="17"/>
      <c r="AO148" s="17"/>
      <c r="AP148" s="17"/>
      <c r="AQ148" s="17"/>
      <c r="AR148" s="17"/>
      <c r="AS148" s="20"/>
      <c r="AT148" s="20"/>
      <c r="AU148" s="20"/>
      <c r="AV148" s="24"/>
      <c r="AW148" s="25"/>
      <c r="AX148" s="24"/>
      <c r="AY148" s="28"/>
      <c r="AZ148" s="29"/>
      <c r="BA148" s="28"/>
      <c r="BB148" s="24"/>
      <c r="BC148" s="24"/>
      <c r="BD148" s="22"/>
      <c r="BE148" s="22"/>
      <c r="BF148" s="22"/>
    </row>
    <row r="149" spans="1:62" x14ac:dyDescent="0.2">
      <c r="B149" s="17"/>
      <c r="C149" s="17"/>
      <c r="D149" s="17"/>
      <c r="E149" s="17"/>
      <c r="F149" s="17"/>
      <c r="G149" s="32"/>
      <c r="H149" s="8"/>
      <c r="I149" s="17"/>
      <c r="J149" s="17"/>
      <c r="K149" s="17"/>
      <c r="L149" s="17"/>
      <c r="M149" s="17"/>
      <c r="N149" s="17"/>
      <c r="O149" s="34"/>
      <c r="P149" s="34"/>
      <c r="Q149" s="34"/>
      <c r="R149" s="34"/>
      <c r="S149" s="34"/>
      <c r="T149" s="34"/>
      <c r="U149" s="51"/>
      <c r="V149" s="51"/>
      <c r="W149" s="51"/>
      <c r="X149" s="51"/>
      <c r="Y149" s="51"/>
      <c r="Z149" s="51"/>
      <c r="AA149" s="32"/>
      <c r="AB149" s="32"/>
      <c r="AC149" s="32"/>
      <c r="AD149" s="32"/>
      <c r="AE149" s="32"/>
      <c r="AF149" s="32"/>
      <c r="AG149" s="17"/>
      <c r="AH149" s="17"/>
      <c r="AI149" s="17"/>
      <c r="AJ149" s="17"/>
      <c r="AK149" s="17"/>
      <c r="AL149" s="17"/>
      <c r="AM149" s="17"/>
      <c r="AN149" s="17"/>
      <c r="AO149" s="17"/>
      <c r="AP149" s="17"/>
      <c r="AQ149" s="17"/>
      <c r="AR149" s="17"/>
      <c r="AS149" s="20"/>
      <c r="AT149" s="20"/>
      <c r="AU149" s="20"/>
      <c r="AV149" s="24"/>
      <c r="AW149" s="25"/>
      <c r="AX149" s="24"/>
      <c r="AY149" s="28"/>
      <c r="AZ149" s="29"/>
      <c r="BA149" s="28"/>
      <c r="BB149" s="24"/>
      <c r="BC149" s="24"/>
      <c r="BD149" s="22"/>
      <c r="BE149" s="22"/>
      <c r="BF149" s="22"/>
    </row>
    <row r="150" spans="1:62" x14ac:dyDescent="0.2">
      <c r="B150" s="17"/>
      <c r="C150" s="17"/>
      <c r="D150" s="17"/>
      <c r="E150" s="17"/>
      <c r="F150" s="8"/>
      <c r="G150" s="17"/>
      <c r="H150" s="17"/>
      <c r="I150" s="17"/>
      <c r="J150" s="17"/>
      <c r="K150" s="17"/>
      <c r="L150" s="17"/>
      <c r="M150" s="17"/>
      <c r="N150" s="17"/>
      <c r="O150" s="34"/>
      <c r="P150" s="34"/>
      <c r="Q150" s="34"/>
      <c r="R150" s="34"/>
      <c r="S150" s="34"/>
      <c r="T150" s="34"/>
      <c r="U150" s="51"/>
      <c r="V150" s="51"/>
      <c r="W150" s="51"/>
      <c r="X150" s="51"/>
      <c r="Y150" s="51"/>
      <c r="Z150" s="51"/>
      <c r="AA150" s="32"/>
      <c r="AB150" s="32"/>
      <c r="AC150" s="32"/>
      <c r="AD150" s="32"/>
      <c r="AE150" s="32"/>
      <c r="AF150" s="32"/>
      <c r="AG150" s="17"/>
      <c r="AH150" s="17"/>
      <c r="AI150" s="17"/>
      <c r="AJ150" s="17"/>
      <c r="AK150" s="17"/>
      <c r="AL150" s="17"/>
      <c r="AM150" s="17"/>
      <c r="AN150" s="17"/>
      <c r="AO150" s="17"/>
      <c r="AP150" s="17"/>
      <c r="AQ150" s="17"/>
      <c r="AR150" s="17"/>
      <c r="AS150" s="20"/>
      <c r="AT150" s="20"/>
      <c r="AU150" s="20"/>
      <c r="AV150" s="24"/>
      <c r="AW150" s="25"/>
      <c r="AX150" s="24"/>
      <c r="AY150" s="28"/>
      <c r="AZ150" s="29"/>
      <c r="BA150" s="28"/>
      <c r="BB150" s="24"/>
      <c r="BC150" s="24"/>
      <c r="BD150" s="22"/>
      <c r="BE150" s="22"/>
      <c r="BF150" s="22"/>
    </row>
    <row r="151" spans="1:62" s="23" customFormat="1" x14ac:dyDescent="0.2">
      <c r="A151"/>
      <c r="B151" s="17"/>
      <c r="C151" s="17"/>
      <c r="D151" s="17"/>
      <c r="E151" s="17"/>
      <c r="F151" s="17"/>
      <c r="G151" s="32"/>
      <c r="H151" s="8"/>
      <c r="I151" s="17"/>
      <c r="J151" s="17"/>
      <c r="K151" s="17"/>
      <c r="L151" s="17"/>
      <c r="M151" s="17"/>
      <c r="N151" s="17"/>
      <c r="O151" s="34"/>
      <c r="P151" s="34"/>
      <c r="Q151" s="34"/>
      <c r="R151" s="34"/>
      <c r="S151" s="34"/>
      <c r="T151" s="34"/>
      <c r="U151" s="51"/>
      <c r="V151" s="51"/>
      <c r="W151" s="51"/>
      <c r="X151" s="51"/>
      <c r="Y151" s="51"/>
      <c r="Z151" s="51"/>
      <c r="AA151" s="32"/>
      <c r="AB151" s="32"/>
      <c r="AC151" s="32"/>
      <c r="AD151" s="32"/>
      <c r="AE151" s="32"/>
      <c r="AF151" s="32"/>
      <c r="AG151" s="17"/>
      <c r="AH151" s="17"/>
      <c r="AI151" s="17"/>
      <c r="AJ151" s="17"/>
      <c r="AK151" s="17"/>
      <c r="AL151" s="17"/>
      <c r="AM151" s="17"/>
      <c r="AN151" s="17"/>
      <c r="AO151" s="17"/>
      <c r="AP151" s="17"/>
      <c r="AQ151" s="17"/>
      <c r="AR151" s="17"/>
      <c r="AS151" s="20"/>
      <c r="AT151" s="20"/>
      <c r="AU151" s="20"/>
      <c r="AV151" s="24"/>
      <c r="AW151" s="25"/>
      <c r="AX151" s="24"/>
      <c r="AY151" s="28"/>
      <c r="AZ151" s="29"/>
      <c r="BA151" s="28"/>
      <c r="BB151" s="24"/>
      <c r="BC151" s="24"/>
      <c r="BD151" s="22"/>
      <c r="BE151" s="22"/>
      <c r="BF151" s="22"/>
      <c r="BG151" s="33"/>
      <c r="BH151" s="33"/>
      <c r="BI151" s="33"/>
      <c r="BJ151"/>
    </row>
    <row r="152" spans="1:62" s="23" customFormat="1" x14ac:dyDescent="0.2">
      <c r="A152"/>
      <c r="B152" s="17"/>
      <c r="C152" s="17"/>
      <c r="D152" s="17"/>
      <c r="E152" s="17"/>
      <c r="F152" s="8"/>
      <c r="G152" s="17"/>
      <c r="H152" s="17"/>
      <c r="I152" s="17"/>
      <c r="J152" s="17"/>
      <c r="K152" s="17"/>
      <c r="L152" s="17"/>
      <c r="M152" s="17"/>
      <c r="N152" s="17"/>
      <c r="O152" s="34"/>
      <c r="P152" s="34"/>
      <c r="Q152" s="34"/>
      <c r="R152" s="34"/>
      <c r="S152" s="34"/>
      <c r="T152" s="34"/>
      <c r="U152" s="51"/>
      <c r="V152" s="51"/>
      <c r="W152" s="51"/>
      <c r="X152" s="51"/>
      <c r="Y152" s="51"/>
      <c r="Z152" s="51"/>
      <c r="AA152" s="32"/>
      <c r="AB152" s="32"/>
      <c r="AC152" s="32"/>
      <c r="AD152" s="32"/>
      <c r="AE152" s="32"/>
      <c r="AF152" s="32"/>
      <c r="AG152" s="17"/>
      <c r="AH152" s="17"/>
      <c r="AI152" s="17"/>
      <c r="AJ152" s="17"/>
      <c r="AK152" s="17"/>
      <c r="AL152" s="17"/>
      <c r="AM152" s="17"/>
      <c r="AN152" s="17"/>
      <c r="AO152" s="17"/>
      <c r="AP152" s="17"/>
      <c r="AQ152" s="17"/>
      <c r="AR152" s="17"/>
      <c r="AS152" s="20"/>
      <c r="AT152" s="20"/>
      <c r="AU152" s="20"/>
      <c r="AV152" s="24"/>
      <c r="AW152" s="25"/>
      <c r="AX152" s="24"/>
      <c r="AY152" s="28"/>
      <c r="AZ152" s="29"/>
      <c r="BA152" s="28"/>
      <c r="BB152" s="24"/>
      <c r="BC152" s="24"/>
      <c r="BD152" s="22"/>
      <c r="BE152" s="22"/>
      <c r="BF152" s="22"/>
      <c r="BG152" s="33"/>
      <c r="BH152" s="33"/>
      <c r="BI152" s="33"/>
      <c r="BJ152"/>
    </row>
  </sheetData>
  <autoFilter ref="A1:BI152" xr:uid="{74886E42-7453-9D4E-A430-82DC30A59557}">
    <sortState xmlns:xlrd2="http://schemas.microsoft.com/office/spreadsheetml/2017/richdata2" ref="A2:BI152">
      <sortCondition ref="B1:B152"/>
    </sortState>
  </autoFilter>
  <phoneticPr fontId="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9A43-D2DB-B544-80E9-22AD7611A98A}">
  <dimension ref="A1:H13"/>
  <sheetViews>
    <sheetView workbookViewId="0">
      <selection activeCell="H13" sqref="A1:H13"/>
    </sheetView>
  </sheetViews>
  <sheetFormatPr baseColWidth="10" defaultRowHeight="15" x14ac:dyDescent="0.2"/>
  <cols>
    <col min="1" max="1" width="21.5" style="6" customWidth="1"/>
    <col min="2" max="8" width="10.83203125" style="6"/>
  </cols>
  <sheetData>
    <row r="1" spans="1:8" ht="16" x14ac:dyDescent="0.2">
      <c r="A1" s="49" t="s">
        <v>812</v>
      </c>
      <c r="B1" s="49" t="s">
        <v>813</v>
      </c>
      <c r="C1" s="49" t="s">
        <v>814</v>
      </c>
      <c r="D1" s="49" t="s">
        <v>815</v>
      </c>
      <c r="E1" s="49" t="s">
        <v>816</v>
      </c>
      <c r="F1" s="49" t="s">
        <v>817</v>
      </c>
      <c r="G1" s="49" t="s">
        <v>818</v>
      </c>
      <c r="H1" s="49" t="s">
        <v>819</v>
      </c>
    </row>
    <row r="2" spans="1:8" ht="16" x14ac:dyDescent="0.2">
      <c r="A2" s="50" t="s">
        <v>765</v>
      </c>
      <c r="B2" s="50">
        <v>-1.6987825000000001</v>
      </c>
      <c r="C2" s="50">
        <v>0.38688204999999998</v>
      </c>
      <c r="D2" s="50">
        <v>-2.4570573499999999</v>
      </c>
      <c r="E2" s="50">
        <v>-0.94050758000000001</v>
      </c>
      <c r="F2" s="50">
        <v>-3.08135212</v>
      </c>
      <c r="G2" s="50">
        <v>-0.31621280000000002</v>
      </c>
      <c r="H2" s="50">
        <v>77.928354741999996</v>
      </c>
    </row>
    <row r="3" spans="1:8" ht="16" x14ac:dyDescent="0.2">
      <c r="A3" s="50" t="s">
        <v>65</v>
      </c>
      <c r="B3" s="50">
        <v>-1.7350827</v>
      </c>
      <c r="C3" s="50">
        <v>0.54296506</v>
      </c>
      <c r="D3" s="50">
        <v>-2.79927466</v>
      </c>
      <c r="E3" s="50">
        <v>-0.67089074000000004</v>
      </c>
      <c r="F3" s="50">
        <v>-5.4885881799999998</v>
      </c>
      <c r="G3" s="50">
        <v>2.0184228000000002</v>
      </c>
      <c r="H3" s="50">
        <v>96.975734251000006</v>
      </c>
    </row>
    <row r="4" spans="1:8" ht="16" x14ac:dyDescent="0.2">
      <c r="A4" s="50" t="s">
        <v>317</v>
      </c>
      <c r="B4" s="50">
        <v>-1.2813564</v>
      </c>
      <c r="C4" s="50">
        <v>0.26077674000000001</v>
      </c>
      <c r="D4" s="50">
        <v>-1.79246946</v>
      </c>
      <c r="E4" s="50">
        <v>-0.77024344</v>
      </c>
      <c r="F4" s="50">
        <v>-2.2193619299999998</v>
      </c>
      <c r="G4" s="50">
        <v>-0.34335100000000002</v>
      </c>
      <c r="H4" s="50">
        <v>61.957292815000002</v>
      </c>
    </row>
    <row r="5" spans="1:8" ht="16" x14ac:dyDescent="0.2">
      <c r="A5" s="50" t="s">
        <v>128</v>
      </c>
      <c r="B5" s="50">
        <v>-0.42060439999999999</v>
      </c>
      <c r="C5" s="50">
        <v>0.27086914000000001</v>
      </c>
      <c r="D5" s="50">
        <v>-0.95149815000000004</v>
      </c>
      <c r="E5" s="50">
        <v>0.11028938000000001</v>
      </c>
      <c r="F5" s="50">
        <v>-0.95149815000000004</v>
      </c>
      <c r="G5" s="50">
        <v>0.1102894</v>
      </c>
      <c r="H5" s="50">
        <v>0</v>
      </c>
    </row>
    <row r="6" spans="1:8" ht="16" x14ac:dyDescent="0.2">
      <c r="A6" s="50" t="s">
        <v>751</v>
      </c>
      <c r="B6" s="50">
        <v>-1.8897119</v>
      </c>
      <c r="C6" s="50">
        <v>0.98123674999999999</v>
      </c>
      <c r="D6" s="50">
        <v>-3.81290057</v>
      </c>
      <c r="E6" s="50">
        <v>3.3476829999999999E-2</v>
      </c>
      <c r="F6" s="50">
        <v>-5.1460569500000002</v>
      </c>
      <c r="G6" s="50">
        <v>1.3666332000000001</v>
      </c>
      <c r="H6" s="50">
        <v>93.303351953000004</v>
      </c>
    </row>
    <row r="7" spans="1:8" ht="16" x14ac:dyDescent="0.2">
      <c r="A7" s="50" t="s">
        <v>766</v>
      </c>
      <c r="B7" s="50">
        <v>0.56320599999999998</v>
      </c>
      <c r="C7" s="50">
        <v>0.27353357</v>
      </c>
      <c r="D7" s="50">
        <v>2.7090010000000001E-2</v>
      </c>
      <c r="E7" s="50">
        <v>1.0993218899999999</v>
      </c>
      <c r="F7" s="50">
        <v>2.7090010000000001E-2</v>
      </c>
      <c r="G7" s="50">
        <v>1.0993219000000001</v>
      </c>
      <c r="H7" s="50">
        <v>0</v>
      </c>
    </row>
    <row r="8" spans="1:8" ht="16" x14ac:dyDescent="0.2">
      <c r="A8" s="50" t="s">
        <v>147</v>
      </c>
      <c r="B8" s="50">
        <v>0.78170110000000004</v>
      </c>
      <c r="C8" s="50">
        <v>0.27766663000000003</v>
      </c>
      <c r="D8" s="50">
        <v>0.23748453</v>
      </c>
      <c r="E8" s="50">
        <v>1.32591774</v>
      </c>
      <c r="F8" s="50">
        <v>0.23748453</v>
      </c>
      <c r="G8" s="50">
        <v>1.3259177</v>
      </c>
      <c r="H8" s="50">
        <v>0</v>
      </c>
    </row>
    <row r="9" spans="1:8" ht="16" x14ac:dyDescent="0.2">
      <c r="A9" s="50" t="s">
        <v>477</v>
      </c>
      <c r="B9" s="50">
        <v>1.4577013000000001</v>
      </c>
      <c r="C9" s="50">
        <v>0.36822924000000001</v>
      </c>
      <c r="D9" s="50">
        <v>0.73598525000000004</v>
      </c>
      <c r="E9" s="50">
        <v>2.17941736</v>
      </c>
      <c r="F9" s="50">
        <v>-0.214284</v>
      </c>
      <c r="G9" s="50">
        <v>3.1296865999999999</v>
      </c>
      <c r="H9" s="50">
        <v>84.030010407999995</v>
      </c>
    </row>
    <row r="10" spans="1:8" ht="16" x14ac:dyDescent="0.2">
      <c r="A10" s="50" t="s">
        <v>656</v>
      </c>
      <c r="B10" s="50">
        <v>1.1465071</v>
      </c>
      <c r="C10" s="50">
        <v>0.43504293999999999</v>
      </c>
      <c r="D10" s="50">
        <v>0.29383860000000001</v>
      </c>
      <c r="E10" s="50">
        <v>1.99917558</v>
      </c>
      <c r="F10" s="50">
        <v>-0.26025902000000001</v>
      </c>
      <c r="G10" s="50">
        <v>2.5532732</v>
      </c>
      <c r="H10" s="50">
        <v>86.098223632</v>
      </c>
    </row>
    <row r="11" spans="1:8" ht="16" x14ac:dyDescent="0.2">
      <c r="A11" s="50" t="s">
        <v>188</v>
      </c>
      <c r="B11" s="50">
        <v>0.57060529999999998</v>
      </c>
      <c r="C11" s="50">
        <v>8.4850690000000006E-2</v>
      </c>
      <c r="D11" s="50">
        <v>0.40430102000000001</v>
      </c>
      <c r="E11" s="50">
        <v>0.73690959</v>
      </c>
      <c r="F11" s="50">
        <v>0.40427848</v>
      </c>
      <c r="G11" s="50">
        <v>0.73693209999999998</v>
      </c>
      <c r="H11" s="50">
        <v>4.4217049999999997E-3</v>
      </c>
    </row>
    <row r="12" spans="1:8" ht="16" x14ac:dyDescent="0.2">
      <c r="A12" s="50" t="s">
        <v>753</v>
      </c>
      <c r="B12" s="50">
        <v>-0.71835700000000002</v>
      </c>
      <c r="C12" s="50">
        <v>0.52459509999999998</v>
      </c>
      <c r="D12" s="50">
        <v>-1.7465444800000001</v>
      </c>
      <c r="E12" s="50">
        <v>0.30983051</v>
      </c>
      <c r="F12" s="50">
        <v>-2.4328923499999999</v>
      </c>
      <c r="G12" s="50">
        <v>0.99617840000000002</v>
      </c>
      <c r="H12" s="50">
        <v>88.977278131999995</v>
      </c>
    </row>
    <row r="13" spans="1:8" ht="16" x14ac:dyDescent="0.2">
      <c r="A13" s="50" t="s">
        <v>168</v>
      </c>
      <c r="B13" s="50">
        <v>1.5998123</v>
      </c>
      <c r="C13" s="50">
        <v>0.94819854999999997</v>
      </c>
      <c r="D13" s="50">
        <v>-0.25862276000000001</v>
      </c>
      <c r="E13" s="50">
        <v>3.4582472700000002</v>
      </c>
      <c r="F13" s="50">
        <v>-2.7111019500000002</v>
      </c>
      <c r="G13" s="50">
        <v>5.9107265</v>
      </c>
      <c r="H13" s="50">
        <v>97.071558619000001</v>
      </c>
    </row>
  </sheetData>
  <autoFilter ref="A1:H14" xr:uid="{202B9A43-D2DB-B544-80E9-22AD7611A98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Previous studies</vt:lpstr>
      <vt:lpstr>New studies</vt:lpstr>
      <vt:lpstr>Sheet3</vt:lpstr>
      <vt:lpstr>Combined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2022-12-15T04:11:54Z</dcterms:created>
  <dcterms:modified xsi:type="dcterms:W3CDTF">2022-12-23T07:22:27Z</dcterms:modified>
</cp:coreProperties>
</file>