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1"/>
  <workbookPr/>
  <mc:AlternateContent xmlns:mc="http://schemas.openxmlformats.org/markup-compatibility/2006">
    <mc:Choice Requires="x15">
      <x15ac:absPath xmlns:x15ac="http://schemas.microsoft.com/office/spreadsheetml/2010/11/ac" url="/Users/mbp16/Documents/Coding/HP407/"/>
    </mc:Choice>
  </mc:AlternateContent>
  <xr:revisionPtr revIDLastSave="0" documentId="13_ncr:1_{1BE61FE1-64A2-3D4F-A60D-9731159EBF5E}" xr6:coauthVersionLast="47" xr6:coauthVersionMax="47" xr10:uidLastSave="{00000000-0000-0000-0000-000000000000}"/>
  <bookViews>
    <workbookView xWindow="7920" yWindow="760" windowWidth="26640" windowHeight="21580" xr2:uid="{00000000-000D-0000-FFFF-FFFF00000000}"/>
  </bookViews>
  <sheets>
    <sheet name="Combined" sheetId="5" r:id="rId1"/>
  </sheets>
  <definedNames>
    <definedName name="_xlnm._FilterDatabase" localSheetId="0" hidden="1">Combined!$A$1:$BH$216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41" i="5" l="1"/>
  <c r="AX41" i="5" s="1"/>
  <c r="AW42" i="5"/>
  <c r="AX42" i="5" s="1"/>
  <c r="AW167" i="5"/>
  <c r="AX167" i="5" s="1"/>
  <c r="AW43" i="5"/>
  <c r="AX43" i="5" s="1"/>
  <c r="AW168" i="5"/>
  <c r="AX168" i="5" s="1"/>
  <c r="AW18" i="5"/>
  <c r="AX18" i="5" s="1"/>
  <c r="AW106" i="5"/>
  <c r="AX106" i="5" s="1"/>
  <c r="AW19" i="5"/>
  <c r="AX19" i="5" s="1"/>
  <c r="AW107" i="5"/>
  <c r="AX107" i="5" s="1"/>
  <c r="AW44" i="5"/>
  <c r="AX44" i="5" s="1"/>
  <c r="AW192" i="5"/>
  <c r="AX192" i="5" s="1"/>
  <c r="AW93" i="5"/>
  <c r="AX93" i="5" s="1"/>
  <c r="AW94" i="5"/>
  <c r="AX94" i="5" s="1"/>
  <c r="AW95" i="5"/>
  <c r="AX95" i="5" s="1"/>
  <c r="AW96" i="5"/>
  <c r="AX96" i="5" s="1"/>
  <c r="AW97" i="5"/>
  <c r="AX97" i="5" s="1"/>
  <c r="AW98" i="5"/>
  <c r="AX98" i="5" s="1"/>
  <c r="AW99" i="5"/>
  <c r="AX99" i="5" s="1"/>
  <c r="AW100" i="5"/>
  <c r="AX100" i="5" s="1"/>
  <c r="AW101" i="5"/>
  <c r="AX101" i="5" s="1"/>
  <c r="AW128" i="5"/>
  <c r="AX128" i="5" s="1"/>
  <c r="AW129" i="5"/>
  <c r="AX129" i="5" s="1"/>
  <c r="AW130" i="5"/>
  <c r="AX130" i="5" s="1"/>
  <c r="AW131" i="5"/>
  <c r="AX131" i="5" s="1"/>
  <c r="AW132" i="5"/>
  <c r="AX132" i="5" s="1"/>
  <c r="AW39" i="5"/>
  <c r="AX39" i="5" s="1"/>
  <c r="AW164" i="5"/>
  <c r="AX164" i="5" s="1"/>
  <c r="AW40" i="5"/>
  <c r="AX40" i="5" s="1"/>
  <c r="AW165" i="5"/>
  <c r="AX165" i="5" s="1"/>
  <c r="AW45" i="5"/>
  <c r="AX45" i="5" s="1"/>
  <c r="AW177" i="5"/>
  <c r="AX177" i="5" s="1"/>
  <c r="AW46" i="5"/>
  <c r="AX46" i="5" s="1"/>
  <c r="AW178" i="5"/>
  <c r="AX178" i="5" s="1"/>
  <c r="AW189" i="5"/>
  <c r="AX189" i="5" s="1"/>
  <c r="AW13" i="5"/>
  <c r="AX13" i="5" s="1"/>
  <c r="AW190" i="5"/>
  <c r="AX190" i="5" s="1"/>
  <c r="AW14" i="5"/>
  <c r="AX14" i="5" s="1"/>
  <c r="AW191" i="5"/>
  <c r="AX191" i="5" s="1"/>
  <c r="AW15" i="5"/>
  <c r="AX15" i="5" s="1"/>
  <c r="AW200" i="5"/>
  <c r="AX200" i="5" s="1"/>
  <c r="AW201" i="5"/>
  <c r="AX201" i="5" s="1"/>
  <c r="AW202" i="5"/>
  <c r="AX202" i="5" s="1"/>
  <c r="AW203" i="5"/>
  <c r="AX203" i="5" s="1"/>
  <c r="AW204" i="5"/>
  <c r="AX204" i="5" s="1"/>
  <c r="AW205" i="5"/>
  <c r="AX205" i="5" s="1"/>
  <c r="AW206" i="5"/>
  <c r="AX206" i="5" s="1"/>
  <c r="AW207" i="5"/>
  <c r="AX207" i="5" s="1"/>
  <c r="AW104" i="5"/>
  <c r="AX104" i="5" s="1"/>
  <c r="AW16" i="5"/>
  <c r="AX16" i="5" s="1"/>
  <c r="AW105" i="5"/>
  <c r="AX105" i="5" s="1"/>
  <c r="AW17" i="5"/>
  <c r="AX17" i="5" s="1"/>
  <c r="AW181" i="5"/>
  <c r="AX181" i="5" s="1"/>
  <c r="AW210" i="5"/>
  <c r="AX210" i="5" s="1"/>
  <c r="AW182" i="5"/>
  <c r="AX182" i="5" s="1"/>
  <c r="AW211" i="5"/>
  <c r="AX211" i="5" s="1"/>
  <c r="AW183" i="5"/>
  <c r="AX183" i="5" s="1"/>
  <c r="AW212" i="5"/>
  <c r="AX212" i="5" s="1"/>
  <c r="AW184" i="5"/>
  <c r="AX184" i="5" s="1"/>
  <c r="AW213" i="5"/>
  <c r="AX213" i="5" s="1"/>
  <c r="AW185" i="5"/>
  <c r="AX185" i="5" s="1"/>
  <c r="AW214" i="5"/>
  <c r="AX214" i="5" s="1"/>
  <c r="AW186" i="5"/>
  <c r="AX186" i="5" s="1"/>
  <c r="AW215" i="5"/>
  <c r="AX215" i="5" s="1"/>
  <c r="AW187" i="5"/>
  <c r="AX187" i="5" s="1"/>
  <c r="AW216" i="5"/>
  <c r="AX216" i="5" s="1"/>
  <c r="AW112" i="5"/>
  <c r="AX112" i="5" s="1"/>
  <c r="AW24" i="5"/>
  <c r="AX24" i="5" s="1"/>
  <c r="AW113" i="5"/>
  <c r="AX113" i="5" s="1"/>
  <c r="AW25" i="5"/>
  <c r="AX25" i="5" s="1"/>
  <c r="AW114" i="5"/>
  <c r="AX114" i="5" s="1"/>
  <c r="AW26" i="5"/>
  <c r="AX26" i="5" s="1"/>
  <c r="AW115" i="5"/>
  <c r="AX115" i="5" s="1"/>
  <c r="AW27" i="5"/>
  <c r="AX27" i="5" s="1"/>
  <c r="AW116" i="5"/>
  <c r="AX116" i="5" s="1"/>
  <c r="AW28" i="5"/>
  <c r="AX28" i="5" s="1"/>
  <c r="AW117" i="5"/>
  <c r="AX117" i="5" s="1"/>
  <c r="AW29" i="5"/>
  <c r="AX29" i="5" s="1"/>
  <c r="AW118" i="5"/>
  <c r="AX118" i="5" s="1"/>
  <c r="AW30" i="5"/>
  <c r="AX30" i="5" s="1"/>
  <c r="AW119" i="5"/>
  <c r="AX119" i="5" s="1"/>
  <c r="AW31" i="5"/>
  <c r="AX31" i="5" s="1"/>
  <c r="AW120" i="5"/>
  <c r="AX120" i="5" s="1"/>
  <c r="AW32" i="5"/>
  <c r="AX32" i="5" s="1"/>
  <c r="AW121" i="5"/>
  <c r="AX121" i="5" s="1"/>
  <c r="AW33" i="5"/>
  <c r="AX33" i="5" s="1"/>
  <c r="AW122" i="5"/>
  <c r="AX122" i="5" s="1"/>
  <c r="AW195" i="5"/>
  <c r="AX195" i="5" s="1"/>
  <c r="AW123" i="5"/>
  <c r="AX123" i="5" s="1"/>
  <c r="AW196" i="5"/>
  <c r="AX196" i="5" s="1"/>
  <c r="AW124" i="5"/>
  <c r="AX124" i="5" s="1"/>
  <c r="AW197" i="5"/>
  <c r="AX197" i="5" s="1"/>
  <c r="AW208" i="5"/>
  <c r="AX208" i="5" s="1"/>
  <c r="AW179" i="5"/>
  <c r="AX179" i="5" s="1"/>
  <c r="AW209" i="5"/>
  <c r="AX209" i="5" s="1"/>
  <c r="AW180" i="5"/>
  <c r="AX180" i="5" s="1"/>
  <c r="AW153" i="5"/>
  <c r="AX153" i="5" s="1"/>
  <c r="AW152" i="5"/>
  <c r="AX152" i="5" s="1"/>
  <c r="AW155" i="5"/>
  <c r="AX155" i="5" s="1"/>
  <c r="AW154" i="5"/>
  <c r="AX154" i="5" s="1"/>
  <c r="AW151" i="5"/>
  <c r="AX151" i="5" s="1"/>
  <c r="AW150" i="5"/>
  <c r="AX150" i="5" s="1"/>
  <c r="AW156" i="5"/>
  <c r="AX156" i="5" s="1"/>
  <c r="AW157" i="5"/>
  <c r="AX157" i="5" s="1"/>
  <c r="AW158" i="5"/>
  <c r="AX158" i="5" s="1"/>
  <c r="AW159" i="5"/>
  <c r="AX159" i="5" s="1"/>
  <c r="AW160" i="5"/>
  <c r="AX160" i="5" s="1"/>
  <c r="AW161" i="5"/>
  <c r="AX161" i="5" s="1"/>
  <c r="AW162" i="5"/>
  <c r="AX162" i="5" s="1"/>
  <c r="AW163" i="5"/>
  <c r="AX163" i="5" s="1"/>
  <c r="AW20" i="5"/>
  <c r="AX20" i="5" s="1"/>
  <c r="AW21" i="5"/>
  <c r="AX21" i="5" s="1"/>
  <c r="AW22" i="5"/>
  <c r="AX22" i="5" s="1"/>
  <c r="AW23" i="5"/>
  <c r="AX23" i="5" s="1"/>
  <c r="AW5" i="5"/>
  <c r="AX5" i="5" s="1"/>
  <c r="AW7" i="5"/>
  <c r="AX7" i="5" s="1"/>
  <c r="AW9" i="5"/>
  <c r="AX9" i="5" s="1"/>
  <c r="AW11" i="5"/>
  <c r="AX11" i="5" s="1"/>
  <c r="AW34" i="5"/>
  <c r="AX34" i="5" s="1"/>
  <c r="AW35" i="5"/>
  <c r="AX35" i="5" s="1"/>
  <c r="AW36" i="5"/>
  <c r="AX36" i="5" s="1"/>
  <c r="AW37" i="5"/>
  <c r="AX37" i="5" s="1"/>
  <c r="AW38" i="5"/>
  <c r="AX38" i="5" s="1"/>
  <c r="AW108" i="5"/>
  <c r="AX108" i="5" s="1"/>
  <c r="AW109" i="5"/>
  <c r="AX109" i="5" s="1"/>
  <c r="AW110" i="5"/>
  <c r="AX110" i="5" s="1"/>
  <c r="AW111" i="5"/>
  <c r="AX111" i="5" s="1"/>
  <c r="AW149" i="5"/>
  <c r="AX149" i="5" s="1"/>
  <c r="AW55" i="5"/>
  <c r="AX55" i="5" s="1"/>
  <c r="AW56" i="5"/>
  <c r="AX56" i="5" s="1"/>
  <c r="AW57" i="5"/>
  <c r="AX57" i="5" s="1"/>
  <c r="AW58" i="5"/>
  <c r="AX58" i="5" s="1"/>
  <c r="AW59" i="5"/>
  <c r="AX59" i="5" s="1"/>
  <c r="AW60" i="5"/>
  <c r="AX60" i="5" s="1"/>
  <c r="AW61" i="5"/>
  <c r="AX61" i="5" s="1"/>
  <c r="AW62" i="5"/>
  <c r="AX62" i="5" s="1"/>
  <c r="AW63" i="5"/>
  <c r="AX63" i="5" s="1"/>
  <c r="AW125" i="5"/>
  <c r="AX125" i="5" s="1"/>
  <c r="AW2" i="5"/>
  <c r="AX2" i="5" s="1"/>
  <c r="AW126" i="5"/>
  <c r="AX126" i="5" s="1"/>
  <c r="AW3" i="5"/>
  <c r="AX3" i="5" s="1"/>
  <c r="AW127" i="5"/>
  <c r="AX127" i="5" s="1"/>
  <c r="AW4" i="5"/>
  <c r="AX4" i="5" s="1"/>
  <c r="AW75" i="5"/>
  <c r="AX75" i="5" s="1"/>
  <c r="AW74" i="5"/>
  <c r="AX74" i="5" s="1"/>
  <c r="AW77" i="5"/>
  <c r="AX77" i="5" s="1"/>
  <c r="AW76" i="5"/>
  <c r="AX76" i="5" s="1"/>
  <c r="AW73" i="5"/>
  <c r="AX73" i="5" s="1"/>
  <c r="AW72" i="5"/>
  <c r="AX72" i="5" s="1"/>
  <c r="AW49" i="5"/>
  <c r="AX49" i="5" s="1"/>
  <c r="AW170" i="5"/>
  <c r="AX170" i="5" s="1"/>
  <c r="AW171" i="5"/>
  <c r="AX171" i="5" s="1"/>
  <c r="AW172" i="5"/>
  <c r="AX172" i="5" s="1"/>
  <c r="AW173" i="5"/>
  <c r="AX173" i="5" s="1"/>
  <c r="AW174" i="5"/>
  <c r="AX174" i="5" s="1"/>
  <c r="AW175" i="5"/>
  <c r="AX175" i="5" s="1"/>
  <c r="AW176" i="5"/>
  <c r="AX176" i="5" s="1"/>
  <c r="AW66" i="5"/>
  <c r="AX66" i="5" s="1"/>
  <c r="AW67" i="5"/>
  <c r="AX67" i="5" s="1"/>
  <c r="AW68" i="5"/>
  <c r="AX68" i="5" s="1"/>
  <c r="AW133" i="5"/>
  <c r="AX133" i="5" s="1"/>
  <c r="AW134" i="5"/>
  <c r="AX134" i="5" s="1"/>
  <c r="AW135" i="5"/>
  <c r="AX135" i="5" s="1"/>
  <c r="AW69" i="5"/>
  <c r="AX69" i="5" s="1"/>
  <c r="AW70" i="5"/>
  <c r="AX70" i="5" s="1"/>
  <c r="AW71" i="5"/>
  <c r="AX71" i="5" s="1"/>
  <c r="AW136" i="5"/>
  <c r="AX136" i="5" s="1"/>
  <c r="AW137" i="5"/>
  <c r="AX137" i="5" s="1"/>
  <c r="AW138" i="5"/>
  <c r="AX138" i="5" s="1"/>
  <c r="AW188" i="5"/>
  <c r="AX188" i="5" s="1"/>
  <c r="AW47" i="5"/>
  <c r="AX47" i="5" s="1"/>
  <c r="AW48" i="5"/>
  <c r="AX48" i="5" s="1"/>
  <c r="AW79" i="5"/>
  <c r="AX79" i="5" s="1"/>
  <c r="AW80" i="5"/>
  <c r="AX80" i="5" s="1"/>
  <c r="AW81" i="5"/>
  <c r="AX81" i="5" s="1"/>
  <c r="AW82" i="5"/>
  <c r="AX82" i="5" s="1"/>
  <c r="AW83" i="5"/>
  <c r="AX83" i="5" s="1"/>
  <c r="AW84" i="5"/>
  <c r="AX84" i="5" s="1"/>
  <c r="AW85" i="5"/>
  <c r="AX85" i="5" s="1"/>
  <c r="AW102" i="5"/>
  <c r="AX102" i="5" s="1"/>
  <c r="AW103" i="5"/>
  <c r="AX103" i="5" s="1"/>
  <c r="AW169" i="5"/>
  <c r="AX169" i="5" s="1"/>
  <c r="AW6" i="5"/>
  <c r="AX6" i="5" s="1"/>
  <c r="AW8" i="5"/>
  <c r="AX8" i="5" s="1"/>
  <c r="AW10" i="5"/>
  <c r="AX10" i="5" s="1"/>
  <c r="AW12" i="5"/>
  <c r="AX12" i="5" s="1"/>
  <c r="AW198" i="5"/>
  <c r="AX198" i="5" s="1"/>
  <c r="AW139" i="5"/>
  <c r="AX139" i="5" s="1"/>
  <c r="AW199" i="5"/>
  <c r="AX199" i="5" s="1"/>
  <c r="AW140" i="5"/>
  <c r="AX140" i="5" s="1"/>
  <c r="AW64" i="5"/>
  <c r="AX64" i="5" s="1"/>
  <c r="AW65" i="5"/>
  <c r="AX65" i="5" s="1"/>
  <c r="AW50" i="5"/>
  <c r="AX50" i="5" s="1"/>
  <c r="AW51" i="5"/>
  <c r="AX51" i="5" s="1"/>
  <c r="AW52" i="5"/>
  <c r="AX52" i="5" s="1"/>
  <c r="AW53" i="5"/>
  <c r="AX53" i="5" s="1"/>
  <c r="AW54" i="5"/>
  <c r="AX54" i="5" s="1"/>
  <c r="AW141" i="5"/>
  <c r="AX141" i="5" s="1"/>
  <c r="AW143" i="5"/>
  <c r="AX143" i="5" s="1"/>
  <c r="AW145" i="5"/>
  <c r="AX145" i="5" s="1"/>
  <c r="AW147" i="5"/>
  <c r="AX147" i="5" s="1"/>
  <c r="AW78" i="5"/>
  <c r="AX78" i="5" s="1"/>
  <c r="AW86" i="5"/>
  <c r="AX86" i="5" s="1"/>
  <c r="AW87" i="5"/>
  <c r="AX87" i="5" s="1"/>
  <c r="AW88" i="5"/>
  <c r="AX88" i="5" s="1"/>
  <c r="AW89" i="5"/>
  <c r="AX89" i="5" s="1"/>
  <c r="AW90" i="5"/>
  <c r="AX90" i="5" s="1"/>
  <c r="AW142" i="5"/>
  <c r="AX142" i="5" s="1"/>
  <c r="AW144" i="5"/>
  <c r="AX144" i="5" s="1"/>
  <c r="AW146" i="5"/>
  <c r="AX146" i="5" s="1"/>
  <c r="AW148" i="5"/>
  <c r="AX148" i="5" s="1"/>
  <c r="AW91" i="5"/>
  <c r="AX91" i="5" s="1"/>
  <c r="AW193" i="5"/>
  <c r="AX193" i="5" s="1"/>
  <c r="AW92" i="5"/>
  <c r="AX92" i="5" s="1"/>
  <c r="AW194" i="5"/>
  <c r="AX194" i="5" s="1"/>
  <c r="AW166" i="5"/>
  <c r="AX166" i="5" s="1"/>
  <c r="BH33" i="5"/>
  <c r="BH121" i="5"/>
  <c r="BH32" i="5"/>
  <c r="BH120" i="5"/>
  <c r="BH31" i="5"/>
  <c r="BH119" i="5"/>
  <c r="BH30" i="5"/>
  <c r="BH118" i="5"/>
  <c r="BH29" i="5"/>
  <c r="BH117" i="5"/>
  <c r="BH28" i="5"/>
  <c r="BH116" i="5"/>
  <c r="BH27" i="5"/>
  <c r="BH115" i="5"/>
  <c r="BH25" i="5"/>
  <c r="BH113" i="5"/>
  <c r="BH26" i="5"/>
  <c r="BH114" i="5"/>
  <c r="BH178" i="5"/>
  <c r="BH46" i="5"/>
  <c r="BH168" i="5"/>
  <c r="BH43" i="5"/>
  <c r="BH165" i="5"/>
  <c r="BH40" i="5"/>
  <c r="BH205" i="5"/>
  <c r="BH161" i="5"/>
  <c r="BH207" i="5"/>
  <c r="BH163" i="5"/>
  <c r="BH206" i="5"/>
  <c r="BH162" i="5"/>
  <c r="BH204" i="5"/>
  <c r="BH160" i="5"/>
  <c r="BH203" i="5"/>
  <c r="BH159" i="5"/>
  <c r="BH201" i="5"/>
  <c r="BH157" i="5"/>
  <c r="BF150" i="5"/>
  <c r="BH150" i="5" s="1"/>
  <c r="BF72" i="5"/>
  <c r="BH72" i="5" s="1"/>
  <c r="BH151" i="5"/>
  <c r="BH73" i="5"/>
  <c r="BF154" i="5"/>
  <c r="BH154" i="5" s="1"/>
  <c r="BF76" i="5"/>
  <c r="BH76" i="5" s="1"/>
  <c r="BH155" i="5"/>
  <c r="BH77" i="5"/>
  <c r="BH12" i="5"/>
  <c r="BH148" i="5"/>
  <c r="BH11" i="5"/>
  <c r="BH147" i="5"/>
  <c r="BH10" i="5"/>
  <c r="BH146" i="5"/>
  <c r="BH9" i="5"/>
  <c r="BH145" i="5"/>
  <c r="BH8" i="5"/>
  <c r="BH144" i="5"/>
  <c r="BH7" i="5"/>
  <c r="BH143" i="5"/>
  <c r="BH216" i="5"/>
  <c r="BH187" i="5"/>
  <c r="BH215" i="5"/>
  <c r="BH186" i="5"/>
  <c r="BH214" i="5"/>
  <c r="BH185" i="5"/>
  <c r="BH213" i="5"/>
  <c r="BH184" i="5"/>
  <c r="BH212" i="5"/>
  <c r="BH183" i="5"/>
  <c r="BH211" i="5"/>
  <c r="BH182" i="5"/>
  <c r="BH38" i="5"/>
  <c r="BH132" i="5"/>
  <c r="BH37" i="5"/>
  <c r="BH131" i="5"/>
  <c r="BH36" i="5"/>
  <c r="BH130" i="5"/>
  <c r="BH35" i="5"/>
  <c r="BH129" i="5"/>
  <c r="BH90" i="5"/>
  <c r="BH54" i="5"/>
  <c r="BA54" i="5"/>
  <c r="BH89" i="5"/>
  <c r="BH53" i="5"/>
  <c r="BA53" i="5"/>
  <c r="BA52" i="5"/>
  <c r="BH88" i="5"/>
  <c r="BH52" i="5"/>
  <c r="BA51" i="5"/>
  <c r="BH87" i="5"/>
  <c r="BH51" i="5"/>
  <c r="BH86" i="5"/>
  <c r="BH122" i="5"/>
  <c r="BH195" i="5"/>
  <c r="BH123" i="5"/>
  <c r="BH196" i="5"/>
  <c r="BH124" i="5"/>
  <c r="BH197" i="5"/>
  <c r="BH125" i="5"/>
  <c r="BH2" i="5"/>
  <c r="BH126" i="5"/>
  <c r="BH3" i="5"/>
  <c r="BH127" i="5"/>
  <c r="BH4" i="5"/>
  <c r="BH91" i="5"/>
  <c r="BH193" i="5"/>
  <c r="BH92" i="5"/>
  <c r="BH194" i="5"/>
  <c r="BH55" i="5"/>
  <c r="BH93" i="5"/>
  <c r="BH56" i="5"/>
  <c r="BH94" i="5"/>
  <c r="BH57" i="5"/>
  <c r="BH95" i="5"/>
  <c r="BH62" i="5"/>
  <c r="BH59" i="5"/>
  <c r="BH100" i="5"/>
  <c r="BH97" i="5"/>
  <c r="BH58" i="5"/>
  <c r="BH96" i="5"/>
  <c r="BH60" i="5"/>
  <c r="BH98" i="5"/>
  <c r="BH61" i="5"/>
  <c r="BH99" i="5"/>
  <c r="BH63" i="5"/>
  <c r="BH101" i="5"/>
  <c r="BH102" i="5"/>
  <c r="BH64" i="5"/>
  <c r="BH103" i="5"/>
  <c r="BH65" i="5"/>
  <c r="BH128" i="5"/>
  <c r="BH34" i="5"/>
  <c r="BH104" i="5"/>
  <c r="BH16" i="5"/>
  <c r="BH105" i="5"/>
  <c r="BH17" i="5"/>
  <c r="BH181" i="5"/>
  <c r="BH210" i="5"/>
  <c r="BH49" i="5"/>
  <c r="BH47" i="5"/>
  <c r="BH188" i="5"/>
  <c r="BH189" i="5"/>
  <c r="BH13" i="5"/>
  <c r="BH190" i="5"/>
  <c r="BH14" i="5"/>
  <c r="BH191" i="5"/>
  <c r="BH15" i="5"/>
  <c r="BH68" i="5"/>
  <c r="BH66" i="5"/>
  <c r="BH135" i="5"/>
  <c r="BH133" i="5"/>
  <c r="BH137" i="5"/>
  <c r="BH136" i="5"/>
  <c r="BH70" i="5"/>
  <c r="BH69" i="5"/>
  <c r="BH199" i="5"/>
  <c r="BH198" i="5"/>
  <c r="BH140" i="5"/>
  <c r="BH139" i="5"/>
  <c r="BH142" i="5"/>
  <c r="BH141" i="5"/>
  <c r="BH6" i="5"/>
  <c r="BH5" i="5"/>
  <c r="BH48" i="5"/>
  <c r="BH149" i="5"/>
  <c r="BH75" i="5"/>
  <c r="BH153" i="5"/>
  <c r="BH156" i="5"/>
  <c r="BH200" i="5"/>
  <c r="BH158" i="5"/>
  <c r="BH202" i="5"/>
  <c r="BH39" i="5"/>
  <c r="BH164" i="5"/>
  <c r="BH166" i="5"/>
  <c r="BH41" i="5"/>
  <c r="BH42" i="5"/>
  <c r="BH167" i="5"/>
  <c r="BH79" i="5"/>
  <c r="BH170" i="5"/>
  <c r="BH80" i="5"/>
  <c r="BH171" i="5"/>
  <c r="BH81" i="5"/>
  <c r="BH172" i="5"/>
  <c r="BH82" i="5"/>
  <c r="BH173" i="5"/>
  <c r="BH83" i="5"/>
  <c r="BH174" i="5"/>
  <c r="BH84" i="5"/>
  <c r="BH175" i="5"/>
  <c r="BH85" i="5"/>
  <c r="BH176" i="5"/>
  <c r="BH78" i="5"/>
  <c r="BH169" i="5"/>
  <c r="BH18" i="5"/>
  <c r="BH106" i="5"/>
  <c r="BH19" i="5"/>
  <c r="BH107" i="5"/>
  <c r="BH45" i="5"/>
  <c r="BH177" i="5"/>
  <c r="BH108" i="5"/>
  <c r="BH110" i="5"/>
  <c r="BH20" i="5"/>
  <c r="BH22" i="5"/>
  <c r="BH109" i="5"/>
  <c r="BH111" i="5"/>
  <c r="BH21" i="5"/>
  <c r="BH23" i="5"/>
  <c r="BH112" i="5"/>
  <c r="BH24" i="5"/>
  <c r="BH208" i="5"/>
  <c r="BH209" i="5"/>
  <c r="BH179" i="5"/>
  <c r="BH180" i="5"/>
  <c r="BH44" i="5"/>
  <c r="BH192" i="5"/>
  <c r="BH50" i="5"/>
  <c r="BA50" i="5"/>
  <c r="BA63" i="5"/>
  <c r="BA55" i="5"/>
  <c r="BA61" i="5"/>
  <c r="BA58" i="5"/>
  <c r="BA60" i="5"/>
  <c r="BA57" i="5"/>
  <c r="BA59" i="5"/>
  <c r="BA62" i="5"/>
  <c r="BA56" i="5"/>
  <c r="AY50" i="5"/>
  <c r="BA194" i="5"/>
  <c r="AV194" i="5"/>
  <c r="BA193" i="5"/>
  <c r="AV193" i="5"/>
  <c r="BA92" i="5"/>
  <c r="AV92" i="5"/>
  <c r="BA91" i="5"/>
  <c r="AV91" i="5"/>
  <c r="BF74" i="5"/>
  <c r="BH74" i="5" s="1"/>
  <c r="BF152" i="5"/>
  <c r="BH152" i="5" s="1"/>
  <c r="BF138" i="5"/>
  <c r="BH138" i="5" s="1"/>
  <c r="BF71" i="5"/>
  <c r="BH71" i="5" s="1"/>
  <c r="BF134" i="5"/>
  <c r="BH134" i="5" s="1"/>
  <c r="BF67" i="5"/>
  <c r="BH67" i="5" s="1"/>
</calcChain>
</file>

<file path=xl/sharedStrings.xml><?xml version="1.0" encoding="utf-8"?>
<sst xmlns="http://schemas.openxmlformats.org/spreadsheetml/2006/main" count="8323" uniqueCount="508">
  <si>
    <t>Study.Identifier</t>
  </si>
  <si>
    <t>Year</t>
  </si>
  <si>
    <t>Intervention</t>
  </si>
  <si>
    <t>Intervention.types</t>
  </si>
  <si>
    <t>Intervention.subgroups</t>
  </si>
  <si>
    <t>Country</t>
  </si>
  <si>
    <t>Setting</t>
  </si>
  <si>
    <t>Types.of.disease_clean</t>
  </si>
  <si>
    <t>Type.of.disease.in.two.categories.(dementia.and.MCI)</t>
  </si>
  <si>
    <t>Updated.Dementia.Severity</t>
  </si>
  <si>
    <t>Is.this.a.study.focusing.on.carers.of.people.living.with.dementia.or.mild.cognitive.impairment?</t>
  </si>
  <si>
    <t>Domain.1</t>
  </si>
  <si>
    <t>Domain.2</t>
  </si>
  <si>
    <t>Domain.3</t>
  </si>
  <si>
    <t>Domain.4</t>
  </si>
  <si>
    <t>Domain.5</t>
  </si>
  <si>
    <t>Overall</t>
  </si>
  <si>
    <t>Baseline.Female.(percent)</t>
  </si>
  <si>
    <t>Baseline.For.studies.in.carers.only:.Caregiver.age.in.years.(mean)</t>
  </si>
  <si>
    <t>Baseline.For.studies.in.carers.only:.Caregiver.female.(percent)</t>
  </si>
  <si>
    <t>Intervention.Brief.description.of.intervention</t>
  </si>
  <si>
    <t>Intervention.Intervention.details</t>
  </si>
  <si>
    <t>Intervention.Interv..type.[SELECT:.Pharmaceutical;.Traditional.Chinese.Medicine;.Other.trad..medicines;.Non-pharmacol.;.Multicomponent.(record.each.component);.Interv..for.carers;.End.of.life.care;.Treatment/prevention.of.co-morbidities;.Technology;.Diagn</t>
  </si>
  <si>
    <t>Effect.measure</t>
  </si>
  <si>
    <t>Measurement.method</t>
  </si>
  <si>
    <t>Measurement.type</t>
  </si>
  <si>
    <t>Pre_mean</t>
  </si>
  <si>
    <t>Pre_N</t>
  </si>
  <si>
    <t>Pre_SD</t>
  </si>
  <si>
    <t>Post_mean</t>
  </si>
  <si>
    <t>Post_N</t>
  </si>
  <si>
    <t>Post_SD</t>
  </si>
  <si>
    <t>95CI_lower</t>
  </si>
  <si>
    <t>95CI_upper</t>
  </si>
  <si>
    <t>Duration</t>
  </si>
  <si>
    <t>Support for carers</t>
  </si>
  <si>
    <t>Group support and therapy</t>
  </si>
  <si>
    <t>Alzheimer's Disease</t>
  </si>
  <si>
    <t>Dementia</t>
  </si>
  <si>
    <t>Moderate to severe</t>
  </si>
  <si>
    <t>Yes</t>
  </si>
  <si>
    <t>high risk</t>
  </si>
  <si>
    <t>some concerns</t>
  </si>
  <si>
    <t>Intervention for carers</t>
  </si>
  <si>
    <t>Caregiver burden</t>
  </si>
  <si>
    <t>ZBI</t>
  </si>
  <si>
    <t>Raw</t>
  </si>
  <si>
    <t>8 weeks</t>
  </si>
  <si>
    <t>Information, education, and training to support carers</t>
  </si>
  <si>
    <t>Amit 2008</t>
  </si>
  <si>
    <t>Control</t>
  </si>
  <si>
    <t>No intervention</t>
  </si>
  <si>
    <t>India</t>
  </si>
  <si>
    <t>Caregivers of people living with dementia were recruited from the community. “The study was conducted in Goa, on the west coast of India. Goa is in an advanced stage of the epidemiological and demographic transition in the country, with some of the best health indicators [7] and a rising proportion of older people; the 2001 Census reported that 8.3% of the total population was aged over 60 years[8]. The consensus figure for prevalence of dementia in India is 1.9% above the age of 60 years [3]The present trial was carried out in two of the largest administrative blocks (talukas) in the state - Bardez and Tiswadi with a population of approximately 340,000.”</t>
  </si>
  <si>
    <t>Dementia (general/unspecified)</t>
  </si>
  <si>
    <t>Mild to moderate</t>
  </si>
  <si>
    <t>low risk</t>
  </si>
  <si>
    <t>Education and information (wait list for intervention)</t>
  </si>
  <si>
    <t>“The control arm dyads received only education and information regarding dementia and were then placed in a waiting list to receive the intervention after 6 months. They were free to utilize the existing health services during this time.”</t>
  </si>
  <si>
    <t>N/A</t>
  </si>
  <si>
    <t>SMD</t>
  </si>
  <si>
    <t>6 months</t>
  </si>
  <si>
    <t>Home care program</t>
  </si>
  <si>
    <t>Training and education for carers</t>
  </si>
  <si>
    <t>Training and education for unpaid carers</t>
  </si>
  <si>
    <t>Flexible home-care program tailored to needs of the individual with dementia and their family, delivered by a team of home care advisors, specialist doctor, and counsellor, over 6 months.</t>
  </si>
  <si>
    <t>“The intervention was delivered by a Community Team, one for each taluka. Each team comprised two full-time Home Care Advisors (HCA), and a part-time local psychiatrist from the public health services, and a part-time lay counselor (who was shared by both teams). The minimum requirements for being a HCA were knowledge of the local language, being literate, preferably passed higher secondary school, and motivated to be involved in the community care of older people. They received intensive training for a week through role play and interactive training methods. The HCA were trained in key skills including listening and counselling skills, bereavement counseling, stress management and health advice for common health problems. The specific components of the intervention carried out by the HCA were: Basic education about dementia (what is the disease, its course, its features etc); Education about common behaviour problems and how they can be managed; Support to the caregiver, for example for an elderly caregiver living alone with the patient, in activities of daily living; Referral to psychiatrists or the family doctor when behaviour problems are severe and warrant medication intervention; Networking of families to enable the formation of support groups; Advice regarding existing government schemes for elders. The HCA applied a flexible home-care program tailored to the needs of the individual and the family. The baseline information collected by the researchers was made available to the HCA before they initiated the intervention. The minimum frequency of visits was at least once a fortnight for six months. The maximum was based on the needs as assessed by the HCA. Thus, the visits could be more frequent depending on the need of that particular family.”</t>
  </si>
  <si>
    <t>Guerra 2011</t>
  </si>
  <si>
    <t>Intervention group</t>
  </si>
  <si>
    <t>Peru</t>
  </si>
  <si>
    <t>Any severity stage</t>
  </si>
  <si>
    <t>10/66 caregiver intervention consisting of education and training in 5 weekly 30-minute sessions</t>
  </si>
  <si>
    <t>"The 10/66 intervention targets the main caregiver, but it also includes members of the immediate and extended family. The aim is to provide basic education about dementia and specific training on managing problem behaviors. The three simple, manualised modules are delivered over five weekly sessions with 30 minutes each. Module 1 - Assessment (one session): a) Cognitive and functional impairments; b) Caregiver’s knowledge and understanding of dementia; andc) Care arrangements (Who are the family members? Who lives with the person with dementia? How do they assist the main caregiver? Which behavioral problems present most difficulties? How burdened do they feel?). Module 2 - Basic education (two sessions): a) General introduction to the illness; b) What to expect in the future; c) What causes and what does not cause dementia?; and d) Locally available care and treatment. Module 3 - Training on problem behaviors (two sessions):Up to eight problem behaviors identified in the assessment are addressed (personal hygiene, dressing, incontinence, repeated questioning, clinging, aggression, wandering, and apathy)"</t>
  </si>
  <si>
    <t>Caregiver distress</t>
  </si>
  <si>
    <t>Waiting list control group</t>
  </si>
  <si>
    <t>Waiting list</t>
  </si>
  <si>
    <t>" caregivers of people with dementia that received the intervention six months later"</t>
  </si>
  <si>
    <t>Caregiver environmental quality of life</t>
  </si>
  <si>
    <t>WHO-QoL-Bref</t>
  </si>
  <si>
    <t>Caregiver physical quality of life</t>
  </si>
  <si>
    <t>SRQ-20</t>
  </si>
  <si>
    <t>NPI-Q severity</t>
  </si>
  <si>
    <t>Patient quality of life</t>
  </si>
  <si>
    <t>DEMQOL</t>
  </si>
  <si>
    <t>JIANG 2012</t>
  </si>
  <si>
    <t>对照组</t>
  </si>
  <si>
    <t>China</t>
  </si>
  <si>
    <t xml:space="preserve">Hospital </t>
  </si>
  <si>
    <t>No</t>
  </si>
  <si>
    <t>MMSE</t>
  </si>
  <si>
    <t>Conventional therapy with Piracetam and Donepezil</t>
  </si>
  <si>
    <t>"按医嘱进行脑复康，多奈哌齐 等药物治疗，康复护理干预期间药物剂量不变。 "</t>
  </si>
  <si>
    <t>Multicomponent (Conventional therapy + Pharmaceutical)</t>
  </si>
  <si>
    <t>Patient cognitive function</t>
  </si>
  <si>
    <t>12 months</t>
  </si>
  <si>
    <t xml:space="preserve">研究组 </t>
  </si>
  <si>
    <t>Comprehensive care interventions</t>
  </si>
  <si>
    <t>Individual-based interventions</t>
  </si>
  <si>
    <t>Conventional therapy with Piracetam and Donepezil + whole course rehabilitafion nursing intervention including cognitive intervention，memory intervention，behaviour intervention，psychological intervention，safety intervention，community family nursing intervention，etc</t>
  </si>
  <si>
    <t>"按医嘱进行脑复康，多奈哌齐 等药物治疗，康复护理干预期间药物剂量不变。 "研究组于入院第2天开始，根据本院编制的《老年痴呆全程康复护理规程》进行全程康复护理干预。 内容包括：①组织与管理：成立由专家、责任医生、责任护士、 护工组成的AD全程康复护理指导小组，小组成员负责制订 AD患者个性化全程康复护理计划，并负责组织实施。②健 康教育：针对AD患者的健康问题和照顾者对健康教育知识 的需求，每周进行相关老年性痴呆健康教育。③认知干预：干 预患者分析、综合、推理、判断和计算的能力，主要方法为3R 护理即Reminiscence(回忆往事)、Reality(现实定向)和 Remotivation(记忆再激发)。主要包括计算能力训练(如计算 家庭每月食品费、水电费、电话费、医疗费等开支，再算半年和 全年费用等)、数字排列训练(如扑克牌打乱后再让患者按顺 序排列等)、分类法训练(如给患者一张写有40种物品名称 的清单，让患者进行归类)等，每天训练三次。④记忆干预： 每天帮助患者记忆住所的环境、周围的人和物，最近进行的一 些活动等。⑤语言训练：要求患者叙述每天周围发生的事件、 家庭情况、新闻故事，让患者多交流，每天至少三次，防止出现 语言障碍。⑥行为干预：根据患者功能障碍情况，从13常生活 的穿衣、饮食、住房、用厕、出行等开始，并从患者的日常生活、 文体活动或一些轻的劳动过程中选出一些能使患者感兴趣并 有助于恢复功能和技能的活动，并按要求进行训练，帮助维持 或恢复功能。根据患者状况确定训练时间。⑦心理干预：每 天根据患者出现焦虑和抑郁等负性情绪的特点，采用安慰、鼓励、暗示以及听音乐、看幽默剧等方法对患者及照顾者进行心 理干预。同时鼓励患者与家人、亲友交往，从思想上、情感上 尽可能沟通，以减少患者的内心痛苦、孤独感、失望感、自罪自 责感。⑧用药指导：指导和督促患者按医嘱科学用药。⑨安 全干预：营造一个舒适、安全的住院环境及家居环境，防止出 现并发症和各种意外事故(如摔倒、骨折、走失、火灾、自杀自 残等)发生。⑩社区一家庭护理干预：患者在出院后，进行家庭 跟踪随访护理干预，每月为患者及照顾者进行讲课，每2周上 门随访1次，每周电话随访1次，了解患者的康复治疗情况， 提出相关指导意见。 "</t>
  </si>
  <si>
    <t>Multicomponent intervention (Conventional therapy +  non-pharmacological)</t>
  </si>
  <si>
    <t>Non-pharmacological intervention</t>
  </si>
  <si>
    <t xml:space="preserve"> Nursing intervention </t>
  </si>
  <si>
    <t xml:space="preserve">urban, community </t>
  </si>
  <si>
    <t>"Nursing intervention according to the community nurse family visit program set up in this study, including the caregiver training, issued “dementia caregivers manual’’ and telephone follow—up for period of 3 months"</t>
  </si>
  <si>
    <t xml:space="preserve">"1．2．1．1方案制定及社区护士培训 研究者在文献 查阅基础上形成初稿，经4位精神科及老年科护理领 域专家论证后，最终形成《社区失智老人居家照顾者照 护技能培训方案》及《失智症照顾者手册》。社区护士 失智症管理培训以学习讲座形式进行，由4位失智症 护理及老年护理领域专家授课，内容主要包括：①家庭 访视的方法和技巧；②认识失智症；③失智症的家庭护 理；④失智症日常康复训练；⑤照顾者自我照顾及社区 资源支持；⑥常规护理实践指导；⑦失智症日常生活照 顾实践指导等。采用体验式学习法，以情景模拟体验、 案例分析分享、小组讨论交流等多种方式进行，由授课 专家对培训护士进行理论及实践操作考核。共计5次 课程，每次3 h～4 h。 1．2．1．2人员分配及家庭访视 根据社区医护人员 课程培训结果，对培训合格的社区护士进行人员分配 及职责划分，每名护士负责3例～4例失智老人居家 照顾者的家庭访视，每2周进行1次集中讨论，讨论本 组内失智老人及其照顾者的现况并实时更新记录，如 遇不能解决的照顾问题，及时向专家求助。家庭访视 每周1次，每次1．5 h～2．0 h，具体工作可进行个体化 调整，注重理论学习与实际生活的联系，所有内容都要
针对照顾者家庭的实际情况由社区护士进行一对一指 导。首次家庭访视时主动进行自我介绍，获得照顾者 的信任和许可后，发放《失智症照顾者手册》及用以预 防失智老人走失的“黄手环”，评估失智老人的基本情 况(病人病情、日常生活能力等)及照顾者需求(疾病知 识、协助病人日常活动、环境安全设施设置等)等问题 并记录，结合手册进行失智症疾病基础知识的指导，使 照顾者意识到失智症并非是正常老化所造成的，是需 要治疗和护理的，让照顾者对失智症有一定的了解。 第2次结合“日常生活照顾指导”主题，按照家庭访视 常规流程进行，以手册为基础对照顾者进行饮食、口腔 卫生、排泄、洗澡穿衣及睡眠休息等内容的指导，如何 为失智老人提供营养丰富的三餐，运用定时如厕等方 法避免失智老人弄脏衣裤等。第3次进行“安全护理” 及“康复技能”指导，如何预防与应对异常行为、定向力 及记忆力训练等内容，引导失智老人浏览老照片、讲述 老故事以延缓记忆衰退等。第4次进行“照顾者自我 照顾”及“社区医疗资源利用”指导，引导照顾者接纳病 人，进行自我心理调适；合理安排时间，多参与健身及 娱乐活动以丰富生活，同时减轻照顾压力；多与家庭成 员交流，勇于表达自己的难处，接受外界的帮助，建立 有效的家庭支持系统；合理接纳和利用来自社区医疗 机构及心理援助组织的相关医疗支持；了解日间照护中心、“护老者之家”、喘息服务等政府养老服务资源并 学会根据自己的实际情况做出最佳的医疗服务决策。 在进行理论学习的同时，根据被访家庭的具体情况，由 社区护士为其提供个性化的支持和指导，注重与照顾 者的交流，利用倾听、共情、肢体接触等方式为照顾者 提供心理及情感支持，允许照顾者通过抱怨、哭泣等方 式进行不良情绪的发泄；将社区养老服务机构的宣传 资料发给照顾者，详细介绍社区资源的使用条件及方 法，同照顾者一起根据失智老人的健康状况及家庭条 件选择最佳的养老服务；陪照顾者检视家庭环境，排除 存在跌倒风险的居家陈设，减少青团、糕团等易诱发噎 食的食物，引导照顾者积极对待照顾活动，将所学知识 真正融人实际生活。 1．2．1．3 电话随访 家庭访视结束后，每周1次电话 随访照顾者，通过与照顾者电话沟通了解仍未解决的 问题，并予以指导，根据情况可以安排再次进行人户。 第2个月开始每两周进行1次电话随访，直至干预 结束。 "
</t>
  </si>
  <si>
    <t>3 months</t>
  </si>
  <si>
    <t>Routine community management (control)</t>
  </si>
  <si>
    <t>Routine community management</t>
  </si>
  <si>
    <t>"接受常规社区卫生服务，依照社区精 神类疾病护理管理常规进行，照顾者根据失智老人病 情变化可随时根据需要前往社区卫生服务中心等医疗 单位就诊。 "</t>
  </si>
  <si>
    <t>community management</t>
  </si>
  <si>
    <t>Lök 2017</t>
  </si>
  <si>
    <t>"First You Should Get Stronger" caregiving programme</t>
  </si>
  <si>
    <t>Turkey</t>
  </si>
  <si>
    <t>Erenköy - a rural village (population circa 1500) in Turkey. Intervention delivered at carers homes</t>
  </si>
  <si>
    <t>Not specified</t>
  </si>
  <si>
    <t>7 session home delivered bespoke caregiver information programme focused on for strengthening the caregiver, decreasing the caregiving burden and developing healthy life style behaviours</t>
  </si>
  <si>
    <t>"Visits were carried
out by the researcher once every week with each session lasting
45 min. [...] The content of the program was designed in accordance with
the relevant literature before the study was implemented entia
(Alves, Teixeira, Azevedo, Duarte, &amp; Paúl, 2015; Arango-Lasprilla
et al., 2014; Ducharme et al., 2015; Hou et al., 2013; Pinquar and
Sörensen, 2006). We sought expert opinions from four faculty
members in the psychiatric nursing department (1), public health
nursing department (2), internal medical nursing department(1)
who were specialized in working with the families of patients with
dementia. Final revisions were made in the program in accordance
with the opinions of experts. The program consists of seven
sessions for strengthening the caregiver, decreasing the caregiving
burden and developing healthy life style behaviors (Table 1). [...] Session 1 Introduction, learning about dementia and the
individual for whom care is given
Session 2 Communication with individuals with dementia
(caregiving without being derogatory)
Session 3 Defining the difficulties experienced by the
individual with dementia
Session 4 Carrying out the systematics of daily works
Session 5 Determining social support systems
Session 6 Carrying out activities for enhancing and developing
the health of the caregiver
Session 7 General evaluation and closure"</t>
  </si>
  <si>
    <t>7 weeks</t>
  </si>
  <si>
    <t>Appears to be no intervention</t>
  </si>
  <si>
    <t>Mahdavi 2017</t>
  </si>
  <si>
    <t>Iran</t>
  </si>
  <si>
    <t>Family caregivers of the elderly with Alzheimer's disease registered in Iran Alzheimer's Association in 2014</t>
  </si>
  <si>
    <t>Group sessions without spiritual therapy, 45-60 minutes for 5 weeks</t>
  </si>
  <si>
    <t>"Five, 45 to 60 minute weekly sessions were held for control group one. In these sessions caregivers were meet each other in groups, with-out performing any particular interventions, and daily issues were discussed"</t>
  </si>
  <si>
    <t xml:space="preserve">Intervention for carers </t>
  </si>
  <si>
    <t>"Control group two received no interventions, or even the chance of meeting the caregivers in the group"</t>
  </si>
  <si>
    <t xml:space="preserve">Intervention </t>
  </si>
  <si>
    <t>Spiritual group therapy 45-60 minutes for 5 weeks</t>
  </si>
  <si>
    <t>Spiritual group therapy was held weekly
for
five weeks and each session lasted 45 to 60 min. Subjects presented
included: Introduction and formation of group solidarity in session one,
The role of reciting the Quran in personal peace in session two, The role
of recommended recitals and repeat them in personal peace in session
three, The role of reciting prayers in personal peace in session four
and Explaining the experience of spiritual care and its effects, preparing members to leave the group and take advantage of the group's achieve-
ments in session
fi
ve.</t>
  </si>
  <si>
    <t>Mercedeh 2014</t>
  </si>
  <si>
    <t>Controlled group</t>
  </si>
  <si>
    <t>Precise setting not stated but members of an Alzheimers Association and took place in urban Tehran.</t>
  </si>
  <si>
    <t>Experimental group</t>
  </si>
  <si>
    <t>Caregiver depression</t>
  </si>
  <si>
    <t>Orawan 2018</t>
  </si>
  <si>
    <t>Enhancing positive aspects of caregiving program (EPACP)</t>
  </si>
  <si>
    <t>Thailand</t>
  </si>
  <si>
    <t>participants were recruited from three secondary medical care hospitals in the central part of Thailand.</t>
  </si>
  <si>
    <t>EPACP plus usual care. The program consistedof six groups sessions and one individual session</t>
  </si>
  <si>
    <t>" The
EPACP was developed based on the Kramer’s twofactor adaptation model4 and designed to increase
caregiving self-efficacy, spirituality, social support,
and maintain positive caregiving experiences for
family caregiver of the person with dementia. Strategies
used included information provision and skill training;
exploring spirituality; finding positive events in their
lives; mindfulness practice; positive reappraisal
activities; and goal setting practice all conducted through
group discussions and training. Individual counseling
was also given. A dementia caregiving booklet, role
model, and video were also used. The program consisted
of six groups sessions and one individual session. Three
groups of 15 family members met once a week, for 2
hours over 6 weeks. At week 7, the PI offered the
individual sessions (see details in Table 1)."</t>
  </si>
  <si>
    <t>12 weeks</t>
  </si>
  <si>
    <t>Usual care (Control Group)</t>
  </si>
  <si>
    <t>Usual care which included health education or suggestions fromnurses and other professionals at psychiatric clinicsof hospital or at home.</t>
  </si>
  <si>
    <t>"For the
control group, participants received only usual care
which included health education or suggestions from
nurses and other professionals at psychiatric clinics
of hospital or at home. "</t>
  </si>
  <si>
    <t>20 weeks</t>
  </si>
  <si>
    <t>Pahlavanzadeh 2010</t>
  </si>
  <si>
    <t>Modares Psychiatric Hospital and Shariati Psychiatric clinic in the city of Isfahan, which are the centers for elderly with dementia</t>
  </si>
  <si>
    <t>No details</t>
  </si>
  <si>
    <t>Family education program</t>
  </si>
  <si>
    <t>Family education programme for caregivers; 5 weekly group sessions for 90 minutes each, plus recordings on CD</t>
  </si>
  <si>
    <t>"Caregivers of the case group attended family educational program after signing a consent form. Patients and controls were not present in this program. The content of the program was based on an educational pamphlet prepared and edited by the researchers through reading books and articles. The content was approved by 10 psychiatrists, neurologist and faculty members of the School of Nursing and Midwifery of Isfahan University of Medical Sciences. This program included 5 weekly sessions22 using lecturing, group discussions (10-15 members in groups), and question and answer as table 1 presents. The duration of each session was 90 minutes23 and the place was Noor Hospital in Isfahan. This program was conducted under the supervision of the first researcher who has several years of experience as a university lecturer and patients and their families’ educator and also has a master degree in psychiatry. Meanwhile, CDs of all the sessions were provided to caregivers of the case group."</t>
  </si>
  <si>
    <t>Intervention for caregivers</t>
  </si>
  <si>
    <t>1 month post treatment</t>
  </si>
  <si>
    <t>Salamizadeh 2017</t>
  </si>
  <si>
    <t>City of Rafsanjan (Iran). Participants (family caregivers) were recruited from private neurologists' offices.</t>
  </si>
  <si>
    <t>"Patients in the control group received no education about spirituality."</t>
  </si>
  <si>
    <t>Caregiver self-efficacy</t>
  </si>
  <si>
    <t>Spiritual care education (intervention)</t>
  </si>
  <si>
    <t>Spiritual care education sessions, 1x per week for 5 weeks</t>
  </si>
  <si>
    <t>"The  intervention  included  five  SC educational  sessions  held  weekly  for  five consecutive weeks. The length of each session ranged from 45 to 60 minutes. All sessions wereheld by the first author. The educational package had already been developed by Reyhani et al.32It includes topics such as reliance on God, seekinghelp from holy people, patience, generosity, altruism, mantra, and prayer. This package has been approved by clergies and university instructors. In sessions one to five, we explained  the roles of reliance on God, seeking help from holy people, patience,generosity, and mantra and prayer in maintaining or regaining the inner peace."</t>
  </si>
  <si>
    <t>Shata 2017</t>
  </si>
  <si>
    <t>Control (No intervention)</t>
  </si>
  <si>
    <t>Egypt</t>
  </si>
  <si>
    <t>Psychogeriatric out‑patient clinic of Al‑Maamoura Psychiatric Hospital. Alexandria (urban setting)</t>
  </si>
  <si>
    <t>3 month follow-up</t>
  </si>
  <si>
    <t>Group psychosocial intervention programme</t>
  </si>
  <si>
    <t>8 week multi-component group psychosocial programme</t>
  </si>
  <si>
    <t>8 week multi-component group psychosocial programme. "Short‑term goalsincluded (1) improving caregivers’ knowledge aboutdementia, (2) helping caregivers to identify differentproblematic behaviors of care recipients and differentstrategies to handle such behaviors, and (3) providingsocial support for caregivers. Long‑term goals incorporated(1) acquiring the skills of handling problematic behaviors ofcare recipients, (2) enhancing caregivers’ skills and strategiesfor managing the burden of care, and (3) improvingcaregivers’ emotional status through acquiring skills ofcoping and stress management.  The program included three components: grouppsychoeducation (two sessions), brief group CBT(six sessions), and group support sessions that wereheld throughout the program covering topics similar topsychoeducation/CBT topics as illustrated in Table 1. Eachsession took 45–60 min. Training was conducted througha collaborative approach using illustrations, vignettes, roleplaying, brainstorming, group discussion, and audio‑visualaids. Different methods were used to achieve differentobjectives of the program. An intervention protocol withall details covering the above‑mentioned sessions wasprepared based on caregivers’ needs reported by them inthe early assessment phase, and on reviewing literaturefor other programs directed to caregivers’ of people withNCDs, worldwide. Culturally sensitive sessions weredesigned taking into consideration the characteristics ofparticipants. The program was implemented by the principalinvestigator (second author)."</t>
  </si>
  <si>
    <t>Söylemez 2016</t>
  </si>
  <si>
    <t>Progressively Lowered Stress Threshold-based intervention</t>
  </si>
  <si>
    <t xml:space="preserve">Western Turkey, home based. Patient lists were obtained from dementia outpatient clinics at one university hospital and the office of the Alzheimer’s Association in Izmir. </t>
  </si>
  <si>
    <t>Mild</t>
  </si>
  <si>
    <t>Progressively Lowered Stress Threshold-based intervention for 3 months</t>
  </si>
  <si>
    <t xml:space="preserve">"The PLST model (Hall &amp; Buckwalter, 1987) provides the foundation for a psychoeduca-tional intervention that assists formal and informal caregivers in understanding behaviors and plan-ning care for individuals with de-mentia. It has been tested widely since 1988. The model can be eas-ily understood by professional and non-professional caregivers and allows for flexible modification of the care plan based on individuals’ changing needs. The PLST model is a conceptual framework that organizes symp-toms, suggests causes of challenging behaviors, and teaches caregivers methods of modifying the envi-ronment to eliminate or minimize behavioral symptoms. The rea-sons for, or triggers of, symptoms can usually be modified in any setting, resulting in a decrease in behaviors distressing to caregiv-ers and individuals with dementia. The PLST model should empower caregivers by helping them pre-vent and manage the most difficult behaviors in Alzheimer’s disease. 
 [...] Interventions were conduct-ed at patients’ homes in their usual environment. Individuals with de-mentia and their caregivers in the experimental group were seen four times in a 6-month period. Each session lasted at least 1 hour. The intervention phase lasted 3 months. [...] The first home visit focused on understanding the behaviors of the individuals with dementia, how caregivers coped with these behav-iors, and difficulties experienced by caregivers. After 2 weeks, during the second home visit for caregivers in the experimental group, the PLST-based intervention was pro-vided and demonstrated. At the third home visit 2 months later, the care plan was reviewed, more techniques were taught, and writ-ten materials summarizing the care plan were provided. After the third home visit, follow-up telephone calls were made every 2 weeks. Ex-perimental group members also re-ceived a caregiver booklet prepared by the authors that contained a variety of educational and support materials, such as general informa-tion about the disease, common problems (e.g., sleep disturbances), how to administer medications, bathing, toileting, physical activi-ties, nutrition, and communication, as well as recommended reading for family members caring for individ-uals with dementia." </t>
  </si>
  <si>
    <t>Caregiver burden inventory</t>
  </si>
  <si>
    <t>Routine care (control)</t>
  </si>
  <si>
    <t>Routine care</t>
  </si>
  <si>
    <t>"Comparison group members received routine care. In the routine care program, following diagnosis, caregivers were informed about the disease by physicians and given leaflets. When caregivers came to the outpatient visit with the pa-tients, they had an opportunity to ask physicians questions. Fre-quency of outpatient visits varied between every 6 months and once per year. Participants in the com-parison group were seen four times in a 6-month period at their home. Each session lasted approximately 1 hour. The first home visit fo-cused on a review of the study aims and protocols, obtaining informed consent, and data collection. After 2 weeks, during the second home visit for caregivers in the compari-son group, general information about care of individuals with de-mentia was presented and updated leaflets were provided. At the third home visit 2 months later, data were collected. At the last home visit 3 months later, data were again collected. After the study was completed, participants in the comparison group were provided with the experimental group pro-tocols."</t>
  </si>
  <si>
    <t>Caregiver quality of life</t>
  </si>
  <si>
    <t>SU 2012</t>
  </si>
  <si>
    <t>Comprehensive nursing intervention</t>
  </si>
  <si>
    <t xml:space="preserve">No info. </t>
  </si>
  <si>
    <t>Psychological care, emotional care cognitive care, daily care, home safety  and care after the discharge from hospital for 14 days</t>
  </si>
  <si>
    <t xml:space="preserve">"1.2.1 心理护理 鼓励家属多陪伴患者,加强与患者的交流, 可一起参加社会或家庭活动D 尊重患者,以诚恳的态度对待患 者,鼓励患者战胜疾病,以增强患者信心D 针对患者不同病情, 有计划地与患者交谈,消除患者的顾虑,培养乐观情绪,使患者 以较好的心理状态配合治疗D 1.2.2 情感护理 针对患者焦虑情绪,在护理时应保持病房环 境的舒适性,在适当的时间放一些轻松愉悦的音乐:针对患者抑 郁倾述,应耐心倾听患者的倾述,不强迫患者做不愿意的事,以 鼓励为主,引导患者进行适当的运动,如散步等:针对易激动情 绪,应积极分析原因,安慰患者,避免语言刺激,鼓励患者做锻 炼,以放松心情:针对淡漠情绪,可增加病房内物品摆放,比如患 者感兴趣的物品,鼓励患者加强与他人的交流D 1.2.3 认知护理 对记忆的训练:念一串数字,让患者复述,逐 渐增加难度,增强患者的瞬时记忆:让患者看数件物品后数分 钟,让患者回忆刚刚所看到的物品,以增强短时记忆D 对定向力 的训练:开始让患者记忆一些特别的日期~时间等,如生日~节 日,让患者尝试记忆亲人~护士~医生的姓名:对回忆的训练:让 患者看对其意义较大的物品,使患者回忆往事:对分析能力的训 练:让患者对物品进行分类:对口语的训练:给患者讲述一段故 事,让患者回答一些简单的问题,或者简单概括故事的情节D 1.2.4 生活护理 给予患者自我照顾的机会,对患者进行生活 能力训练,如洗漱~穿脱衣~进餐等,鼓励患者尽量自理,如完全 不能自理,设专人护理,注意翻身拍背,按摩等,防止褥疮~感染等并发症D 对药物的发放,应按时按顿,指导患者将药物全部服 下,对有幻觉的患者,应耐心劝说,详细解释D 患者认知障碍严 重时,常出现白天休息,夜间吵闹,应保持夜间病房安静,入睡前 可予温水泡脚,对伴有严重睡眠障碍者,应给予药物帮助入睡D 1.2.5 安全护理 增强病房的安全性和舒适性,对有空间~时 间定向力障碍的患者,要求有专人陪护,防止走失D 对有行动不 便的患者,增加相应的设施,如座便器~扶手等D 1.2.6 出院健康指导 老年痴呆尚无有效的治疗,以预防为 主,关键是早发现~早治疗,延缓大脑细胞更加广泛和不可逆转 的退变,以控制病情的进展,防止并发症的发生,延长生命,提高 生活质量D 护理人员对患者和家属进行相关知识培训,提高主 动性,调动积极性,共同完成护理计划D 鼓励患者家属出院后多 陪伴患者,如散步~聊天,或参加一些学习和力所能及的社会家 庭活动D 给予多方面的帮助,使其消除孤独寂寞感,感受家庭的 温馨和生活的快乐D 嘱家属保持联系,指导家属参与家庭护理, 定时电话或者上门指导患者家属护理的技巧和质疑事项"
</t>
  </si>
  <si>
    <t>Multicomponent (心理护理, 情感护理, 认知护理,  生活护理, 安全护理, 出院健康指导)</t>
  </si>
  <si>
    <t>Routine caring for 14 days (Control)</t>
  </si>
  <si>
    <t>常规护理</t>
  </si>
  <si>
    <t>Routine caring</t>
  </si>
  <si>
    <t>SUN 2010</t>
  </si>
  <si>
    <t>control group</t>
  </si>
  <si>
    <t>Nursing College of Guangdong Medical College Hospital</t>
  </si>
  <si>
    <t>The control group received routine discharge guidance. No intervention was administered after discharge.</t>
  </si>
  <si>
    <t>"对照组进行常规出院指导，出院后不施加任何干预。"</t>
  </si>
  <si>
    <t xml:space="preserve">no treatment </t>
  </si>
  <si>
    <t>SF36</t>
  </si>
  <si>
    <t>12 months post-intervention</t>
  </si>
  <si>
    <t>treatment group</t>
  </si>
  <si>
    <t>The experimental group received one-year nursing intervention on the basis of routine discharge guidance.</t>
  </si>
  <si>
    <t>"试验组除常规出院指导外，护士每周电话访问1次；每2周安排1次免费门诊护理咨询；每4周进行1次家访；每3个月举办AD病人及家属座谈会1次。干预时间为1年。干预内容包括：①对病人家属进行AD疾病及护理知识的宣教，并根据
AD病人及家属常见的护理问题编写“老年性痴呆病人健康须知”。②家居安全护理指导。针对AD病人常见的误吸、误服、跌倒、失走、热伤等居家安全问题对病人和家属进行指导，以减轻居家安全问题的发生率。③心理护理及情感支持。运用支持性心理护理技术，如倾听、解释、保证、指导和建议、疏泄、鼓励、促进自助。具体内容主要是耐心倾听病人和家属提出的问题，了解病人的个性特点，有针对性地对病人及其家属进行心理护理，同时根据病人的心理特征，采用安慰、鼓励、暗示等方法予以开导I调动家庭照顾者的真诚，给予病人充分的关注和理解。使病人感受到家庭的温暖，减轻其心理压力；鼓励病人参加一些力所能及的家庭、社会活动，如种花、养鱼、画画等以分散病人的注意力和避免不良情绪产生，使其感受到生活的乐趣和自身的存在价值。④康复训练指导。日常生活能力训练，如做饭、进食、穿衣、洗刷，沐浴、购物等日常生活能力训练，先叙述后模拟，尽量帮助其维持一种固定的生活习惯；认知训练，通过回忆和生活回顾、调动兴趣爱好、支持小组的训练方式H3；记忆训练，对于有严重记忆障碍的老人，可运用环境影响其行为[5]，如保持恒定的常规环境，多次的重复性刺激，采用背诵、帮助分析，联系概念、联系自身、听说读写并用、编故事、记日记、看图片等方法训练记
忆}思维训练，通过排列数字、物品分类，数字计算等，训练病人
综合分析、判断、推理和计算能力；逻辑思维与表达能力训练，如对病人密切相关问题的提问，并进行简单的数字计算；体能训
练．根据病人的身体状况，选择合适的体能训练，如公园散步、做老人体操、跳舞等，活动量循序渐进，以无不适为度。⑤遵医行为指导，指导和督促病人按医嘱定时、定量以正确的方式服药，告知用药的注意事项，保证用药安全。"</t>
  </si>
  <si>
    <t>Non-pharmacol</t>
  </si>
  <si>
    <t>TAN 2010</t>
  </si>
  <si>
    <t>The Third Peoplel's Hospital of Foshan City</t>
  </si>
  <si>
    <t>no any intervention</t>
  </si>
  <si>
    <t>Intervention group (Carer training)</t>
  </si>
  <si>
    <t>The caregivers of observation groups were taught of AD disease nowledge，daily care，
safe care knowledge，training and rehabilitation training guidance to improve their nursing skills</t>
  </si>
  <si>
    <t xml:space="preserve">1．2．1对观察组照顾者的干预
1．2．1．1 对照顾者进行AD相关护理知识和技巧的训练，内容
包括：①AD患者的分期和常见的表现，让照顾者了解AD患者
病情的发展。②日常生活护理。③AD患者安全护理，针对患者常
见的走失、跌倒、自我伤害、意外受伤等安全问题对照顾者进行相
关知识指导。④训练AD患者的康复技巧，根据AD患者的分期进
行认图、物品分类、计算力、理解力和记忆力等方面的训练。⑤照
顾者心理指导。尊重AD患者的人格、隐私，接纳痴呆老人的怪异
言行，鼓励照顾者寻求邻居、朋友、同事的帮助和心理支持，主动
利用社会支持，缓解照顾压力。
1．2．1．2 课题组护士电话随访1次／周，家访2次／月。我们给
照顾者留下咨询电话，随时帮助照顾者解决AD患者出现的问
题。每季度去社区举办健康教育讲座1次，并现场指导照顾者对
AD患者的康复训练，了解照顾者反馈的信息、有针对性调整讲
课内容，提高培训效果。
</t>
  </si>
  <si>
    <t>Wang 2010b</t>
  </si>
  <si>
    <t>Control group</t>
  </si>
  <si>
    <t>Community</t>
  </si>
  <si>
    <t xml:space="preserve">Home care as usual for a year </t>
  </si>
  <si>
    <t>Home care guidance</t>
  </si>
  <si>
    <t xml:space="preserve">Community comprehensive intervention for a year </t>
  </si>
  <si>
    <t>Phone contact weekly, Home visit monthly, for 1 year, covering the following 4 components: 1) Health Education, 2) Basic personal care, 3) Psycho-emotional support, 4) Rehabilitation training guide. "干预组开展全面、 综合的社区护理。健康知识宣教 社区护理人员根据 AD 患者及家属健康知识需求， 定期开展知识讲座， 发放 AD 患者及照顾者健康教育和康复指导手册， 并详细讲解， 使其理解掌握， 能够简单复述宣教内容； 每周电话访问 1 次， 倾听患者及家属的问题， 建立良好的护患关系， 取得患者信任； 每个月家庭访视 1 次， 现场进行健康教育宣传及护理技术指导， 为期 1 年。基础生活护理 ① 基础护理： 实施 “无缝医疗保健”［3］，社区护理人员与家属共同讨论确定患者在家中适合的照料方式。 给予患者细心的呵护， 安排合理的作息时间， 保证良好的睡眠质量； 保持皮肤清洁， 衣物洁净， 注意保暖， 预防皮肤及肺部等各系统的感染； 按时服药， 促进疾病恢复； 根据身体状况， 做适当的户外运动， 锻炼身体， 增强体质。 ② 安全护理：家里地面不宜过于光滑， 必要时在盥洗室等处安扶手， 防止患者 跌 倒； 行动困难患者如厕、 洗浴要有人陪伴， 以 防 意 外 发生； 家中锐器物品、 药品妥善放置， 避免患者自伤或误服； 易走失的患者， 随身携带与家人联系的卡片， 避免单独外出， 防止 丢 失 迷 路。 ③ 饮 食 护 理： 一日三餐定时定量， 饥 饱 适 宜，膳 食 搭 配 合 理， 以清淡营养丰富为主， 多 食 豆 类、 奶 类、 瘦肉、 蔬菜、 海鲜、 粗纤维等食物， 保证优质蛋白质、 多不饱和脂肪酸及维生素等营养素的摄取。心理情感支持 全面评估患者， 根据其性格特征， 采取个性化护理， 充分体现 “以人为本”。 定期为患者做心理情感咨询， 了解患者的心理情绪状态， 减少患者因情绪异常引起行为问题的发生。 鼓励患者参加力所能及的家庭社会活动， 如看书、 读报、 听广播、 种花、 下棋、 打球、 参加社区老人联谊会等， 以 分 散 注 意 力， 排 遣 不 良 情 绪， 增 加 交 流， 提 高 沟 通 能力， 使其感受到生活的乐趣及自身价值， 促进心理健康。 指导照顾者掌握与老年痴呆患者交流的方法， 用理解、 宽容， 诚恳的态度对待病人， 耐心听取病人的诉说， 细心观察患者的情绪变化， 尽量满足其合理要求； 成立社区老年痴呆患者照顾者病友会， 提供照顾者之间分享照顾技巧的途径， 同时有助于减轻照顾者的照顾感受压力。康 复 训 练 指 导 ① 益 智 训 练： 减 缓 记 忆、 智 能 衰 退，指导家属要经常提醒患者日期、 时间、 地址、 家中电话号码等信息， 鼓励患者对往事的回忆， 要不厌其烦， 帮助其强化近期记忆和激发远期记忆。 让患者做一些简单的数字排列和运算，识图， 折纸等活动， 每日不少于 30 min。 组织患者参加适宜的集体活动， 增强其自信心， 促进计算， 判断， 思维， 理解等认知能力及语言能力的恢复。 ② 日常生活能力训练： 根据患者自理能力， 选择力所能及的生活内容进行训练。 自理能力较好的患者， 尽量让其自己完成做饭、 吃饭、 穿衣、 洗漱、 洗澡、打扫房间等日常生活， 四肢关节经常活动能够保持手脚灵活，促进血液循环； 自理能力较差的患者， 家属协助其完成复杂的生活活动， 并做好肢体功能康复训练。"</t>
  </si>
  <si>
    <t>Multicomponent: i) non-pharmcol, ii) Interv for carers</t>
  </si>
  <si>
    <t>Wang 2012e</t>
  </si>
  <si>
    <t>Mutual support group</t>
  </si>
  <si>
    <t>"The caregivers were recruited from a list of people with dementia attending one of two dementia resources and respite care centers in Guangzhou, Guangdong Province of mainland China. The resource center provided daytime physical care, self-care and skills training for clients, respite care, social and recreational activi-ties, and care-giving resources to about 3,000 clients with dementia, and their family members. The cli-ents with dementia were received to this center from mainly three sources, including: a regional psychiat-ric center, two psychiatric outpatient departments, and Social Security and Welfare Department of The Government."</t>
  </si>
  <si>
    <t>Peer-led mutual support group sessions, 1.5 hours every two weeks over a 24-week period, in addition to usual care</t>
  </si>
  <si>
    <t>"The peer-led mutual support group met bi-weekly, for a total of 12 1.5-hour sessions. All group sessions mainly consisted of information giving, sharing and discussion, psychological support, and problem solving; and a group protocol was spe-cifi cally designed for this study, based on evidence from other mutual support group intervention studies (Almberg et al., 1997; Fung &amp; Chien 2002; Toseland et al., 1989). Seven major themes of fam-ily support groups formed the basis for group members’ interactions and purposive activities in each session, including: (1) information about cli-ent’s condition; (2) development of group as a sup-port system; (3) emotional impact of care-giving; (4) learning about self-care; (5) improvement of interpersonal relationships; (6) establishing sup-port outside the group; and (7) improvement of home care skills. The protocol of the mutual sup-port group is presented in Table 1.To foster the use of problem-solving strategy within the group, at least one group members shared personal care-giving problems with other members in each session and these problems were worked on using a six-step model suggested by Zarit, Orr, and Zarit (1985). These six steps consisted of defi ning the problem, generation of alternatives, examining and evaluating each alternative, cognitive rehearsal of action plan, execution of the plan as homework, and evaluation of agreed outcomes.An advanced practice psychiatric nurse, who had more than 5 years of experience in dementia care and community mental health services and had experienced group facilitation, was chosen as facilitator for the supportive group. This nurse attended a 2-day training workshop organized by the research team on facilitation of a mutual sup-port group before the study was started. During the 24-week group intervention, the audio-taped group sessions were reviewed by the facilitator, together with the research team, to monitor treat-ment integrity, adherence to the protocol and any questions from group members.One to two peer leaders, elected by the group members, agreed to coordinate and plan the group sessions with the facilitator’s consultation, as suggested by Chien et al. (2006) and Toseland et al. (1989). The elected leaders were experienced in family and dementia care and received three 4-hour training sessions on planning and leading a mutual support group, using the protocol."</t>
  </si>
  <si>
    <t>1 month after 24-week intervention</t>
  </si>
  <si>
    <t>Routine care group (control)</t>
  </si>
  <si>
    <t>Conventional family services provided by dementia centers, including medical consultation, financial and social services advice, educational talks on dementia care, and referals and advice on medical and social services</t>
  </si>
  <si>
    <t>"The control group received the conventional family services provided by the dementia centers. Similar to the other big cities in Guangdong and other Provinces of mainland China, the services included: (1) medical consultation of client and advice to family on client’s illness condition,  treatment plan and effects of med-ications provided on monthly basis by two visiting doctors; (2) advice and referrals of fi nancial aids and social welfare services provided by a social worker; (3) educational talk or seminars in dementia care conducted by registered general nurses; and (4) refer-rals and advices on medical and social services by the center staff. In other developing cities and sub-urban or remote areas, there is not any dementia care cen-ter and the only health care service that those fami-lies can obtain is the medical consultation by visiting doctors and their referrals to hospital care whenever necessary.Participants in the control group were informed about community supporting ser-vices for dementia care and referral to appropri-ate agencies for respite could be obtained from staff in the dementia center. After post-test, the research assistant asked them whether they would like to participate in a mutual support group spe-cifi cally organized for them."</t>
  </si>
  <si>
    <t>Wang 2014a</t>
  </si>
  <si>
    <t>retried cadre's sanitarium</t>
  </si>
  <si>
    <t>Memantine + Aricept + Usual community healthcare service and personal care for 1 year</t>
  </si>
  <si>
    <t>"对照组只给予一般
的社区卫生服务和生活护理，未进行居家护理干预"</t>
  </si>
  <si>
    <t>Multicoponent: Pharmaceutical, Non-pharmacol</t>
  </si>
  <si>
    <t>Memantine + Aricept + Standardised home care intervention, incl. carer training on personl care, psychosocial support, safety, rehabilitation, and regular home visit; for 1 year</t>
  </si>
  <si>
    <t>"所有患者均由神经内科专科医生处方给药，主要为安理申和美金刚，均坚持服药治疗。试验组采用规范的居家护理干预模式进行为期 员 年的规范干预。"</t>
  </si>
  <si>
    <t>Multicoponent: Pharmaceutical, Non-pharmacol, Interv. for carers</t>
  </si>
  <si>
    <t>Yang 2017a</t>
  </si>
  <si>
    <t xml:space="preserve">Community </t>
  </si>
  <si>
    <t xml:space="preserve">No Info. </t>
  </si>
  <si>
    <t>Regular medicine and Psychological Health Promotion for 12 months</t>
  </si>
  <si>
    <t>"只给予药物治疗 和一般的心理健康知识宣传（即指通过各类媒体、各种方 式开展的心理健康知识宣传，如心理健康知识的宣传板 报、宣传册、进社区的心理卫生知识讲座、心理健康义 诊等） "</t>
  </si>
  <si>
    <t>Medicine + Psychological Health Promotion</t>
  </si>
  <si>
    <t>干预组</t>
  </si>
  <si>
    <t>Community-based interventions</t>
  </si>
  <si>
    <t xml:space="preserve">Medicine, Psychosocial and non-pharmacy in-home intervention for 12 months </t>
  </si>
  <si>
    <t xml:space="preserve">"1.2.1 家庭医疗工作模式 精神科医师上门服务同时整 合多学科团队成员（疾控精神卫生分中心工作人员、心理 治疗师、康复治疗师、老年护理师等） ，对照料者、社区 家庭医生、社会工作者等进行痴呆卫生宣教，利用社区的 家庭医生制工作模式，争取各居委会和社区卫生服务中心 的支持，同时对患者和照料者实施心理社会干预。 1.2.2 心理社会干预内容 ①对痴呆照料者培训，内容包 括什么是痴呆及 BPSD，其疾病进程的一般规律，有效的 治疗方法和时机，护理要点、护理技巧和注意事项，患者 生活环境的布置，同患者交流的技巧等，以提高患者的服 药依从性，减少并发症，并接受照料者的倾诉，指导其放 松，加强心理支持和辅导。对患者灵活采用行为干预，如 日常生活能力训练、音乐疗法、怀旧和人生回顾、记忆训 练等 [2-3]，并调整其居住环境的布置。②在患者急性期每周 家访，调整药物，听取照料者及家属的意见，提出合理建 议。③待病情稳定后，采取每周电话随访、每月上门随访 方式，针对存在严重疾病或行动不便者给予更高程度的关 注，适当增加探访频率以降低其风险概率。 1.2.3 干预形式 ①对社区相关人员进行培训，发放相关 宣传材料500 份。②建立老年痴呆家庭的自助互助小组， 互相分享讨论心得体会，举办家庭成员活动。③开展每半 年 1 次的相关人员座谈协调会，讨论干预过程中遇到的问 题及解决方案。"
</t>
  </si>
  <si>
    <t>Medicine +Psychosocial intervention</t>
  </si>
  <si>
    <t>ZHAO 2010</t>
  </si>
  <si>
    <t>Comprehensive nursing intervention （treatment）</t>
  </si>
  <si>
    <t>Comprehensive nursing intervention (home visit and health education)for a year.</t>
  </si>
  <si>
    <t xml:space="preserve">家庭护理是以家庭为单位的整体护理模 式，通过对患者家属实施健康教育，对患者生理、家庭和社会 状况提出潜在的护理问题，进行护理干预. 观察组除进行常规出院指导外，护士每周电话随 访1次，每月家访2次，每季去社区举办健康教育讲座1次，并现场指导。2干预内容1)疾病知识：向患者家属详细讲解AD的 病因、症状、治疗及护理，将自制的AD患者健康教育手册和 AD患者护理技巧手册发放给患者及照顾者，并耐心仔细地 逐一讲解，直到患者和照顾人满意为止。2)心理护理：耐一U倾
听AD患者及照顾者存在问题，全面评估患者状况，给予鼓 励，恰当地运用沟通技巧，做好心理疏导工作，动员老年人多 与外界接触，与人交流，多参与社会活动，保持良好的社会互 动。同时尊重老年人的意愿，让其独立去做自己力所能及的 事情，以唤起患者对生活的信心，感受到自身存在的价值。另 外鼓励子女多与老人沟通，加强邻居、亲戚、朋友间的相互走 动，排解心中的孤独、寂寞，保持良好的心理健康水平H]。3)家居安全护理：AD患者自我保护能力差以及在情绪激惹、抑 郁或意识模糊状态下可发生各种意外，如自伤、伤人、烫伤、跌 倒，误吸(服)、走失等。因此，一定要严加看护、防范，所居住 的家庭环境，要舒适、安静、整洁、安全，室内严禁放置危险物 品，如剪刀、火柴等。在患者的衣服口袋内放一张联系卡片， 上面写明患者的姓名、住址、联系电话等，以便患者迷路时方 便社会或他人及时关照。4)康复训练：①El常生活能力训练： 鼓励患者做一些力所能及的家务，如扫地、擦桌子。看护者尽 量让患者自己多做事。如洗澡，可帮助患者调好水温，然后提 醒患者做下一步动作，如脱衣裤等，若实在无法自己完成才去 帮助他，以锻炼和维持自理能力，减少对他人的依赖。②记忆 训练：包括回忆往事，实物定位、再激发，选一物品，如图片、旧 照片、花、食品、衣物等让患者认。感觉，鼓励他们谈论与手中 物品有关的经历。让他们回忆以前工作经历、癖好或消遣，通 过唱歌，阅读旧杂志、报纸等激发记忆。③体育锻炼：要指导 和鼓励老年人根据个体状况选择强度适当的体育运动，不但 可以增强体力，而且还能够提高大脑皮质活动的强度、均衡性 和灵活性，提高分析和综合能力，从而改善其认知功能。如有 氧健身运动(慢跑、散步、太极拳等)和有氧健脑运动(深呼吸运动、冥想、手指操等)。
</t>
  </si>
  <si>
    <t>Multicomponent</t>
  </si>
  <si>
    <t>Nursing visit （control）</t>
  </si>
  <si>
    <t>Routine Nursing Assistant for a year.</t>
  </si>
  <si>
    <t>常规出院指导，并解答患者和家属的疑问，出院后不进行任何 护理干预</t>
  </si>
  <si>
    <t>Routine Nursing Assistant</t>
  </si>
  <si>
    <t>Patient activities of daily life</t>
  </si>
  <si>
    <t>IADL</t>
  </si>
  <si>
    <t xml:space="preserve">Patient activities of daily life </t>
  </si>
  <si>
    <t>Positive Aspects of Caregiving Questionnaire (PACQ)</t>
  </si>
  <si>
    <t>Robinson's Caregiver Strain Index</t>
  </si>
  <si>
    <t>Ham-D</t>
  </si>
  <si>
    <t>post-intervention (5 weeks)</t>
  </si>
  <si>
    <t>post-intervention (8 weekly sessions)</t>
  </si>
  <si>
    <t>End of intervention (5 weekly sessions)</t>
  </si>
  <si>
    <t>3 weeks post-intervention (5 weekly sessions)</t>
  </si>
  <si>
    <t>6 month post-treatment (14-day hospitalisation)</t>
  </si>
  <si>
    <t>Measurement points (days from start)</t>
  </si>
  <si>
    <t>Treatment duration (days from start)</t>
  </si>
  <si>
    <t>6 months (5 weekly session intervention)</t>
  </si>
  <si>
    <t>Hinton 2020</t>
  </si>
  <si>
    <t>REACH VN</t>
  </si>
  <si>
    <t>Soc Son, a semi-rural district in Hanoi with a longstanding history of collaboration with the NGH. Soc Son is more economically advantaged compared with many other semirural areas due to its proximity to Hanoi and location near the international airport, an area undergoing considerable economic development. A convenience sample of 12 clusters was chosen based on their proximity to NGH, their participation in the NGH dementia registry, and history of successfully participating in prior research projects and initiatives.</t>
  </si>
  <si>
    <t>Mild to Severe Alzheimer’s Disease (CDR &gt; 1)</t>
  </si>
  <si>
    <t>Alzheimer’s Disease</t>
  </si>
  <si>
    <t>Mild to Severe</t>
  </si>
  <si>
    <t>Enhanced control</t>
  </si>
  <si>
    <t>Chen 2020</t>
  </si>
  <si>
    <t>Observation group</t>
  </si>
  <si>
    <t>Patients with moderate and severe AD admitted to the People’s Hospital of Nanjing Medical University from February 2016 to March 2018</t>
  </si>
  <si>
    <t>Moderate to Severe Alzheimer's Disease</t>
  </si>
  <si>
    <t>Moderate to Severe</t>
  </si>
  <si>
    <t>Yes (Intervention was implemented among carer, but outcomes were measured among patients)</t>
  </si>
  <si>
    <t>Uyar 2019</t>
  </si>
  <si>
    <t>Urban, Manisa Celal Bayar University (MCBU) Hafsa Sultan Hospital Dementia Outpatient Clinic in Manisa</t>
  </si>
  <si>
    <t>Mild to Severe Alzheimer’s Disease</t>
  </si>
  <si>
    <t>Mild to Severe </t>
  </si>
  <si>
    <t>Govindakumari 2020</t>
  </si>
  <si>
    <t>selected community settings of Puducherry</t>
  </si>
  <si>
    <t>Mild dementia</t>
  </si>
  <si>
    <t>Mild dementia </t>
  </si>
  <si>
    <t>Some concerns</t>
  </si>
  <si>
    <t>Ghaffari 2019</t>
  </si>
  <si>
    <t>The study population consisted of family caregivers of elderly Alzheimer’s patients who referred to hospitals and neurologists’ offices located in the western cities of Mazandaran province, Iran (Ghaemshahr Razi Hospital; Ramsar, Tonekabon, and Ghaemshahr neurologists’ offices)</t>
  </si>
  <si>
    <t>Mild cognitive impairment.</t>
  </si>
  <si>
    <t>Mild cognitive impairment</t>
  </si>
  <si>
    <t>Pan 2019</t>
  </si>
  <si>
    <t>Family caregivers were recruited via resident and staff referrals from community health centers and neurological units of a tertiary hospital of a city in southeast China.</t>
  </si>
  <si>
    <t>Moderate to Severe dementia (MMSE ≤17)</t>
  </si>
  <si>
    <t>Zarepour 2020</t>
  </si>
  <si>
    <t>Geriatric clinic in Imam Reza and other neurology clinics affiliated to Shiraz University of Medical Sciences, Shiraz, Iran. The target population included family caregivers of the elderly people with dementia living in Shiraz.</t>
  </si>
  <si>
    <t>REACH VA is based on REACH II and consists of four “core” training sessions on problem solving, mood management/cognitive restructuring, stress management (eg, signal breath, pleasant event scheduling), and communication, plus up to two additional sessions based on caregiver’s needs and clinical judgment. In REACH VA, the sessions last 1 hour and are delivered by a trained interventionist by telephone, telehealth, or face-to-face. Our culturally adapted and manualized intervention, REACH VN, is based on the REACH VA intervention, with modifications to make it suitable for the context of a semi-rural area in Vietnam. We used a multi-step cultural adaptation process guided by existing frameworks commonly used in global health. Participants assigned to the enhanced control condition received a single face-to-face session at the time of enrollment in the caregiver’s home (or another place of their choosing) that focused on education about the nature of dementia and included the provision of written educational materials. In addition, any safety issues identified during the single home visit were addressed by research staff.</t>
  </si>
  <si>
    <t>Participants assigned to the enhanced control condition received a single face-to-face session at the time of enrollment in the caregiver’s home (or another place of their choosing) that focused on education about the nature of dementia and included the provision of written educational materials. In addition, any safety issues identified during the single home visit were addressed by research staff.</t>
  </si>
  <si>
    <t>Implementation of discharge guidance plan, establishment of Wechat group for the discharged patients, opening of hotline, online provision of AD rehabilitation, nursing and medication guidance. The Wechat group and hotline mainly have the following functions, inquiry function. After the patients release or call to raise nursing and medication issues within the group, the designated nursing team members should reply within 1 d and organize appropriate case extension analysis and discussion within the Wechat group. For privacy problems of the individual patients and nursing staff, Wechat private chat or telephone contact was used. When the problems could not be solved remotely, the patients were required to return to the hospital for further consultation. The control group received routine health education and nursing guidance after discharge, while the observation group received additional extended nursing scheme for 1 y, including daily living ability training, body function training, language training, memory training, music therapy, psychological nursing support and offline collective activities of patients. ​ ​</t>
  </si>
  <si>
    <t>The group received group training and support, home visits and individual support through telephonic interviews. Caregivers were unable to attend group training when they could not find anyone to leave their patients. This handicap was tried to be overcome with the WhatsApp group and house visits. WhatsApp group was set up to make caregivers communicate and interact with each other and researchers. During 16 weeks, caregivers were interviewed routinely per month; four face-to-face interviews were conducted with each patient–caregiver dyad. We interviewed the CG (n = 31) two times during the data collection process. The group received just routine hospital care. At the end of 16 weeks, the programme was provided to this group too.</t>
  </si>
  <si>
    <t>The group received just routine hospital care. At the end of 16 weeks, the programme was provided to this group too.</t>
  </si>
  <si>
    <t>Cognitive training was given to all eligible subjects individually two sessions weekly continuously for a period of 1 month i.e. a total of 8 sessions. Each session will take approximately 1 hour.</t>
  </si>
  <si>
    <t>None stated</t>
  </si>
  <si>
    <t>The intervention was administered as a training program that aimed to promote resilience development through PowerPoint presentations and educational pamphlets. These were supplied through a lecture for the intervention group. The program was based on HendersonMilstein and Kravets’ resilience education projects, as presented in Table 1 (11, 12).</t>
  </si>
  <si>
    <t>There was no intervention designed for the control group and the participants in this group received routine care, such as education on medicinal and non-medicinal care for their patients.</t>
  </si>
  <si>
    <t>This NLCBI comprised five monthly 60-minute individual sessions conducted at caregivers’ homes at the beginning of each month by appointment, with a 20- to 30-minute consultation call in the middle of the month. Duration of the intervention and follow up was determined based on the time of an interventional effect and retention of respondents. Five RNs were trained on the intervention protocol and psychosocial communication techniques. Although nurses were instructed to follow the protocol, minimal flexibility was allowed to adapt to individual caregivers. A discussion group in an E-chat room using WeChat software was set up for communication among nurse interventionists to ensure consistency in the intervention. At the initial session, caregivers agreed to make up a session within a few days after a missed appointment.</t>
  </si>
  <si>
    <t>Caregivers in the control group were provided with five monthly, short (5 to 10 minutes), general conversations with a nurse interventionist at the beginning of each month either at caregivers’ homes, at the hospital, or via telephone as convenient. No in-depth instructions were given; conversations were casual chats on caregivers’ daily lives and health.</t>
  </si>
  <si>
    <t>The intervention group was provided with educational intervention and a scientifically valid educational book approved by faculty members in Shiraz University of Medical Sciences.</t>
  </si>
  <si>
    <t>The control group did not receive any formal education regarding the care of the elderly with dementia, during the study. In order to have ethical considerations in the research, after conducting the study, the educational programs were carried out and also, a book was provided for them.</t>
  </si>
  <si>
    <t>Vietnam</t>
  </si>
  <si>
    <t>16 weeks</t>
  </si>
  <si>
    <t>1 month</t>
  </si>
  <si>
    <t>PHQ-4</t>
  </si>
  <si>
    <t>Caregiver mental health</t>
  </si>
  <si>
    <t>MoCA</t>
  </si>
  <si>
    <t>Patient neuropsychiatric symptoms</t>
  </si>
  <si>
    <t>BEHAVE-AD</t>
  </si>
  <si>
    <t>BADL</t>
  </si>
  <si>
    <t>GHQ-28</t>
  </si>
  <si>
    <t>SF36 Physical health</t>
  </si>
  <si>
    <t>BDI</t>
  </si>
  <si>
    <t>BAI</t>
  </si>
  <si>
    <t>CES-D</t>
  </si>
  <si>
    <t>Caregiver anxiety</t>
  </si>
  <si>
    <t>QoL-Ada</t>
  </si>
  <si>
    <t>Spielberger questionnaires</t>
  </si>
  <si>
    <t>1 month post intervention</t>
  </si>
  <si>
    <t>3 months post intervention</t>
  </si>
  <si>
    <t>five monthly in-home nurse-led cognitive behavioral sessions and consultation calls after each session</t>
  </si>
  <si>
    <t>2 month follow-up</t>
  </si>
  <si>
    <t>8 weekly sessions (The GHQ was completed before and 35 - 40 days after the intervention in both groups)</t>
  </si>
  <si>
    <t>Caregiver positive experience</t>
  </si>
  <si>
    <t>NPI-Q distress</t>
  </si>
  <si>
    <t>General Self Efficacy scale (GSE-10)</t>
  </si>
  <si>
    <t>SF36 mental health</t>
  </si>
  <si>
    <t>Source</t>
  </si>
  <si>
    <t>2022 search</t>
  </si>
  <si>
    <t>2019 meta-analysis</t>
  </si>
  <si>
    <t>Caregiver subjective wellbeing</t>
  </si>
  <si>
    <t>Thai Subjective well-being Scale</t>
  </si>
  <si>
    <t>Caregiver.intervention.subgroups</t>
  </si>
  <si>
    <t>Multi-component intervention</t>
  </si>
  <si>
    <t>PEI, CBT</t>
  </si>
  <si>
    <t>PEI, CBT, CCM, CFT</t>
  </si>
  <si>
    <t>PEI, CCM, GS</t>
  </si>
  <si>
    <t>PEI, CBT, GS</t>
  </si>
  <si>
    <t>PEI, CCM</t>
  </si>
  <si>
    <t>PEI, GS</t>
  </si>
  <si>
    <t>Cognitive-behavioural intervention</t>
  </si>
  <si>
    <t>Psychoeducational intervention</t>
  </si>
  <si>
    <t>Miscellaneous</t>
  </si>
  <si>
    <t>Caregiver.intervention.type</t>
  </si>
  <si>
    <t>CBT</t>
  </si>
  <si>
    <t>MISC</t>
  </si>
  <si>
    <t>PEI</t>
  </si>
  <si>
    <t>NULL</t>
  </si>
  <si>
    <t>Unspecified.0</t>
  </si>
  <si>
    <t>Unspecified.1</t>
  </si>
  <si>
    <t>CFT</t>
  </si>
  <si>
    <t>GS</t>
  </si>
  <si>
    <t>Regression</t>
  </si>
  <si>
    <t>1 year later</t>
  </si>
  <si>
    <t>Domain.1.unmodified</t>
  </si>
  <si>
    <t>Domain.2.unmodified</t>
  </si>
  <si>
    <t>Domain.3.unmodified</t>
  </si>
  <si>
    <t>Domain.4.unmodified</t>
  </si>
  <si>
    <t>Domain.5.unmodified</t>
  </si>
  <si>
    <t>Overall.unmodified</t>
  </si>
  <si>
    <t>Caregiver psychological quality of life</t>
  </si>
  <si>
    <t>Language</t>
  </si>
  <si>
    <t>Chinese</t>
  </si>
  <si>
    <t>English</t>
  </si>
  <si>
    <t>Hospital admission</t>
  </si>
  <si>
    <t>Patient registration</t>
  </si>
  <si>
    <t>Source of patients</t>
  </si>
  <si>
    <t xml:space="preserve">Between January 2005 and September 2006, we surveyed 1,378 people aged 65 and over in two urban catchment areas in Lima, Peru (Lima Cercado and San Miguel), of whom 130 were found to have dementia.. Intervention was carried out at the participant's home. </t>
  </si>
  <si>
    <t>Patient age in year (mean)</t>
  </si>
  <si>
    <t>Frequency</t>
  </si>
  <si>
    <t>Weekly</t>
  </si>
  <si>
    <t>Self-fund</t>
  </si>
  <si>
    <t>Twice a week</t>
  </si>
  <si>
    <t>Monthly</t>
  </si>
  <si>
    <t>Bi-weekly</t>
  </si>
  <si>
    <t>Source of funding</t>
  </si>
  <si>
    <t>Type of funding source</t>
  </si>
  <si>
    <t>WHO</t>
  </si>
  <si>
    <t>International organisation</t>
  </si>
  <si>
    <t>National government</t>
  </si>
  <si>
    <t>NSFC</t>
  </si>
  <si>
    <t>University</t>
  </si>
  <si>
    <t>Babol University of Medical Sciences</t>
  </si>
  <si>
    <t>10/66 Dementia Research</t>
  </si>
  <si>
    <t>NIH</t>
  </si>
  <si>
    <t>Local government</t>
  </si>
  <si>
    <t>Fudan University</t>
  </si>
  <si>
    <t>University of Social Welfare and Rehabilitation Sciences</t>
  </si>
  <si>
    <t>Tarbiat Modares University</t>
  </si>
  <si>
    <t xml:space="preserve"> Isfahan University of Medical Sciences</t>
  </si>
  <si>
    <t xml:space="preserve">Local government </t>
  </si>
  <si>
    <t>Dokuz Eylul University</t>
  </si>
  <si>
    <t>Liaoning Provincial Government</t>
  </si>
  <si>
    <t>Changning District Government, Shanghai</t>
  </si>
  <si>
    <t>Shiraz University of Medical Sciences</t>
  </si>
  <si>
    <t>Multiple</t>
  </si>
  <si>
    <t>Virtual, offline activity, follow-up</t>
  </si>
  <si>
    <t>excluded</t>
  </si>
  <si>
    <t>Jin Hua Science and Technology Bureau</t>
  </si>
  <si>
    <t xml:space="preserve">Multiple </t>
  </si>
  <si>
    <t>Group sessions</t>
  </si>
  <si>
    <t>Attrition</t>
  </si>
  <si>
    <t>Attrition.percent</t>
  </si>
  <si>
    <t>Post_intervention_period</t>
  </si>
  <si>
    <t>GHQ-12</t>
  </si>
  <si>
    <t>EASI</t>
  </si>
  <si>
    <t>Although we encouraged the family to visit the psychiatrist at the clinic, psychiatrists were still needed to carry out 21 home visits.</t>
  </si>
  <si>
    <t>Recruitment</t>
  </si>
  <si>
    <t>Information about dementia was widely disseminated through handouts, newspaper articles and through private and public health services. Concerned relatives and older people were urged to contact a special help line. Probable cases of dementia were also identified with the help of key informants (doctors, priests, health workers, local leaders). All probable cases were examined by a trained clinician (AD) to confirm the diagnosis of dementia according to DSM IV criteria[9] and graded using the Clinical Dementia Rating (CDR) Scale[10].</t>
  </si>
  <si>
    <t>Mode of intervention</t>
  </si>
  <si>
    <t>A total of 102 patients with moderate and severe AD admitted to the People’s Hospital of Nanjing Medical University from February 2016 to March 2018 were included in this study.</t>
  </si>
  <si>
    <t>Implementation of discharge guidance plan, establishment of Wechat group for the discharged patients, opening of hotline, online provision of AD rehabilitation, nursing and medication guidance. The Wechat group and hotline mainly have the following functions, inquiry function. After the patients release or call to raise nursing and medication issues within the group, the designated nursing team members should reply within 1 d and organize appropriate case extension analysis and discussion within the Wechat group...Enhancement of communication among doctors, nurses and patients and if the patients or nursing staff do not appear in group chat for a month, the nursing team members inquired the reasons, informed the significance of active participation in group chat and recommended participation...Organization of offline activities including group activities such as the sand table games and simple intelligent toys[7] were held every 2 mo to improve patient’s yearning for a better life and physical function exercise. The behavioral pathology assessment scale of Alzheimer’s disease (BEHAVE-AD)[8] was used in this study. The behavioral and psychological symptoms of the patients were scored by the doctors.</t>
  </si>
  <si>
    <t>The study population consisted of family caregivers of elderly Alzheimer’s patients who referred to hospitals and neurologists’ offices located in the western cities of Mazandaran province, Iran (Ghaemshahr Razi Hospital; Ramsar, Tonekabon, and Ghaemshahr neurologists’ offices).</t>
  </si>
  <si>
    <t>The intervention was administered as a training program that aimed to promote resilience development through PowerPoint presentations and educational pamphlets. These were supplied through a lecture for the intervention group...The group-based intervention process required eight sessions (45-minute sessions once per week) and was held as an educational class by one of the researchers in a hospital located in Mazandaran province, Iran.</t>
  </si>
  <si>
    <t>The present study was conducted at selected community settings of Puducherry...A total of 314 elderly participants were recruited for the study after obtaining the written informed consent.Convenient sampling technique was used in the selection of the participants.</t>
  </si>
  <si>
    <t>Between January 2005 and September 2006, we surveyed 1,378 people aged 65 and over in two urban catchment areas in Lima, Peru (Lima Cercado and San Miguel), of whom 130 were found to have dementia.10 Between January and February 2007, these families were approached again and invited to take part in the intervention.</t>
  </si>
  <si>
    <t>Caregiver psychological morbidity</t>
  </si>
  <si>
    <t xml:space="preserve">‘Helping Carers to Care’ was developed pragmatically to be delivered at home using non-specialist local resources...Accordingly, the intervention was delivered by junior psychologists and social workers. The 10/66 intervention targets the main caregiver, but it also includes members of the immediate and extended family. The aim is to provide basic education about dementia and specific training on managing problem behaviors. The three simple, manualised modules are delivered over five weekly sessions with 30 minutes each. </t>
  </si>
  <si>
    <t>Recruitment_N</t>
  </si>
  <si>
    <t>A total of 148 caregivers in 12 clusters were screened for eligibility (see Figure 2). Three (25%) of the 12 clusters (one randomized to the intervention and two to the enhanced control condition) were excluded due to low recruitment (fewer than three eligible caregivers identified). Of the 146 caregivers who were screened in the remaining nine clusters, 71 met study criteria, and 60 (85% of those caregivers who were eligible) were successfully randomized. Of the 71 eligible participants, 7 (10%) declined to participate and an additional 4 were excluded because the target of 60 caregivers had been reached. Of the 60 participants randomized (across nine clusters), 51 completed the study (26 in the control group and 25 in REACH VN intervention).</t>
  </si>
  <si>
    <t>A culturally adapted version of a four- to six-session, multicomponent intervention delivered in-home over 2 to 3 months, or enhanced control.</t>
  </si>
  <si>
    <t>four- to six-session,multicomponent intervention delivered weekly in-home over 2 to 3 months, measured at 3 months</t>
  </si>
  <si>
    <t>Ninety-six patients with AD admitted to our elderly rehabilitation center from January 2006 to July 2011 were selected. 选择 2006 年 1 月至 2011 年 7 月入住我院 托老康复中心的 AD 患者 96 例</t>
  </si>
  <si>
    <t>In the control group, conventional treatment and nursing care were provided with brain rehab and donepezil, while in the study group, a full rehabilitation nursing intervention was provided on top of the above conventional treatment, including cognitive intervention, memory intervention, behavioral intervention, psychological intervention, safety intervention, medication guidance, and community-home care intervention. (Community-home nursing intervention: After the patients were discharged from the hospital, home follow-up nursing interventions were conducted, with monthly lectures for patients and caregivers, one home visit every two weeks, and one weekly telephone follow-up visit to understand the patients' rehabilitation treatment and provide relevant guidance.)对照组运用脑复康、多奈哌齐等进行常规治疗和常规护理， 研究组在上述常规治疗的基础上进行全程康复护理干预，内容包括认知干预、记忆干预、行为干预、心理 干预、安全干预、用药指导、社区-家庭护理干预等。(社区-家庭护理干预: 患者在出院后，进行家庭 跟踪随访护理干预，每月为患者及照顾者进行讲课，每 2 周上 门随访 1 次，每周电话随访 1 次，了解患者的康复治疗情况， 提出相关指导意见。)</t>
  </si>
  <si>
    <t>ADAS-cog</t>
  </si>
  <si>
    <t>CCI</t>
  </si>
  <si>
    <t>ADL</t>
  </si>
  <si>
    <t>NPI</t>
  </si>
  <si>
    <t>Global Deterioration Scale</t>
  </si>
  <si>
    <t>Patient Alzheimer's Stages</t>
  </si>
  <si>
    <t>A non-probability sampling method was used to select 78 home caregivers of elderly with dementia in a community in Shanghai in April-October 2016 as the study population.采用非概率抽样法，选择２０１６年４月１０月上海市某社区失智老人居家照顾者７８人为研究对象。</t>
  </si>
  <si>
    <t>The training was conducted in a variety of ways, including scenario simulation, case analysis and sharing, and group discussion and exchange, and theoretical and practical assessments were conducted by experts. According to the training results of the course for community health care workers, the community nurses who have passed the training are assigned and their duties are divided, and each nurse is responsible for home visits of 3-4 cases of elderly people with dementia. Home visits are conducted once a week for 1.5 to 2.0 hours each time, and the work can be adjusted individually.采 用 体 验 式 学 习 法 ，以 情 景 模 拟 体 验 、 案 例 分 析 分 享 、小组讨论交流等多种方式进行，由 授 课 专家对培训护士进行理论及实践操作考核。 共计 ５ 次 课 程 ，每 次 ３ｈ～４ｈ。根据社区医护人员课 程 培 训 结 果 ，对培训合格的社区护士进行人员分配及 职责划分，每 名 护 士 负 责 ３ 例 ～４ 例 失 智 老 人 居 家 照 顾 者 的 家 庭 访 视 ，每 ２ 周 进 行 １ 次 集 中 讨 论 ，讨 论 本 组 内失智老人及其 照 顾 者 的 现 况 并 实 时 更 新 记 录，如 遇 不能解决的照 顾 问 题，及 时 向 专 家 求 助。 家 庭 访 视 每 周１次，每次 １．５ｈ～２．０ｈ，具体工作可进行 个 体 化 调 整</t>
  </si>
  <si>
    <t>Liu 2017</t>
  </si>
  <si>
    <t>Healthy Life Style Behavior Scale II</t>
  </si>
  <si>
    <t>The population of the study consisted of 40 caregivers registered at the Erenköy Rotary Club Family Health Center who are also the first degree relatives of individuals diagnosed with dementia according to DSM V. The selection of the individuals who participated in the study was carried out at the Family Health Center. A list of dementia patients was obtained from the family health center after which the experiment and control groups were determined via simple randomization method.</t>
  </si>
  <si>
    <t>Caregiver healthy responsibility</t>
  </si>
  <si>
    <t>Caregiver physical activity</t>
  </si>
  <si>
    <t>Caregiver feeding</t>
  </si>
  <si>
    <t>Caregiver moral development</t>
  </si>
  <si>
    <t>Caregiver interpersonal communication</t>
  </si>
  <si>
    <t>Caregiver stress management</t>
  </si>
  <si>
    <t>The pretest post-test data of the study and the application stage of the program were carried out at the homes of the caregivers in the form of home visits for a period of seven weeks.</t>
  </si>
  <si>
    <t>The statistical population was 4000 main family caregivers of the elderly with Alzheimer's disease registered in Iran Alzheimer's Association in 2014. Sampling was performed through the convenience sampling method.</t>
  </si>
  <si>
    <t>Control 1 (group sessions)</t>
  </si>
  <si>
    <t>Control 2 (No intervention)</t>
  </si>
  <si>
    <t>Five, 45 to 60 minute weekly sessions were held for control group one. In these sessions caregivers were meet each other in groups, without performing any particular interventions, and daily issues were discussed.</t>
  </si>
  <si>
    <t>In the intervention group, Spiritual group therapy was held weekly for five weeks and each session lasted 45 to 60 min. Subjects presented included: Introduction and formation of group solidarity in session one, The role of reciting the Quran in personal peace in session two, The role of recommended recitals and repeat them in personal peace in session three, The role of reciting prayers in personal peace in session four and Explaining the experience of spiritual care and its effects, preparing members to leave the group and take advantage of the group's achievements in session five.</t>
  </si>
  <si>
    <t>Group support</t>
  </si>
  <si>
    <t>no intervention</t>
  </si>
  <si>
    <t xml:space="preserve">In research statistical society is women caregivers that they are members of Alzheimer's association. In order to compare the results and to measure the effects of any independent variable, our samples included one experimental group and one control group. Research samples were obtained from Alzheimer’s caregivers who were the members of Alzheimer association. The selection of sampling method was based on the type of sampling available through membership and referring of Alzheimer association. </t>
  </si>
  <si>
    <t>The group under the mindfulness based cognitive therapy had 8 weekly sessions of 2.5-hour periods.</t>
  </si>
  <si>
    <t>Therefore, a total of 80 participants were recruited from three secondary medical care hospitals in the central part of Thailand. These settings had similar care services for dementia caregivers.</t>
  </si>
  <si>
    <t>Three groups of 15 family members met once a week, for 2 hours over 6 weeks. At week 7, the PI offered the individual sessions (see details in Table 1). For the control group, participants received only usual care which included health education or suggestions from nurses and other professionals at psychiatric clinics of hospital or at home.</t>
  </si>
  <si>
    <t>Sampling was conducted from April to July 2009, by referring to Modares Psychiatric Hospital and Shariati Psychiatric clinic in the city of Isfahan, which are the centers for elderly with dementia, and the samples were selected from caregivers of the elderly referring to these centers.</t>
  </si>
  <si>
    <t>Simplified Coping Scale</t>
  </si>
  <si>
    <t>Caregiver mutuality</t>
  </si>
  <si>
    <t>Mutuality Scale</t>
  </si>
  <si>
    <t>Caregiver passive coping</t>
  </si>
  <si>
    <t>Caregiver active coping</t>
  </si>
  <si>
    <t>The study participants were recruited conveniently from neurologists’ private offices.</t>
  </si>
  <si>
    <t>The intervention included five SC educational sessions held weekly for five consecutive weeks. The length of each session ranged from 45 to 60 minutes. All sessions were held by the first author. The educational package had already been developed by Reyhani et al...It includes topics such as reliance on God, seeking help from holy people, patience, generosity, altruism, mantra, and prayer. This package has been approved by clergies and university instructors. In sessions one to five, we explained the roles of reliance on God, seeking help from holy people, patience, generosity, and mantra and prayer in maintaining or regaining the inner peace. Patients in the control group received no education about spirituality.</t>
  </si>
  <si>
    <t>The trial took place at the psychogeriatric out‑patient clinic of Al‑Maamoura Psychiatric Hospital, targeting informal caregivers  (principal family member/relative) of people with NCDs.</t>
  </si>
  <si>
    <t>The intervention group (60) participated in a multi‑component program of 8 sessions, including psycho‑education, group cognitive‑behavioral therapy, and group social support...The program included three components: group psychoeducation (two sessions), brief group  CBT (six sessions), and group support sessions that were held throughout the program covering topics similar to psychoeducation/CBT topics as illustrated in Table 1. Each session took 45–60 min. Training was conducted through a collaborative approach using illustrations, vignettes, role playing, brainstorming, group discussion, and audio‑visual aids. Different methods were used to achieve different objectives of the program. An intervention protocol with all details covering the above‑mentioned sessions was prepared based on caregivers’ needs reported by them in the early assessment phase, and on reviewing literature for other programs directed to caregivers’ of people with NCDs, worldwide. Culturally sensitive sessions were designed taking into consideration the characteristics of participants. The program was implemented by the principal investigator (second author).</t>
  </si>
  <si>
    <t>MD</t>
  </si>
  <si>
    <t>Arabic version of Taylor Manifest Anxiety Scale</t>
  </si>
  <si>
    <t>The first home visit focused on understanding the behaviors of the individuals with dementia, how caregivers coped with these behaviors, and difficulties experienced by caregivers. After 2 weeks, during the second home visit for caregivers in the experimental group, the PLST-based intervention was provided and demonstrated. At the third home visit 2 months later, the care plan was reviewed, more techniques were taught, and written materials summarizing the care plan were provided. After the third home visit, follow-up telephone calls were made every 2 weeks.</t>
  </si>
  <si>
    <t>Participants were recruited between October 2012 and October 2013 in a large city in western Turkey... Patient lists were obtained from dementia outpatient clinics at one university hospital and the office of the Alzheimer’s Association in Izmir. Potential participants and their family members were then identified.</t>
  </si>
  <si>
    <t>QoL-AD</t>
  </si>
  <si>
    <t>Patients in both groups were hospitalized for 14 d. The control group was given conventional care, while the observation group was assigned a specialist to implement comprehensive nursing interventions... Encourage the patient's family to accompany the patient more after discharge, such as walking, chatting, or participating in some learning and social family activities that they can do. The patient's family members were encouraged to accompany the patient after discharge, such as walking, chatting, or participating in some learning and social family activities. The patient's family members should be instructed to keep in touch with each other and to participate in home care, and the patient's family members should be instructed by telephone or at home about the skills and questions of care.2 组患者均住院治疗 14 d，对照组予常规护理，观察组安排 专人实施综合护理干预...鼓励患者家属出院后多 陪伴患者，如散步、聊天，或参加一些学习和力所能及的社会家 庭活动。给予多方面的帮助，使其消除孤独寂寞感，感受家庭的 温馨和生活的快乐。嘱家属保持联系，指导家属参与家庭护理， 定时电话或者上门指导患者家属护理的技巧和质疑事项。</t>
  </si>
  <si>
    <t>Forty patients with dementia who were admitted to the neurology department from 2008 to June 2011 were selected.选择本院 2008 年 ～ 2011 年 6 月在神经内科住院的老年痴 呆患者 40 例</t>
  </si>
  <si>
    <t>AD patients who choose our geriatric ward for inpatient care. 选择本院老年病区就诊住院的AD病人。</t>
  </si>
  <si>
    <t>The control group was discharged from the hospital with routine discharge instructions without any intervention. In the experimental group, in addition to routine discharge instructions, nurses made one telephone visit per week; arranged one free outpatient nursing consultation every 2 weeks; conducted one home visit every 4 weeks; and held one meeting with AD patients and their families every 3 months. The duration of the intervention was 1 year. The content of the intervention includes: (1) education on AD disease and nursing care for patients' family members and the preparation of "Health Tips for Patients with Alzheimer's Disease" based on the common nursing problems of AD patients and their family members. ②Guidance on home safety care. Provide guidance to patients and family members to reduce the incidence of home safety problems such as accidental inhalation, misuse, falls, lost walking, and heat injury, which are common among AD patients. (3) Psychological care and emotional support. Use supportive psychological care techniques such as listening, explaining, reassuring, guiding and advising, venting, encouraging, and promoting self-help.对照组进行常规出院指导出院后不施加任 何干预。试验组除常规出院指导外护士每周电话访问1次；每 2周安排1次免费门诊护理咨询；每4周进行1次家访；每3个 月举办AD病人及家属座谈会1次。干预时间为1年。干预内 容包括：①对病人家属进行AD疾病及护理知识的宣教并根据 AD病人及家属常见的护理问题编写“老年性痴呆病人健康须 知”。②家居安全护理指导。针对AD病人常见的误吸、误服、 跌倒、失走、热伤等居家安全问题对病人和家属进行指导以减 轻居家安全问题的发生率。③心理护理及情感支持。运用支持 性心理护理技术如倾听、解释、保证、指导和建议、疏泄、鼓励、 促进自助。</t>
  </si>
  <si>
    <t>Patients with AD admitted to our neurology and geriatrics departments from June 2008 to May 2009 were selected. 选择2008年6月至2009年5月 在我院神经科和老年科住院的AD患者。</t>
  </si>
  <si>
    <t>(1) The control group received routine discharge instructions and answered questions from patients and families without any nursing intervention after discharge. (2) In the observation group, in addition to routine discharge instructions, nurses followed up by telephone 1 time/week and home visits 2 times/month and held health education lectures and on-site instructions in the community once a quarter. 1）对照组进行常规出院指导并解答 患者和家属的疑问出院后不进行任何护理干预。 （2）观察组除进行常规出院指导外护士电话随访 1次／周家访2次／月每季度去社区举办健康教育 讲座1次并现场指导。</t>
  </si>
  <si>
    <t>the program applied to caregivers is supported not only by the group trainings given in the hospital but also by the home visits and telephone conversations provided outside of the clinical setting as well as by having a multidisciplinary team.</t>
  </si>
  <si>
    <t>This study was conducted at Manisa Celal Bayar University (MCBU) Hafsa Sultan Hospital Dementia Outpatient Clinic in Manisa, between July and November 2016. The study universe comprised clinic-registered patients (N = 396) and their caregivers (family caregivers).</t>
  </si>
  <si>
    <t>The intervention group implemented community nursing interventions, including health education, basic life care, psycho-emotional support, and rehabilitation training guidance.... According to the health knowledge needs of AD patients and their families, the community nursing staff conducted regular lectures, distributed health education and rehabilitation instruction manuals to AD patients and their caregivers, and explained them in detail so that they could understand and grasp them and could simply repeat the content of the education. Home visit once a month to provide health education and nursing technical guidance on site for one year.干预组实行社区护理干预： 包括健康知识宣教； 基础生活护理； 心理情感支持； 康复训练指导。...社区护理人员根据 AD 患者及家 属 健 康 知识需求， 定期开展知识讲座， 发放 AD 患者及照顾者健康教 育和康复指导手册， 并详细讲解， 使其理解掌握， 能够简单复 述宣教内容； 每周电话访问 1 次， 倾听患者及家属的问题， 建 立良好的护患关系， 取得患者信任； 每个月家庭访视 1 次， 现 场进行健康教育宣传及护理技术指导， 为期 1 年。</t>
  </si>
  <si>
    <t>From May 2007 to May 2008, 80 patients diagnosed with early and mid-stage AD in Songpo Yuan and Xilao Bao communities in Jinzhou City were randomly grouped....Eighty hospital-diagnosed AD patients in the community were selected, and were enrolled according to the Diagnostic and Statistical Manual of Mental Disorders (DSM-IV) criteria for the diagnosis of AD, with early and intermediate stage AD as assessed by the Clinical Dementia Rating Scale (CDR).笔 者 于 2007 年 5 月~2008 年 5 月对锦州市松坡园社区和西劳保社区中 80 例 诊 断为早、 中期 AD 患者随机分组，...选 择 社 区 中 80 例 医 院 诊 断 为 AD 患 者 ， 入 选 标 准 符 合 美 国精神疾病诊断和统计手册 （DSM-IV） 中 AD 的 诊 断 标 准 ， 临床痴呆评定量表 （CDR） 评定为早、 中 期 的 AD 患 者 。</t>
  </si>
  <si>
    <t>The caregivers were recruited from a list of people with dementia attending one of two dementia resources and respite care centers in Guangzhou, Guangdong Province of mainland China.</t>
  </si>
  <si>
    <t>The peer-led mutual support group met bi-weekly, for a total of 12 1.5-hour sessions. All group sessions mainly consisted of information giving, sharing and discussion, psychological support, and problem solving</t>
  </si>
  <si>
    <t>The control group received the conventional family services provided by the dementia centers.</t>
  </si>
  <si>
    <t>In the control group, only general community health services and daily care were provided without home care intervention; in the experimental group, a standardized home care intervention model was used for 1 year..... Regular follow-up visits The steering group visited the patients in the experimental group once every 2 months to review the disease log and provide constructive advice. The caregivers were also given regular psychological counseling to establish a long-term, regular caregiver support system.对照组只给予一般 的社区卫生服务和生活护理，未进行居家护理干预; 试验组 采用规范的居家护理干预模式进行为期 1 年的规范干预。... 定期随访 指导小组每 2 个月对试验组患者进行 1 次家访，查看疾病日志，提出建设性意见。同时还要定期对 照顾者进行心理疏导，建立 长 期、固定的照顾者保障支持 系统。</t>
  </si>
  <si>
    <t>From April to June 2011, more than 800 elderly people were screened for AD in six rest homes in Chengdu using the Chinese Classification and Diagnostic Criteria for Mental Disorders, Third Edition (CCMD-3); from June 2011 to May 2012, 128 cases of AD were diagnosed.2011 年 4 ～ 6 月采用中国精神障碍分类与 诊断标准第三版( CCMD-3) ，对成都地区的 6 个干休所 800 余名老年人进行 AD 筛查; 2011 年 6 月 ～ 2012 年 5 月对确诊 的 128 例 AD 患者</t>
  </si>
  <si>
    <t>(1) Training for community members and distribution of 500 copies of related promotional materials. ②Establish self-help support groups for Alzheimer's families to share and discuss their experiences and organize activities for family members. ③ Conduct semi-annual coordination meetings with relevant personnel to discuss problems and solutions encountered in the intervention process.①对社区相关人员进行培训，发放相关 宣传材料 500 份。②建立老年痴呆家庭的自助互助小组， 互相分享讨论心得体会，举办家庭成员活动。③开展每半 年 1 次的相关人员座谈协调会，讨论干预过程中遇到的问 题及解决方案。</t>
  </si>
  <si>
    <t>Patients with dementia and BPSD were collected from 4 streets in Changning District using a whole group sampling method... Patients in two of the streets were selected as the control group and were only given medication and general mental health information (i.e., mental health information was promoted through various media and methods, such as mental health information boards, pamphlets, community mental health lectures, mental health clinics, etc.). Patients in the other two streets were selected as the intervention group, and psychiatrists were provided with home visits, and medication and psychosocial interventions were given with the informed consent of the guardians.采用整群抽样方法，在长宁区 4 个街道收集痴呆 伴 BPSD 的患者。...选取其中 2 个街道的患者为对照组，只给予药物治疗 和一般的心理健康知识宣传（即指通过各类媒体、各种方 式开展的心理健康知识宣传，如心理健康知识的宣传板 报、宣传册、进社区的心理卫生知识讲座、心理健康义 诊等）。选取另 2 个街道的患者为干预组，提供精神科医 师上门出诊服务，经监护人知情同意，给予药物治疗和 心理社会干预。</t>
  </si>
  <si>
    <t>GQOLI-74</t>
  </si>
  <si>
    <t>The family care model is a holistic family-based care model that provides nursing interventions through health education to the patient's family about potential nursing problems related to the patient's physical, family, and social status [2-3]. The control group was discharged with routine discharge instructions and answers to patients' and families' questions without any nursing interventions. In the observation group, in addition to routine discharge instructions, nurses made one telephone follow-up visit per week and two home visits per month, and held health education lectures in the community once a quarter and provided on-site instructions.家庭护理是以家庭为单位的整体护理模 式通过对患者家属实施健康教育对患者生理、家庭和社会 状况提出潜在的护理问题进行护理干预 ［2－3］ 。对照组进行 常规出院指导并解答患者和家属的疑问出院后不进行任何 护理干预。观察组除进行常规出院指导外护士每周电话随 访1次每月家访2次每季去社区举办健康教育讲座1次 并现场指导。</t>
  </si>
  <si>
    <t>Unclear</t>
  </si>
  <si>
    <t>z_score</t>
  </si>
  <si>
    <t>Patient education and support</t>
  </si>
  <si>
    <t>2023 search</t>
  </si>
  <si>
    <t>2024 search</t>
  </si>
  <si>
    <t>2025 search</t>
  </si>
  <si>
    <t>Comprehensive care intervention</t>
  </si>
  <si>
    <t>The study was conducted in geriatric clinic in Imam Reza and other neurology clinics affiliated to Shiraz University of Medical Sciences, Shiraz, Iran. The target population included family caregivers of the elderly people with dementia living in Shiraz.</t>
  </si>
  <si>
    <t>The intervention group was provided with educational intervention and a scientifically valid educational book approved by faculty members in Shiraz University of Medical Sciences. The control group did not receive any formal education regarding the care of the elderly with dementia, during the study. In order to have ethical considerations in the research, after conducting the study, the educational programs were carried out and also, a book was provided for them...The intervention group was provided with educational intervention and a scientifically valid edu</t>
  </si>
  <si>
    <t>Caregiver.intervention.type.abbr</t>
  </si>
  <si>
    <t>MCI</t>
  </si>
  <si>
    <t>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</si>
</sst>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6" x14ac:knownFonts="1">
    <font>
      <sz val="11"/>
      <color rgb="FF000000"/>
      <name val="Calibri"/>
      <family val="2"/>
      <scheme val="minor"/>
    </font>
    <font>
      <sz val="8"/>
      <name val="Calibri"/>
      <family val="2"/>
      <scheme val="minor"/>
    </font>
    <font>
      <sz val="11"/>
      <name val="Calibri (Body)"/>
    </font>
    <font>
      <sz val="11"/>
      <name val="Calibri"/>
      <family val="2"/>
      <scheme val="minor"/>
    </font>
    <font>
      <sz val="11"/>
      <color rgb="FF000000"/>
      <name val="Calibri"/>
      <family val="2"/>
      <scheme val="minor"/>
    </font>
    <font>
      <sz val="9"/>
      <color rgb="FF000000"/>
      <name val="Arial"/>
      <family val="2"/>
    </font>
  </fonts>
  <fills count="7">
    <fill>
      <patternFill patternType="none"/>
    </fill>
    <fill>
      <patternFill patternType="gray125"/>
    </fill>
    <fill>
      <patternFill patternType="solid">
        <fgColor theme="9" tint="0.79998168889431442"/>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5" tint="0.59999389629810485"/>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9" fontId="4" fillId="0" borderId="0" applyFont="0" applyFill="0" applyBorder="0" applyAlignment="0" applyProtection="0"/>
  </cellStyleXfs>
  <cellXfs count="40">
    <xf numFmtId="0" fontId="0" fillId="0" borderId="0" xfId="0"/>
    <xf numFmtId="0" fontId="3" fillId="0" borderId="0" xfId="0" applyFont="1"/>
    <xf numFmtId="0" fontId="2" fillId="0" borderId="0" xfId="0" applyFont="1"/>
    <xf numFmtId="43" fontId="3" fillId="0" borderId="0" xfId="1" applyFont="1" applyFill="1"/>
    <xf numFmtId="2" fontId="3" fillId="0" borderId="0" xfId="1" applyNumberFormat="1" applyFont="1" applyFill="1"/>
    <xf numFmtId="1" fontId="3" fillId="0" borderId="0" xfId="0" applyNumberFormat="1" applyFont="1"/>
    <xf numFmtId="9" fontId="0" fillId="0" borderId="0" xfId="2" applyFont="1" applyFill="1"/>
    <xf numFmtId="43" fontId="2" fillId="0" borderId="0" xfId="1" applyFont="1" applyFill="1"/>
    <xf numFmtId="2" fontId="2" fillId="0" borderId="0" xfId="1" applyNumberFormat="1" applyFont="1" applyFill="1"/>
    <xf numFmtId="1" fontId="2" fillId="0" borderId="0" xfId="0" applyNumberFormat="1" applyFont="1"/>
    <xf numFmtId="43" fontId="3" fillId="0" borderId="0" xfId="1" applyFont="1" applyFill="1" applyAlignment="1">
      <alignment horizontal="right"/>
    </xf>
    <xf numFmtId="2" fontId="0" fillId="0" borderId="0" xfId="1" applyNumberFormat="1" applyFont="1" applyFill="1"/>
    <xf numFmtId="0" fontId="3" fillId="0" borderId="0" xfId="1" applyNumberFormat="1" applyFont="1" applyFill="1"/>
    <xf numFmtId="43" fontId="0" fillId="0" borderId="0" xfId="1" applyFont="1" applyFill="1"/>
    <xf numFmtId="0" fontId="5" fillId="0" borderId="0" xfId="0" applyFont="1" applyAlignment="1">
      <alignment vertical="center"/>
    </xf>
    <xf numFmtId="1" fontId="3" fillId="0" borderId="0" xfId="1" applyNumberFormat="1" applyFont="1" applyFill="1"/>
    <xf numFmtId="0" fontId="3" fillId="3" borderId="0" xfId="0" applyFont="1" applyFill="1"/>
    <xf numFmtId="0" fontId="0" fillId="3" borderId="0" xfId="0" applyFill="1"/>
    <xf numFmtId="2" fontId="3" fillId="4" borderId="0" xfId="1" applyNumberFormat="1" applyFont="1" applyFill="1"/>
    <xf numFmtId="1" fontId="3" fillId="4" borderId="0" xfId="0" applyNumberFormat="1" applyFont="1" applyFill="1"/>
    <xf numFmtId="2" fontId="0" fillId="4" borderId="0" xfId="1" applyNumberFormat="1" applyFont="1" applyFill="1"/>
    <xf numFmtId="1" fontId="0" fillId="4" borderId="0" xfId="0" applyNumberFormat="1" applyFill="1"/>
    <xf numFmtId="1" fontId="3" fillId="2" borderId="0" xfId="1" applyNumberFormat="1" applyFont="1" applyFill="1"/>
    <xf numFmtId="2" fontId="3" fillId="2" borderId="0" xfId="1" applyNumberFormat="1" applyFont="1" applyFill="1"/>
    <xf numFmtId="1" fontId="0" fillId="2" borderId="0" xfId="1" applyNumberFormat="1" applyFont="1" applyFill="1"/>
    <xf numFmtId="2" fontId="0" fillId="2" borderId="0" xfId="1" applyNumberFormat="1" applyFont="1" applyFill="1"/>
    <xf numFmtId="0" fontId="3" fillId="5" borderId="0" xfId="0" applyFont="1" applyFill="1"/>
    <xf numFmtId="0" fontId="0" fillId="5" borderId="0" xfId="0" applyFill="1"/>
    <xf numFmtId="0" fontId="3" fillId="6" borderId="0" xfId="0" applyFont="1" applyFill="1"/>
    <xf numFmtId="0" fontId="0" fillId="6" borderId="0" xfId="0" applyFill="1"/>
    <xf numFmtId="164" fontId="3" fillId="3" borderId="0" xfId="1" applyNumberFormat="1" applyFont="1" applyFill="1"/>
    <xf numFmtId="164" fontId="3" fillId="0" borderId="0" xfId="1" applyNumberFormat="1" applyFont="1"/>
    <xf numFmtId="164" fontId="2" fillId="0" borderId="0" xfId="1" applyNumberFormat="1" applyFont="1"/>
    <xf numFmtId="164" fontId="2" fillId="2" borderId="0" xfId="1" applyNumberFormat="1" applyFont="1" applyFill="1"/>
    <xf numFmtId="164" fontId="3" fillId="2" borderId="0" xfId="1" applyNumberFormat="1" applyFont="1" applyFill="1"/>
    <xf numFmtId="164" fontId="3" fillId="0" borderId="0" xfId="1" applyNumberFormat="1" applyFont="1" applyFill="1"/>
    <xf numFmtId="164" fontId="3" fillId="4" borderId="0" xfId="1" applyNumberFormat="1" applyFont="1" applyFill="1"/>
    <xf numFmtId="164" fontId="0" fillId="4" borderId="0" xfId="1" applyNumberFormat="1" applyFont="1" applyFill="1"/>
    <xf numFmtId="2" fontId="3" fillId="0" borderId="0" xfId="1" applyNumberFormat="1" applyFont="1" applyFill="1" applyAlignment="1">
      <alignment horizontal="right"/>
    </xf>
    <xf numFmtId="2" fontId="0" fillId="0" borderId="0" xfId="1" applyNumberFormat="1" applyFont="1" applyFill="1" applyAlignment="1">
      <alignment horizontal="right"/>
    </xf>
  </cellXfs>
  <cellStyles count="3">
    <cellStyle name="Comma" xfId="1" builtinId="3"/>
    <cellStyle name="Normal" xfId="0" builtinId="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86E42-7453-9D4E-A430-82DC30A59557}">
  <dimension ref="A1:BI217"/>
  <sheetViews>
    <sheetView tabSelected="1" workbookViewId="0">
      <pane xSplit="5" ySplit="1" topLeftCell="F2" activePane="bottomRight" state="frozen"/>
      <selection pane="topRight" activeCell="F1" sqref="F1"/>
      <selection pane="bottomLeft" activeCell="A2" sqref="A2"/>
      <selection pane="bottomRight" activeCell="F1" sqref="F1"/>
    </sheetView>
  </sheetViews>
  <sheetFormatPr baseColWidth="10" defaultRowHeight="15" x14ac:dyDescent="0.2"/>
  <cols>
    <col min="1" max="1" width="10.83203125" customWidth="1"/>
    <col min="2" max="2" width="7.33203125" customWidth="1"/>
    <col min="3" max="3" width="5.6640625" customWidth="1"/>
    <col min="9" max="9" width="21.5" customWidth="1"/>
    <col min="14" max="14" width="9.5" customWidth="1"/>
    <col min="15" max="15" width="15.33203125" customWidth="1"/>
    <col min="16" max="16" width="9" style="17" customWidth="1"/>
    <col min="17" max="17" width="15.33203125" customWidth="1"/>
    <col min="18" max="18" width="10.83203125" style="17" customWidth="1"/>
    <col min="19" max="22" width="10.83203125" customWidth="1"/>
    <col min="23" max="28" width="10.83203125" style="27" customWidth="1"/>
    <col min="29" max="34" width="10.83203125" style="29" customWidth="1"/>
    <col min="35" max="38" width="10.83203125" style="13" customWidth="1"/>
    <col min="39" max="41" width="10.83203125" customWidth="1"/>
    <col min="42" max="42" width="17.83203125" style="17" customWidth="1"/>
    <col min="43" max="44" width="10.83203125" style="17"/>
    <col min="45" max="45" width="10.83203125" style="20"/>
    <col min="46" max="46" width="10.83203125" style="37"/>
    <col min="47" max="47" width="10.83203125" style="21"/>
    <col min="48" max="48" width="10.83203125" style="20"/>
    <col min="49" max="49" width="10.83203125" style="24"/>
    <col min="50" max="50" width="11.6640625" style="25" bestFit="1" customWidth="1"/>
    <col min="51" max="51" width="10.83203125" style="20"/>
    <col min="52" max="52" width="10.83203125" style="21"/>
    <col min="53" max="53" width="10.83203125" style="20"/>
    <col min="54" max="56" width="10.83203125" style="11"/>
  </cols>
  <sheetData>
    <row r="1" spans="1:61" x14ac:dyDescent="0.2">
      <c r="A1" t="s">
        <v>336</v>
      </c>
      <c r="B1" s="1" t="s">
        <v>0</v>
      </c>
      <c r="C1" s="1" t="s">
        <v>1</v>
      </c>
      <c r="D1" s="1" t="s">
        <v>2</v>
      </c>
      <c r="E1" s="1" t="s">
        <v>352</v>
      </c>
      <c r="F1" s="1" t="s">
        <v>505</v>
      </c>
      <c r="G1" s="1" t="s">
        <v>341</v>
      </c>
      <c r="H1" s="1" t="s">
        <v>3</v>
      </c>
      <c r="I1" s="1" t="s">
        <v>4</v>
      </c>
      <c r="J1" s="1" t="s">
        <v>5</v>
      </c>
      <c r="K1" s="1" t="s">
        <v>370</v>
      </c>
      <c r="L1" s="1" t="s">
        <v>384</v>
      </c>
      <c r="M1" s="1" t="s">
        <v>385</v>
      </c>
      <c r="N1" s="1" t="s">
        <v>6</v>
      </c>
      <c r="O1" s="1" t="s">
        <v>418</v>
      </c>
      <c r="P1" s="16" t="s">
        <v>378</v>
      </c>
      <c r="Q1" s="1" t="s">
        <v>416</v>
      </c>
      <c r="R1" s="16" t="s">
        <v>375</v>
      </c>
      <c r="S1" s="1" t="s">
        <v>7</v>
      </c>
      <c r="T1" s="1" t="s">
        <v>8</v>
      </c>
      <c r="U1" s="1" t="s">
        <v>9</v>
      </c>
      <c r="V1" s="1" t="s">
        <v>10</v>
      </c>
      <c r="W1" s="26" t="s">
        <v>11</v>
      </c>
      <c r="X1" s="26" t="s">
        <v>12</v>
      </c>
      <c r="Y1" s="26" t="s">
        <v>13</v>
      </c>
      <c r="Z1" s="26" t="s">
        <v>14</v>
      </c>
      <c r="AA1" s="26" t="s">
        <v>15</v>
      </c>
      <c r="AB1" s="26" t="s">
        <v>16</v>
      </c>
      <c r="AC1" s="28" t="s">
        <v>363</v>
      </c>
      <c r="AD1" s="28" t="s">
        <v>364</v>
      </c>
      <c r="AE1" s="28" t="s">
        <v>365</v>
      </c>
      <c r="AF1" s="28" t="s">
        <v>366</v>
      </c>
      <c r="AG1" s="28" t="s">
        <v>367</v>
      </c>
      <c r="AH1" s="28" t="s">
        <v>368</v>
      </c>
      <c r="AI1" s="3" t="s">
        <v>17</v>
      </c>
      <c r="AJ1" s="3" t="s">
        <v>377</v>
      </c>
      <c r="AK1" s="3" t="s">
        <v>18</v>
      </c>
      <c r="AL1" s="3" t="s">
        <v>19</v>
      </c>
      <c r="AM1" s="1" t="s">
        <v>20</v>
      </c>
      <c r="AN1" s="1" t="s">
        <v>21</v>
      </c>
      <c r="AO1" s="1" t="s">
        <v>22</v>
      </c>
      <c r="AP1" s="16" t="s">
        <v>23</v>
      </c>
      <c r="AQ1" s="16" t="s">
        <v>24</v>
      </c>
      <c r="AR1" s="16" t="s">
        <v>25</v>
      </c>
      <c r="AS1" s="18" t="s">
        <v>26</v>
      </c>
      <c r="AT1" s="30" t="s">
        <v>427</v>
      </c>
      <c r="AU1" s="19" t="s">
        <v>27</v>
      </c>
      <c r="AV1" s="18" t="s">
        <v>28</v>
      </c>
      <c r="AW1" s="22" t="s">
        <v>410</v>
      </c>
      <c r="AX1" s="23" t="s">
        <v>411</v>
      </c>
      <c r="AY1" s="18" t="s">
        <v>29</v>
      </c>
      <c r="AZ1" s="19" t="s">
        <v>30</v>
      </c>
      <c r="BA1" s="18" t="s">
        <v>31</v>
      </c>
      <c r="BB1" s="4" t="s">
        <v>32</v>
      </c>
      <c r="BC1" s="4" t="s">
        <v>33</v>
      </c>
      <c r="BD1" s="4" t="s">
        <v>497</v>
      </c>
      <c r="BE1" s="1" t="s">
        <v>34</v>
      </c>
      <c r="BF1" s="1" t="s">
        <v>263</v>
      </c>
      <c r="BG1" s="1" t="s">
        <v>264</v>
      </c>
      <c r="BH1" s="1" t="s">
        <v>412</v>
      </c>
      <c r="BI1" s="1"/>
    </row>
    <row r="2" spans="1:61" x14ac:dyDescent="0.2">
      <c r="A2" t="s">
        <v>337</v>
      </c>
      <c r="B2" s="2" t="s">
        <v>288</v>
      </c>
      <c r="C2" s="2">
        <v>2019</v>
      </c>
      <c r="D2" s="2" t="s">
        <v>68</v>
      </c>
      <c r="E2" s="2" t="s">
        <v>349</v>
      </c>
      <c r="F2" s="2" t="s">
        <v>353</v>
      </c>
      <c r="G2" s="2" t="s">
        <v>353</v>
      </c>
      <c r="H2" s="2" t="s">
        <v>35</v>
      </c>
      <c r="I2" s="2" t="s">
        <v>48</v>
      </c>
      <c r="J2" s="2" t="s">
        <v>121</v>
      </c>
      <c r="K2" s="2" t="s">
        <v>372</v>
      </c>
      <c r="L2" s="2" t="s">
        <v>391</v>
      </c>
      <c r="M2" s="2" t="s">
        <v>390</v>
      </c>
      <c r="N2" s="2" t="s">
        <v>289</v>
      </c>
      <c r="O2" s="2" t="s">
        <v>422</v>
      </c>
      <c r="P2" s="2" t="s">
        <v>379</v>
      </c>
      <c r="Q2" s="2" t="s">
        <v>421</v>
      </c>
      <c r="R2" s="1" t="s">
        <v>373</v>
      </c>
      <c r="S2" s="2" t="s">
        <v>290</v>
      </c>
      <c r="T2" s="2" t="s">
        <v>291</v>
      </c>
      <c r="U2" s="2" t="s">
        <v>172</v>
      </c>
      <c r="V2" s="2" t="s">
        <v>40</v>
      </c>
      <c r="W2" s="2" t="s">
        <v>41</v>
      </c>
      <c r="X2" s="2" t="s">
        <v>41</v>
      </c>
      <c r="Y2" s="2" t="s">
        <v>41</v>
      </c>
      <c r="Z2" s="2" t="s">
        <v>41</v>
      </c>
      <c r="AA2" s="2" t="s">
        <v>42</v>
      </c>
      <c r="AB2" s="2" t="s">
        <v>41</v>
      </c>
      <c r="AC2" s="2" t="s">
        <v>287</v>
      </c>
      <c r="AD2" s="2" t="s">
        <v>41</v>
      </c>
      <c r="AE2" s="2" t="s">
        <v>56</v>
      </c>
      <c r="AF2" s="2" t="s">
        <v>42</v>
      </c>
      <c r="AG2" s="2" t="s">
        <v>42</v>
      </c>
      <c r="AH2" s="2" t="s">
        <v>41</v>
      </c>
      <c r="AI2" s="7"/>
      <c r="AJ2" s="7"/>
      <c r="AK2" s="7">
        <v>42.6</v>
      </c>
      <c r="AL2" s="7">
        <v>88</v>
      </c>
      <c r="AM2" s="2" t="s">
        <v>304</v>
      </c>
      <c r="AN2" s="2"/>
      <c r="AO2" s="2"/>
      <c r="AP2" s="1" t="s">
        <v>324</v>
      </c>
      <c r="AQ2" s="1" t="s">
        <v>319</v>
      </c>
      <c r="AR2" s="1" t="s">
        <v>46</v>
      </c>
      <c r="AS2" s="4">
        <v>11.6</v>
      </c>
      <c r="AT2" s="31">
        <v>27</v>
      </c>
      <c r="AU2" s="5">
        <v>27</v>
      </c>
      <c r="AV2" s="4">
        <v>2.8</v>
      </c>
      <c r="AW2" s="15">
        <f>AT2-AZ2</f>
        <v>2</v>
      </c>
      <c r="AX2" s="4">
        <f>AW2/AT2*100</f>
        <v>7.4074074074074066</v>
      </c>
      <c r="AY2" s="4">
        <v>3.4</v>
      </c>
      <c r="AZ2" s="5">
        <v>25</v>
      </c>
      <c r="BA2" s="4">
        <v>1.5</v>
      </c>
      <c r="BB2" s="8"/>
      <c r="BC2" s="8"/>
      <c r="BD2" s="8"/>
      <c r="BE2" s="2" t="s">
        <v>331</v>
      </c>
      <c r="BF2" s="2">
        <v>91</v>
      </c>
      <c r="BG2" s="2">
        <v>56</v>
      </c>
      <c r="BH2">
        <f>BF2-BG2</f>
        <v>35</v>
      </c>
      <c r="BI2" s="6"/>
    </row>
    <row r="3" spans="1:61" x14ac:dyDescent="0.2">
      <c r="A3" t="s">
        <v>337</v>
      </c>
      <c r="B3" s="2" t="s">
        <v>288</v>
      </c>
      <c r="C3" s="2">
        <v>2019</v>
      </c>
      <c r="D3" s="2" t="s">
        <v>68</v>
      </c>
      <c r="E3" s="2" t="s">
        <v>349</v>
      </c>
      <c r="F3" s="2" t="s">
        <v>353</v>
      </c>
      <c r="G3" s="2" t="s">
        <v>353</v>
      </c>
      <c r="H3" s="2" t="s">
        <v>35</v>
      </c>
      <c r="I3" s="2" t="s">
        <v>48</v>
      </c>
      <c r="J3" s="2" t="s">
        <v>121</v>
      </c>
      <c r="K3" s="2" t="s">
        <v>372</v>
      </c>
      <c r="L3" s="2" t="s">
        <v>391</v>
      </c>
      <c r="M3" s="2" t="s">
        <v>390</v>
      </c>
      <c r="N3" s="2" t="s">
        <v>289</v>
      </c>
      <c r="O3" s="2" t="s">
        <v>422</v>
      </c>
      <c r="P3" s="2" t="s">
        <v>379</v>
      </c>
      <c r="Q3" s="2" t="s">
        <v>421</v>
      </c>
      <c r="R3" s="1" t="s">
        <v>373</v>
      </c>
      <c r="S3" s="2" t="s">
        <v>290</v>
      </c>
      <c r="T3" s="2" t="s">
        <v>291</v>
      </c>
      <c r="U3" s="2" t="s">
        <v>172</v>
      </c>
      <c r="V3" s="2" t="s">
        <v>40</v>
      </c>
      <c r="W3" s="2" t="s">
        <v>41</v>
      </c>
      <c r="X3" s="2" t="s">
        <v>41</v>
      </c>
      <c r="Y3" s="2" t="s">
        <v>41</v>
      </c>
      <c r="Z3" s="2" t="s">
        <v>41</v>
      </c>
      <c r="AA3" s="2" t="s">
        <v>42</v>
      </c>
      <c r="AB3" s="2" t="s">
        <v>41</v>
      </c>
      <c r="AC3" s="2" t="s">
        <v>287</v>
      </c>
      <c r="AD3" s="2" t="s">
        <v>41</v>
      </c>
      <c r="AE3" s="2" t="s">
        <v>56</v>
      </c>
      <c r="AF3" s="2" t="s">
        <v>42</v>
      </c>
      <c r="AG3" s="2" t="s">
        <v>42</v>
      </c>
      <c r="AH3" s="2" t="s">
        <v>41</v>
      </c>
      <c r="AI3" s="7"/>
      <c r="AJ3" s="7"/>
      <c r="AK3" s="7">
        <v>42.6</v>
      </c>
      <c r="AL3" s="7">
        <v>88</v>
      </c>
      <c r="AM3" s="2" t="s">
        <v>304</v>
      </c>
      <c r="AN3" s="2"/>
      <c r="AO3" s="2"/>
      <c r="AP3" s="1" t="s">
        <v>134</v>
      </c>
      <c r="AQ3" s="1" t="s">
        <v>319</v>
      </c>
      <c r="AR3" s="1" t="s">
        <v>46</v>
      </c>
      <c r="AS3" s="4">
        <v>4.5</v>
      </c>
      <c r="AT3" s="31">
        <v>27</v>
      </c>
      <c r="AU3" s="5">
        <v>27</v>
      </c>
      <c r="AV3" s="4">
        <v>3.04</v>
      </c>
      <c r="AW3" s="15">
        <f>AT3-AZ3</f>
        <v>2</v>
      </c>
      <c r="AX3" s="4">
        <f>AW3/AT3*100</f>
        <v>7.4074074074074066</v>
      </c>
      <c r="AY3" s="4">
        <v>0.4</v>
      </c>
      <c r="AZ3" s="5">
        <v>25</v>
      </c>
      <c r="BA3" s="4">
        <v>0.7</v>
      </c>
      <c r="BB3" s="8"/>
      <c r="BC3" s="8"/>
      <c r="BD3" s="8"/>
      <c r="BE3" s="2" t="s">
        <v>331</v>
      </c>
      <c r="BF3" s="2">
        <v>91</v>
      </c>
      <c r="BG3" s="2">
        <v>56</v>
      </c>
      <c r="BH3">
        <f>BF3-BG3</f>
        <v>35</v>
      </c>
      <c r="BI3" s="6"/>
    </row>
    <row r="4" spans="1:61" x14ac:dyDescent="0.2">
      <c r="A4" t="s">
        <v>337</v>
      </c>
      <c r="B4" s="2" t="s">
        <v>288</v>
      </c>
      <c r="C4" s="2">
        <v>2019</v>
      </c>
      <c r="D4" s="2" t="s">
        <v>68</v>
      </c>
      <c r="E4" s="2" t="s">
        <v>349</v>
      </c>
      <c r="F4" s="2" t="s">
        <v>353</v>
      </c>
      <c r="G4" s="2" t="s">
        <v>353</v>
      </c>
      <c r="H4" s="2" t="s">
        <v>35</v>
      </c>
      <c r="I4" s="2" t="s">
        <v>48</v>
      </c>
      <c r="J4" s="2" t="s">
        <v>121</v>
      </c>
      <c r="K4" s="2" t="s">
        <v>372</v>
      </c>
      <c r="L4" s="2" t="s">
        <v>391</v>
      </c>
      <c r="M4" s="2" t="s">
        <v>390</v>
      </c>
      <c r="N4" s="2" t="s">
        <v>289</v>
      </c>
      <c r="O4" s="2" t="s">
        <v>422</v>
      </c>
      <c r="P4" s="2" t="s">
        <v>379</v>
      </c>
      <c r="Q4" s="2" t="s">
        <v>421</v>
      </c>
      <c r="R4" s="1" t="s">
        <v>373</v>
      </c>
      <c r="S4" s="2" t="s">
        <v>290</v>
      </c>
      <c r="T4" s="2" t="s">
        <v>291</v>
      </c>
      <c r="U4" s="2" t="s">
        <v>172</v>
      </c>
      <c r="V4" s="2" t="s">
        <v>40</v>
      </c>
      <c r="W4" s="2" t="s">
        <v>41</v>
      </c>
      <c r="X4" s="2" t="s">
        <v>41</v>
      </c>
      <c r="Y4" s="2" t="s">
        <v>41</v>
      </c>
      <c r="Z4" s="2" t="s">
        <v>41</v>
      </c>
      <c r="AA4" s="2" t="s">
        <v>42</v>
      </c>
      <c r="AB4" s="2" t="s">
        <v>41</v>
      </c>
      <c r="AC4" s="2" t="s">
        <v>287</v>
      </c>
      <c r="AD4" s="2" t="s">
        <v>41</v>
      </c>
      <c r="AE4" s="2" t="s">
        <v>56</v>
      </c>
      <c r="AF4" s="2" t="s">
        <v>42</v>
      </c>
      <c r="AG4" s="2" t="s">
        <v>42</v>
      </c>
      <c r="AH4" s="2" t="s">
        <v>41</v>
      </c>
      <c r="AI4" s="7"/>
      <c r="AJ4" s="7"/>
      <c r="AK4" s="7">
        <v>42.6</v>
      </c>
      <c r="AL4" s="7">
        <v>88</v>
      </c>
      <c r="AM4" s="2" t="s">
        <v>304</v>
      </c>
      <c r="AN4" s="2"/>
      <c r="AO4" s="2"/>
      <c r="AP4" s="1" t="s">
        <v>314</v>
      </c>
      <c r="AQ4" s="1" t="s">
        <v>319</v>
      </c>
      <c r="AR4" s="1" t="s">
        <v>46</v>
      </c>
      <c r="AS4" s="4">
        <v>39.9</v>
      </c>
      <c r="AT4" s="31">
        <v>27</v>
      </c>
      <c r="AU4" s="5">
        <v>27</v>
      </c>
      <c r="AV4" s="4">
        <v>8.4</v>
      </c>
      <c r="AW4" s="15">
        <f>AT4-AZ4</f>
        <v>2</v>
      </c>
      <c r="AX4" s="4">
        <f>AW4/AT4*100</f>
        <v>7.4074074074074066</v>
      </c>
      <c r="AY4" s="4">
        <v>16.079999999999998</v>
      </c>
      <c r="AZ4" s="5">
        <v>25</v>
      </c>
      <c r="BA4" s="4">
        <v>3.7</v>
      </c>
      <c r="BB4" s="8"/>
      <c r="BC4" s="8"/>
      <c r="BD4" s="8"/>
      <c r="BE4" s="2" t="s">
        <v>331</v>
      </c>
      <c r="BF4" s="2">
        <v>91</v>
      </c>
      <c r="BG4" s="2">
        <v>56</v>
      </c>
      <c r="BH4">
        <f>BF4-BG4</f>
        <v>35</v>
      </c>
      <c r="BI4" s="6"/>
    </row>
    <row r="5" spans="1:61" x14ac:dyDescent="0.2">
      <c r="A5" t="s">
        <v>337</v>
      </c>
      <c r="B5" s="2" t="s">
        <v>292</v>
      </c>
      <c r="C5" s="2">
        <v>2019</v>
      </c>
      <c r="D5" s="2" t="s">
        <v>68</v>
      </c>
      <c r="E5" s="2" t="s">
        <v>349</v>
      </c>
      <c r="F5" s="2" t="s">
        <v>353</v>
      </c>
      <c r="G5" s="2" t="s">
        <v>353</v>
      </c>
      <c r="H5" s="2" t="s">
        <v>35</v>
      </c>
      <c r="I5" s="2" t="s">
        <v>48</v>
      </c>
      <c r="J5" s="2" t="s">
        <v>86</v>
      </c>
      <c r="K5" s="2" t="s">
        <v>372</v>
      </c>
      <c r="L5" s="2" t="s">
        <v>407</v>
      </c>
      <c r="M5" s="2" t="s">
        <v>399</v>
      </c>
      <c r="N5" s="2" t="s">
        <v>293</v>
      </c>
      <c r="O5" s="2" t="s">
        <v>306</v>
      </c>
      <c r="P5" s="2" t="s">
        <v>382</v>
      </c>
      <c r="Q5" s="2" t="s">
        <v>293</v>
      </c>
      <c r="R5" s="1" t="s">
        <v>373</v>
      </c>
      <c r="S5" s="2" t="s">
        <v>294</v>
      </c>
      <c r="T5" s="2" t="s">
        <v>38</v>
      </c>
      <c r="U5" s="2" t="s">
        <v>70</v>
      </c>
      <c r="V5" s="2" t="s">
        <v>40</v>
      </c>
      <c r="W5" s="2" t="s">
        <v>56</v>
      </c>
      <c r="X5" s="2" t="s">
        <v>41</v>
      </c>
      <c r="Y5" s="2" t="s">
        <v>41</v>
      </c>
      <c r="Z5" s="2" t="s">
        <v>41</v>
      </c>
      <c r="AA5" s="2" t="s">
        <v>42</v>
      </c>
      <c r="AB5" s="2" t="s">
        <v>41</v>
      </c>
      <c r="AC5" s="2" t="s">
        <v>56</v>
      </c>
      <c r="AD5" s="2" t="s">
        <v>287</v>
      </c>
      <c r="AE5" s="2" t="s">
        <v>42</v>
      </c>
      <c r="AF5" s="2" t="s">
        <v>42</v>
      </c>
      <c r="AG5" s="2" t="s">
        <v>42</v>
      </c>
      <c r="AH5" s="2" t="s">
        <v>42</v>
      </c>
      <c r="AI5" s="7">
        <v>71.430000000000007</v>
      </c>
      <c r="AJ5" s="7">
        <v>79</v>
      </c>
      <c r="AK5" s="7">
        <v>63.27</v>
      </c>
      <c r="AL5" s="7">
        <v>55.36</v>
      </c>
      <c r="AM5" s="2" t="s">
        <v>306</v>
      </c>
      <c r="AN5" s="2"/>
      <c r="AO5" s="2"/>
      <c r="AP5" s="1" t="s">
        <v>134</v>
      </c>
      <c r="AQ5" s="1" t="s">
        <v>323</v>
      </c>
      <c r="AR5" s="1" t="s">
        <v>46</v>
      </c>
      <c r="AS5" s="4">
        <v>13.93</v>
      </c>
      <c r="AT5" s="31">
        <v>56</v>
      </c>
      <c r="AU5" s="5">
        <v>56</v>
      </c>
      <c r="AV5" s="4">
        <v>3.45</v>
      </c>
      <c r="AW5" s="15">
        <f>AT5-AZ5</f>
        <v>2</v>
      </c>
      <c r="AX5" s="4">
        <f>AW5/AT5*100</f>
        <v>3.5714285714285712</v>
      </c>
      <c r="AY5" s="4">
        <v>9.4</v>
      </c>
      <c r="AZ5" s="5">
        <v>54</v>
      </c>
      <c r="BA5" s="4">
        <v>3.39</v>
      </c>
      <c r="BB5" s="8"/>
      <c r="BC5" s="8"/>
      <c r="BD5" s="8"/>
      <c r="BE5" s="2" t="s">
        <v>329</v>
      </c>
      <c r="BF5" s="2">
        <v>150</v>
      </c>
      <c r="BG5" s="2">
        <v>150</v>
      </c>
      <c r="BH5">
        <f>BF5-BG5</f>
        <v>0</v>
      </c>
      <c r="BI5" s="6"/>
    </row>
    <row r="6" spans="1:61" x14ac:dyDescent="0.2">
      <c r="A6" t="s">
        <v>337</v>
      </c>
      <c r="B6" s="2" t="s">
        <v>292</v>
      </c>
      <c r="C6" s="2">
        <v>2019</v>
      </c>
      <c r="D6" s="2" t="s">
        <v>68</v>
      </c>
      <c r="E6" s="2" t="s">
        <v>349</v>
      </c>
      <c r="F6" s="2" t="s">
        <v>353</v>
      </c>
      <c r="G6" s="2" t="s">
        <v>353</v>
      </c>
      <c r="H6" s="2" t="s">
        <v>35</v>
      </c>
      <c r="I6" s="2" t="s">
        <v>48</v>
      </c>
      <c r="J6" s="2" t="s">
        <v>86</v>
      </c>
      <c r="K6" s="2" t="s">
        <v>372</v>
      </c>
      <c r="L6" s="2" t="s">
        <v>407</v>
      </c>
      <c r="M6" s="2" t="s">
        <v>399</v>
      </c>
      <c r="N6" s="2" t="s">
        <v>293</v>
      </c>
      <c r="O6" s="2" t="s">
        <v>306</v>
      </c>
      <c r="P6" s="2" t="s">
        <v>382</v>
      </c>
      <c r="Q6" s="2" t="s">
        <v>293</v>
      </c>
      <c r="R6" s="1" t="s">
        <v>373</v>
      </c>
      <c r="S6" s="2" t="s">
        <v>294</v>
      </c>
      <c r="T6" s="2" t="s">
        <v>38</v>
      </c>
      <c r="U6" s="2" t="s">
        <v>70</v>
      </c>
      <c r="V6" s="2" t="s">
        <v>40</v>
      </c>
      <c r="W6" s="2" t="s">
        <v>56</v>
      </c>
      <c r="X6" s="2" t="s">
        <v>41</v>
      </c>
      <c r="Y6" s="2" t="s">
        <v>41</v>
      </c>
      <c r="Z6" s="2" t="s">
        <v>41</v>
      </c>
      <c r="AA6" s="2" t="s">
        <v>42</v>
      </c>
      <c r="AB6" s="2" t="s">
        <v>41</v>
      </c>
      <c r="AC6" s="2" t="s">
        <v>56</v>
      </c>
      <c r="AD6" s="2" t="s">
        <v>287</v>
      </c>
      <c r="AE6" s="2" t="s">
        <v>42</v>
      </c>
      <c r="AF6" s="2" t="s">
        <v>42</v>
      </c>
      <c r="AG6" s="2" t="s">
        <v>42</v>
      </c>
      <c r="AH6" s="2" t="s">
        <v>42</v>
      </c>
      <c r="AI6" s="7">
        <v>71.430000000000007</v>
      </c>
      <c r="AJ6" s="7">
        <v>79</v>
      </c>
      <c r="AK6" s="7">
        <v>63.27</v>
      </c>
      <c r="AL6" s="7">
        <v>55.36</v>
      </c>
      <c r="AM6" s="2" t="s">
        <v>306</v>
      </c>
      <c r="AN6" s="2"/>
      <c r="AO6" s="2"/>
      <c r="AP6" s="1" t="s">
        <v>134</v>
      </c>
      <c r="AQ6" s="1" t="s">
        <v>323</v>
      </c>
      <c r="AR6" s="1" t="s">
        <v>46</v>
      </c>
      <c r="AS6" s="4">
        <v>13.93</v>
      </c>
      <c r="AT6" s="31">
        <v>56</v>
      </c>
      <c r="AU6" s="5">
        <v>56</v>
      </c>
      <c r="AV6" s="4">
        <v>3.45</v>
      </c>
      <c r="AW6" s="15">
        <f>AT6-AZ6</f>
        <v>9</v>
      </c>
      <c r="AX6" s="4">
        <f>AW6/AT6*100</f>
        <v>16.071428571428573</v>
      </c>
      <c r="AY6" s="4">
        <v>10.19</v>
      </c>
      <c r="AZ6" s="5">
        <v>47</v>
      </c>
      <c r="BA6" s="4">
        <v>2.78</v>
      </c>
      <c r="BB6" s="8"/>
      <c r="BC6" s="8"/>
      <c r="BD6" s="8"/>
      <c r="BE6" s="2" t="s">
        <v>330</v>
      </c>
      <c r="BF6" s="2">
        <v>210</v>
      </c>
      <c r="BG6" s="2">
        <v>150</v>
      </c>
      <c r="BH6">
        <f>BF6-BG6</f>
        <v>60</v>
      </c>
      <c r="BI6" s="6"/>
    </row>
    <row r="7" spans="1:61" x14ac:dyDescent="0.2">
      <c r="A7" t="s">
        <v>337</v>
      </c>
      <c r="B7" s="2" t="s">
        <v>292</v>
      </c>
      <c r="C7" s="2">
        <v>2019</v>
      </c>
      <c r="D7" s="2" t="s">
        <v>68</v>
      </c>
      <c r="E7" s="2" t="s">
        <v>349</v>
      </c>
      <c r="F7" s="2" t="s">
        <v>353</v>
      </c>
      <c r="G7" s="2" t="s">
        <v>353</v>
      </c>
      <c r="H7" s="2" t="s">
        <v>35</v>
      </c>
      <c r="I7" s="2" t="s">
        <v>48</v>
      </c>
      <c r="J7" s="2" t="s">
        <v>86</v>
      </c>
      <c r="K7" s="2" t="s">
        <v>372</v>
      </c>
      <c r="L7" s="2" t="s">
        <v>407</v>
      </c>
      <c r="M7" s="2" t="s">
        <v>399</v>
      </c>
      <c r="N7" s="2" t="s">
        <v>293</v>
      </c>
      <c r="O7" s="2" t="s">
        <v>306</v>
      </c>
      <c r="P7" s="2" t="s">
        <v>382</v>
      </c>
      <c r="Q7" s="2" t="s">
        <v>293</v>
      </c>
      <c r="R7" s="1" t="s">
        <v>373</v>
      </c>
      <c r="S7" s="2" t="s">
        <v>294</v>
      </c>
      <c r="T7" s="2" t="s">
        <v>38</v>
      </c>
      <c r="U7" s="2" t="s">
        <v>70</v>
      </c>
      <c r="V7" s="2" t="s">
        <v>40</v>
      </c>
      <c r="W7" s="2" t="s">
        <v>56</v>
      </c>
      <c r="X7" s="2" t="s">
        <v>41</v>
      </c>
      <c r="Y7" s="2" t="s">
        <v>41</v>
      </c>
      <c r="Z7" s="2" t="s">
        <v>41</v>
      </c>
      <c r="AA7" s="2" t="s">
        <v>42</v>
      </c>
      <c r="AB7" s="2" t="s">
        <v>41</v>
      </c>
      <c r="AC7" s="2" t="s">
        <v>56</v>
      </c>
      <c r="AD7" s="2" t="s">
        <v>287</v>
      </c>
      <c r="AE7" s="2" t="s">
        <v>42</v>
      </c>
      <c r="AF7" s="2" t="s">
        <v>42</v>
      </c>
      <c r="AG7" s="2" t="s">
        <v>42</v>
      </c>
      <c r="AH7" s="2" t="s">
        <v>42</v>
      </c>
      <c r="AI7" s="7">
        <v>71.430000000000007</v>
      </c>
      <c r="AJ7" s="7">
        <v>79</v>
      </c>
      <c r="AK7" s="7">
        <v>63.27</v>
      </c>
      <c r="AL7" s="7">
        <v>55.36</v>
      </c>
      <c r="AM7" s="2" t="s">
        <v>306</v>
      </c>
      <c r="AN7" s="2"/>
      <c r="AO7" s="2"/>
      <c r="AP7" s="1" t="s">
        <v>464</v>
      </c>
      <c r="AQ7" s="1" t="s">
        <v>465</v>
      </c>
      <c r="AR7" s="1" t="s">
        <v>46</v>
      </c>
      <c r="AS7" s="4">
        <v>1.1499999999999999</v>
      </c>
      <c r="AT7" s="31">
        <v>56</v>
      </c>
      <c r="AU7" s="5">
        <v>56</v>
      </c>
      <c r="AV7" s="4">
        <v>0.4</v>
      </c>
      <c r="AW7" s="15">
        <f>AT7-AZ7</f>
        <v>2</v>
      </c>
      <c r="AX7" s="4">
        <f>AW7/AT7*100</f>
        <v>3.5714285714285712</v>
      </c>
      <c r="AY7" s="4">
        <v>1.33</v>
      </c>
      <c r="AZ7" s="5">
        <v>54</v>
      </c>
      <c r="BA7" s="4">
        <v>0.59</v>
      </c>
      <c r="BB7" s="8"/>
      <c r="BC7" s="8"/>
      <c r="BD7" s="8"/>
      <c r="BE7" s="2" t="s">
        <v>329</v>
      </c>
      <c r="BF7" s="2">
        <v>150</v>
      </c>
      <c r="BG7" s="2">
        <v>150</v>
      </c>
      <c r="BH7">
        <f>BF7-BG7</f>
        <v>0</v>
      </c>
      <c r="BI7" s="6"/>
    </row>
    <row r="8" spans="1:61" x14ac:dyDescent="0.2">
      <c r="A8" t="s">
        <v>337</v>
      </c>
      <c r="B8" s="2" t="s">
        <v>292</v>
      </c>
      <c r="C8" s="2">
        <v>2019</v>
      </c>
      <c r="D8" s="2" t="s">
        <v>68</v>
      </c>
      <c r="E8" s="2" t="s">
        <v>349</v>
      </c>
      <c r="F8" s="2" t="s">
        <v>353</v>
      </c>
      <c r="G8" s="2" t="s">
        <v>353</v>
      </c>
      <c r="H8" s="2" t="s">
        <v>35</v>
      </c>
      <c r="I8" s="2" t="s">
        <v>48</v>
      </c>
      <c r="J8" s="2" t="s">
        <v>86</v>
      </c>
      <c r="K8" s="2" t="s">
        <v>372</v>
      </c>
      <c r="L8" s="2" t="s">
        <v>407</v>
      </c>
      <c r="M8" s="2" t="s">
        <v>399</v>
      </c>
      <c r="N8" s="2" t="s">
        <v>293</v>
      </c>
      <c r="O8" s="2" t="s">
        <v>306</v>
      </c>
      <c r="P8" s="2" t="s">
        <v>382</v>
      </c>
      <c r="Q8" s="2" t="s">
        <v>293</v>
      </c>
      <c r="R8" s="1" t="s">
        <v>373</v>
      </c>
      <c r="S8" s="2" t="s">
        <v>294</v>
      </c>
      <c r="T8" s="2" t="s">
        <v>38</v>
      </c>
      <c r="U8" s="2" t="s">
        <v>70</v>
      </c>
      <c r="V8" s="2" t="s">
        <v>40</v>
      </c>
      <c r="W8" s="2" t="s">
        <v>56</v>
      </c>
      <c r="X8" s="2" t="s">
        <v>41</v>
      </c>
      <c r="Y8" s="2" t="s">
        <v>41</v>
      </c>
      <c r="Z8" s="2" t="s">
        <v>41</v>
      </c>
      <c r="AA8" s="2" t="s">
        <v>42</v>
      </c>
      <c r="AB8" s="2" t="s">
        <v>41</v>
      </c>
      <c r="AC8" s="2" t="s">
        <v>56</v>
      </c>
      <c r="AD8" s="2" t="s">
        <v>287</v>
      </c>
      <c r="AE8" s="2" t="s">
        <v>42</v>
      </c>
      <c r="AF8" s="2" t="s">
        <v>42</v>
      </c>
      <c r="AG8" s="2" t="s">
        <v>42</v>
      </c>
      <c r="AH8" s="2" t="s">
        <v>42</v>
      </c>
      <c r="AI8" s="7">
        <v>71.430000000000007</v>
      </c>
      <c r="AJ8" s="7">
        <v>79</v>
      </c>
      <c r="AK8" s="7">
        <v>63.27</v>
      </c>
      <c r="AL8" s="7">
        <v>55.36</v>
      </c>
      <c r="AM8" s="2" t="s">
        <v>306</v>
      </c>
      <c r="AN8" s="2"/>
      <c r="AO8" s="2"/>
      <c r="AP8" s="1" t="s">
        <v>464</v>
      </c>
      <c r="AQ8" s="1" t="s">
        <v>465</v>
      </c>
      <c r="AR8" s="1" t="s">
        <v>46</v>
      </c>
      <c r="AS8" s="4">
        <v>1.1499999999999999</v>
      </c>
      <c r="AT8" s="31">
        <v>56</v>
      </c>
      <c r="AU8" s="5">
        <v>56</v>
      </c>
      <c r="AV8" s="4">
        <v>0.4</v>
      </c>
      <c r="AW8" s="15">
        <f>AT8-AZ8</f>
        <v>9</v>
      </c>
      <c r="AX8" s="4">
        <f>AW8/AT8*100</f>
        <v>16.071428571428573</v>
      </c>
      <c r="AY8" s="4">
        <v>1.27</v>
      </c>
      <c r="AZ8" s="5">
        <v>47</v>
      </c>
      <c r="BA8" s="4">
        <v>0.54</v>
      </c>
      <c r="BB8" s="8"/>
      <c r="BC8" s="8"/>
      <c r="BD8" s="8"/>
      <c r="BE8" s="2" t="s">
        <v>330</v>
      </c>
      <c r="BF8" s="2">
        <v>210</v>
      </c>
      <c r="BG8" s="2">
        <v>150</v>
      </c>
      <c r="BH8">
        <f>BF8-BG8</f>
        <v>60</v>
      </c>
      <c r="BI8" s="6"/>
    </row>
    <row r="9" spans="1:61" x14ac:dyDescent="0.2">
      <c r="A9" t="s">
        <v>337</v>
      </c>
      <c r="B9" s="2" t="s">
        <v>292</v>
      </c>
      <c r="C9" s="2">
        <v>2019</v>
      </c>
      <c r="D9" s="2" t="s">
        <v>68</v>
      </c>
      <c r="E9" s="2" t="s">
        <v>349</v>
      </c>
      <c r="F9" s="2" t="s">
        <v>353</v>
      </c>
      <c r="G9" s="2" t="s">
        <v>353</v>
      </c>
      <c r="H9" s="2" t="s">
        <v>35</v>
      </c>
      <c r="I9" s="2" t="s">
        <v>48</v>
      </c>
      <c r="J9" s="2" t="s">
        <v>86</v>
      </c>
      <c r="K9" s="2" t="s">
        <v>372</v>
      </c>
      <c r="L9" s="2" t="s">
        <v>407</v>
      </c>
      <c r="M9" s="2" t="s">
        <v>399</v>
      </c>
      <c r="N9" s="2" t="s">
        <v>293</v>
      </c>
      <c r="O9" s="2" t="s">
        <v>306</v>
      </c>
      <c r="P9" s="2" t="s">
        <v>382</v>
      </c>
      <c r="Q9" s="2" t="s">
        <v>293</v>
      </c>
      <c r="R9" s="1" t="s">
        <v>373</v>
      </c>
      <c r="S9" s="2" t="s">
        <v>294</v>
      </c>
      <c r="T9" s="2" t="s">
        <v>38</v>
      </c>
      <c r="U9" s="2" t="s">
        <v>70</v>
      </c>
      <c r="V9" s="2" t="s">
        <v>40</v>
      </c>
      <c r="W9" s="2" t="s">
        <v>56</v>
      </c>
      <c r="X9" s="2" t="s">
        <v>41</v>
      </c>
      <c r="Y9" s="2" t="s">
        <v>41</v>
      </c>
      <c r="Z9" s="2" t="s">
        <v>41</v>
      </c>
      <c r="AA9" s="2" t="s">
        <v>42</v>
      </c>
      <c r="AB9" s="2" t="s">
        <v>41</v>
      </c>
      <c r="AC9" s="2" t="s">
        <v>56</v>
      </c>
      <c r="AD9" s="2" t="s">
        <v>287</v>
      </c>
      <c r="AE9" s="2" t="s">
        <v>42</v>
      </c>
      <c r="AF9" s="2" t="s">
        <v>42</v>
      </c>
      <c r="AG9" s="2" t="s">
        <v>42</v>
      </c>
      <c r="AH9" s="2" t="s">
        <v>42</v>
      </c>
      <c r="AI9" s="7">
        <v>71.430000000000007</v>
      </c>
      <c r="AJ9" s="7">
        <v>79</v>
      </c>
      <c r="AK9" s="7">
        <v>63.27</v>
      </c>
      <c r="AL9" s="7">
        <v>55.36</v>
      </c>
      <c r="AM9" s="2" t="s">
        <v>306</v>
      </c>
      <c r="AN9" s="2"/>
      <c r="AO9" s="2"/>
      <c r="AP9" s="1" t="s">
        <v>467</v>
      </c>
      <c r="AQ9" s="1" t="s">
        <v>463</v>
      </c>
      <c r="AR9" s="1" t="s">
        <v>46</v>
      </c>
      <c r="AS9" s="4">
        <v>1.1499999999999999</v>
      </c>
      <c r="AT9" s="31">
        <v>56</v>
      </c>
      <c r="AU9" s="5">
        <v>56</v>
      </c>
      <c r="AV9" s="4">
        <v>0.4</v>
      </c>
      <c r="AW9" s="15">
        <f>AT9-AZ9</f>
        <v>2</v>
      </c>
      <c r="AX9" s="4">
        <f>AW9/AT9*100</f>
        <v>3.5714285714285712</v>
      </c>
      <c r="AY9" s="4">
        <v>1.45</v>
      </c>
      <c r="AZ9" s="5">
        <v>54</v>
      </c>
      <c r="BA9" s="4">
        <v>0.43</v>
      </c>
      <c r="BB9" s="8"/>
      <c r="BC9" s="8"/>
      <c r="BD9" s="8"/>
      <c r="BE9" s="2" t="s">
        <v>329</v>
      </c>
      <c r="BF9" s="2">
        <v>150</v>
      </c>
      <c r="BG9" s="2">
        <v>150</v>
      </c>
      <c r="BH9">
        <f>BF9-BG9</f>
        <v>0</v>
      </c>
      <c r="BI9" s="6"/>
    </row>
    <row r="10" spans="1:61" x14ac:dyDescent="0.2">
      <c r="A10" t="s">
        <v>337</v>
      </c>
      <c r="B10" s="2" t="s">
        <v>292</v>
      </c>
      <c r="C10" s="2">
        <v>2019</v>
      </c>
      <c r="D10" s="2" t="s">
        <v>68</v>
      </c>
      <c r="E10" s="2" t="s">
        <v>349</v>
      </c>
      <c r="F10" s="2" t="s">
        <v>353</v>
      </c>
      <c r="G10" s="2" t="s">
        <v>353</v>
      </c>
      <c r="H10" s="2" t="s">
        <v>35</v>
      </c>
      <c r="I10" s="2" t="s">
        <v>48</v>
      </c>
      <c r="J10" s="2" t="s">
        <v>86</v>
      </c>
      <c r="K10" s="2" t="s">
        <v>372</v>
      </c>
      <c r="L10" s="2" t="s">
        <v>407</v>
      </c>
      <c r="M10" s="2" t="s">
        <v>399</v>
      </c>
      <c r="N10" s="2" t="s">
        <v>293</v>
      </c>
      <c r="O10" s="2" t="s">
        <v>306</v>
      </c>
      <c r="P10" s="2" t="s">
        <v>382</v>
      </c>
      <c r="Q10" s="2" t="s">
        <v>293</v>
      </c>
      <c r="R10" s="1" t="s">
        <v>373</v>
      </c>
      <c r="S10" s="2" t="s">
        <v>294</v>
      </c>
      <c r="T10" s="2" t="s">
        <v>38</v>
      </c>
      <c r="U10" s="2" t="s">
        <v>70</v>
      </c>
      <c r="V10" s="2" t="s">
        <v>40</v>
      </c>
      <c r="W10" s="2" t="s">
        <v>56</v>
      </c>
      <c r="X10" s="2" t="s">
        <v>41</v>
      </c>
      <c r="Y10" s="2" t="s">
        <v>41</v>
      </c>
      <c r="Z10" s="2" t="s">
        <v>41</v>
      </c>
      <c r="AA10" s="2" t="s">
        <v>42</v>
      </c>
      <c r="AB10" s="2" t="s">
        <v>41</v>
      </c>
      <c r="AC10" s="2" t="s">
        <v>56</v>
      </c>
      <c r="AD10" s="2" t="s">
        <v>287</v>
      </c>
      <c r="AE10" s="2" t="s">
        <v>42</v>
      </c>
      <c r="AF10" s="2" t="s">
        <v>42</v>
      </c>
      <c r="AG10" s="2" t="s">
        <v>42</v>
      </c>
      <c r="AH10" s="2" t="s">
        <v>42</v>
      </c>
      <c r="AI10" s="7">
        <v>71.430000000000007</v>
      </c>
      <c r="AJ10" s="7">
        <v>79</v>
      </c>
      <c r="AK10" s="7">
        <v>63.27</v>
      </c>
      <c r="AL10" s="7">
        <v>55.36</v>
      </c>
      <c r="AM10" s="2" t="s">
        <v>306</v>
      </c>
      <c r="AN10" s="2"/>
      <c r="AO10" s="2"/>
      <c r="AP10" s="1" t="s">
        <v>467</v>
      </c>
      <c r="AQ10" s="1" t="s">
        <v>463</v>
      </c>
      <c r="AR10" s="1" t="s">
        <v>46</v>
      </c>
      <c r="AS10" s="4">
        <v>1.1499999999999999</v>
      </c>
      <c r="AT10" s="31">
        <v>56</v>
      </c>
      <c r="AU10" s="5">
        <v>56</v>
      </c>
      <c r="AV10" s="4">
        <v>0.4</v>
      </c>
      <c r="AW10" s="15">
        <f>AT10-AZ10</f>
        <v>9</v>
      </c>
      <c r="AX10" s="4">
        <f>AW10/AT10*100</f>
        <v>16.071428571428573</v>
      </c>
      <c r="AY10" s="4">
        <v>1.45</v>
      </c>
      <c r="AZ10" s="5">
        <v>47</v>
      </c>
      <c r="BA10" s="4">
        <v>0.43</v>
      </c>
      <c r="BB10" s="8"/>
      <c r="BC10" s="8"/>
      <c r="BD10" s="8"/>
      <c r="BE10" s="2" t="s">
        <v>330</v>
      </c>
      <c r="BF10" s="2">
        <v>210</v>
      </c>
      <c r="BG10" s="2">
        <v>150</v>
      </c>
      <c r="BH10">
        <f>BF10-BG10</f>
        <v>60</v>
      </c>
      <c r="BI10" s="6"/>
    </row>
    <row r="11" spans="1:61" x14ac:dyDescent="0.2">
      <c r="A11" t="s">
        <v>337</v>
      </c>
      <c r="B11" s="2" t="s">
        <v>292</v>
      </c>
      <c r="C11" s="2">
        <v>2019</v>
      </c>
      <c r="D11" s="2" t="s">
        <v>68</v>
      </c>
      <c r="E11" s="2" t="s">
        <v>349</v>
      </c>
      <c r="F11" s="2" t="s">
        <v>353</v>
      </c>
      <c r="G11" s="2" t="s">
        <v>353</v>
      </c>
      <c r="H11" s="2" t="s">
        <v>35</v>
      </c>
      <c r="I11" s="2" t="s">
        <v>48</v>
      </c>
      <c r="J11" s="2" t="s">
        <v>86</v>
      </c>
      <c r="K11" s="2" t="s">
        <v>372</v>
      </c>
      <c r="L11" s="2" t="s">
        <v>407</v>
      </c>
      <c r="M11" s="2" t="s">
        <v>399</v>
      </c>
      <c r="N11" s="2" t="s">
        <v>293</v>
      </c>
      <c r="O11" s="2" t="s">
        <v>306</v>
      </c>
      <c r="P11" s="2" t="s">
        <v>382</v>
      </c>
      <c r="Q11" s="2" t="s">
        <v>293</v>
      </c>
      <c r="R11" s="1" t="s">
        <v>373</v>
      </c>
      <c r="S11" s="2" t="s">
        <v>294</v>
      </c>
      <c r="T11" s="2" t="s">
        <v>38</v>
      </c>
      <c r="U11" s="2" t="s">
        <v>70</v>
      </c>
      <c r="V11" s="2" t="s">
        <v>40</v>
      </c>
      <c r="W11" s="2" t="s">
        <v>56</v>
      </c>
      <c r="X11" s="2" t="s">
        <v>41</v>
      </c>
      <c r="Y11" s="2" t="s">
        <v>41</v>
      </c>
      <c r="Z11" s="2" t="s">
        <v>41</v>
      </c>
      <c r="AA11" s="2" t="s">
        <v>42</v>
      </c>
      <c r="AB11" s="2" t="s">
        <v>41</v>
      </c>
      <c r="AC11" s="2" t="s">
        <v>56</v>
      </c>
      <c r="AD11" s="2" t="s">
        <v>287</v>
      </c>
      <c r="AE11" s="2" t="s">
        <v>42</v>
      </c>
      <c r="AF11" s="2" t="s">
        <v>42</v>
      </c>
      <c r="AG11" s="2" t="s">
        <v>42</v>
      </c>
      <c r="AH11" s="2" t="s">
        <v>42</v>
      </c>
      <c r="AI11" s="7">
        <v>71.430000000000007</v>
      </c>
      <c r="AJ11" s="7">
        <v>79</v>
      </c>
      <c r="AK11" s="7">
        <v>63.27</v>
      </c>
      <c r="AL11" s="7">
        <v>55.36</v>
      </c>
      <c r="AM11" s="2" t="s">
        <v>306</v>
      </c>
      <c r="AN11" s="2"/>
      <c r="AO11" s="2"/>
      <c r="AP11" s="1" t="s">
        <v>466</v>
      </c>
      <c r="AQ11" s="1" t="s">
        <v>463</v>
      </c>
      <c r="AR11" s="1" t="s">
        <v>46</v>
      </c>
      <c r="AS11" s="4">
        <v>1.38</v>
      </c>
      <c r="AT11" s="31">
        <v>56</v>
      </c>
      <c r="AU11" s="5">
        <v>56</v>
      </c>
      <c r="AV11" s="4">
        <v>0.42</v>
      </c>
      <c r="AW11" s="15">
        <f>AT11-AZ11</f>
        <v>2</v>
      </c>
      <c r="AX11" s="4">
        <f>AW11/AT11*100</f>
        <v>3.5714285714285712</v>
      </c>
      <c r="AY11" s="4">
        <v>1.24</v>
      </c>
      <c r="AZ11" s="5">
        <v>54</v>
      </c>
      <c r="BA11" s="4">
        <v>0.38</v>
      </c>
      <c r="BB11" s="8"/>
      <c r="BC11" s="8"/>
      <c r="BD11" s="8"/>
      <c r="BE11" s="2" t="s">
        <v>329</v>
      </c>
      <c r="BF11" s="2">
        <v>150</v>
      </c>
      <c r="BG11" s="2">
        <v>150</v>
      </c>
      <c r="BH11">
        <f>BF11-BG11</f>
        <v>0</v>
      </c>
      <c r="BI11" s="6"/>
    </row>
    <row r="12" spans="1:61" x14ac:dyDescent="0.2">
      <c r="A12" t="s">
        <v>337</v>
      </c>
      <c r="B12" s="2" t="s">
        <v>292</v>
      </c>
      <c r="C12" s="2">
        <v>2019</v>
      </c>
      <c r="D12" s="2" t="s">
        <v>68</v>
      </c>
      <c r="E12" s="2" t="s">
        <v>349</v>
      </c>
      <c r="F12" s="2" t="s">
        <v>353</v>
      </c>
      <c r="G12" s="2" t="s">
        <v>353</v>
      </c>
      <c r="H12" s="2" t="s">
        <v>35</v>
      </c>
      <c r="I12" s="2" t="s">
        <v>48</v>
      </c>
      <c r="J12" s="2" t="s">
        <v>86</v>
      </c>
      <c r="K12" s="2" t="s">
        <v>372</v>
      </c>
      <c r="L12" s="2" t="s">
        <v>407</v>
      </c>
      <c r="M12" s="2" t="s">
        <v>399</v>
      </c>
      <c r="N12" s="2" t="s">
        <v>293</v>
      </c>
      <c r="O12" s="2" t="s">
        <v>306</v>
      </c>
      <c r="P12" s="2" t="s">
        <v>382</v>
      </c>
      <c r="Q12" s="2" t="s">
        <v>293</v>
      </c>
      <c r="R12" s="1" t="s">
        <v>373</v>
      </c>
      <c r="S12" s="2" t="s">
        <v>294</v>
      </c>
      <c r="T12" s="2" t="s">
        <v>38</v>
      </c>
      <c r="U12" s="2" t="s">
        <v>70</v>
      </c>
      <c r="V12" s="2" t="s">
        <v>40</v>
      </c>
      <c r="W12" s="2" t="s">
        <v>56</v>
      </c>
      <c r="X12" s="2" t="s">
        <v>41</v>
      </c>
      <c r="Y12" s="2" t="s">
        <v>41</v>
      </c>
      <c r="Z12" s="2" t="s">
        <v>41</v>
      </c>
      <c r="AA12" s="2" t="s">
        <v>42</v>
      </c>
      <c r="AB12" s="2" t="s">
        <v>41</v>
      </c>
      <c r="AC12" s="2" t="s">
        <v>56</v>
      </c>
      <c r="AD12" s="2" t="s">
        <v>287</v>
      </c>
      <c r="AE12" s="2" t="s">
        <v>42</v>
      </c>
      <c r="AF12" s="2" t="s">
        <v>42</v>
      </c>
      <c r="AG12" s="2" t="s">
        <v>42</v>
      </c>
      <c r="AH12" s="2" t="s">
        <v>42</v>
      </c>
      <c r="AI12" s="7">
        <v>71.430000000000007</v>
      </c>
      <c r="AJ12" s="7">
        <v>79</v>
      </c>
      <c r="AK12" s="7">
        <v>63.27</v>
      </c>
      <c r="AL12" s="7">
        <v>55.36</v>
      </c>
      <c r="AM12" s="2" t="s">
        <v>306</v>
      </c>
      <c r="AN12" s="2"/>
      <c r="AO12" s="2"/>
      <c r="AP12" s="1" t="s">
        <v>466</v>
      </c>
      <c r="AQ12" s="1" t="s">
        <v>463</v>
      </c>
      <c r="AR12" s="1" t="s">
        <v>46</v>
      </c>
      <c r="AS12" s="4">
        <v>1.38</v>
      </c>
      <c r="AT12" s="31">
        <v>56</v>
      </c>
      <c r="AU12" s="5">
        <v>56</v>
      </c>
      <c r="AV12" s="4">
        <v>0.42</v>
      </c>
      <c r="AW12" s="15">
        <f>AT12-AZ12</f>
        <v>9</v>
      </c>
      <c r="AX12" s="4">
        <f>AW12/AT12*100</f>
        <v>16.071428571428573</v>
      </c>
      <c r="AY12" s="4">
        <v>1.1299999999999999</v>
      </c>
      <c r="AZ12" s="5">
        <v>47</v>
      </c>
      <c r="BA12" s="4">
        <v>0.39</v>
      </c>
      <c r="BB12" s="8"/>
      <c r="BC12" s="8"/>
      <c r="BD12" s="8"/>
      <c r="BE12" s="2" t="s">
        <v>330</v>
      </c>
      <c r="BF12" s="2">
        <v>210</v>
      </c>
      <c r="BG12" s="2">
        <v>150</v>
      </c>
      <c r="BH12">
        <f>BF12-BG12</f>
        <v>60</v>
      </c>
      <c r="BI12" s="6"/>
    </row>
    <row r="13" spans="1:61" x14ac:dyDescent="0.2">
      <c r="A13" t="s">
        <v>338</v>
      </c>
      <c r="B13" s="1" t="s">
        <v>130</v>
      </c>
      <c r="C13" s="1">
        <v>2014</v>
      </c>
      <c r="D13" s="1" t="s">
        <v>133</v>
      </c>
      <c r="E13" s="1" t="s">
        <v>349</v>
      </c>
      <c r="F13" s="2" t="s">
        <v>353</v>
      </c>
      <c r="G13" s="2" t="s">
        <v>353</v>
      </c>
      <c r="H13" s="1" t="s">
        <v>35</v>
      </c>
      <c r="I13" s="1" t="s">
        <v>36</v>
      </c>
      <c r="J13" s="1" t="s">
        <v>121</v>
      </c>
      <c r="K13" s="2" t="s">
        <v>372</v>
      </c>
      <c r="L13" s="2" t="s">
        <v>397</v>
      </c>
      <c r="M13" s="2" t="s">
        <v>390</v>
      </c>
      <c r="N13" s="1" t="s">
        <v>132</v>
      </c>
      <c r="O13" s="1" t="s">
        <v>459</v>
      </c>
      <c r="P13" s="2" t="s">
        <v>379</v>
      </c>
      <c r="Q13" s="2" t="s">
        <v>458</v>
      </c>
      <c r="R13" s="1" t="s">
        <v>374</v>
      </c>
      <c r="S13" s="1" t="s">
        <v>37</v>
      </c>
      <c r="T13" s="1" t="s">
        <v>38</v>
      </c>
      <c r="U13" s="1" t="s">
        <v>115</v>
      </c>
      <c r="V13" s="1"/>
      <c r="W13" s="1" t="s">
        <v>41</v>
      </c>
      <c r="X13" s="1" t="s">
        <v>41</v>
      </c>
      <c r="Y13" s="1" t="s">
        <v>41</v>
      </c>
      <c r="Z13" s="1" t="s">
        <v>41</v>
      </c>
      <c r="AA13" s="1" t="s">
        <v>42</v>
      </c>
      <c r="AB13" s="1" t="s">
        <v>41</v>
      </c>
      <c r="AC13" s="1" t="s">
        <v>41</v>
      </c>
      <c r="AD13" s="1" t="s">
        <v>41</v>
      </c>
      <c r="AE13" s="1" t="s">
        <v>41</v>
      </c>
      <c r="AF13" s="1" t="s">
        <v>41</v>
      </c>
      <c r="AG13" s="1" t="s">
        <v>42</v>
      </c>
      <c r="AH13" s="1" t="s">
        <v>41</v>
      </c>
      <c r="AI13" s="3"/>
      <c r="AJ13" s="3"/>
      <c r="AK13" s="3"/>
      <c r="AL13" s="3">
        <v>100</v>
      </c>
      <c r="AM13" s="1"/>
      <c r="AN13" s="1"/>
      <c r="AO13" s="1"/>
      <c r="AP13" s="1" t="s">
        <v>44</v>
      </c>
      <c r="AQ13" s="1" t="s">
        <v>175</v>
      </c>
      <c r="AR13" s="1" t="s">
        <v>46</v>
      </c>
      <c r="AS13" s="4">
        <v>31.6</v>
      </c>
      <c r="AT13" s="31">
        <v>10</v>
      </c>
      <c r="AU13" s="5">
        <v>10</v>
      </c>
      <c r="AV13" s="4">
        <v>16.36</v>
      </c>
      <c r="AW13" s="15">
        <f>AT13-AZ13</f>
        <v>0</v>
      </c>
      <c r="AX13" s="4">
        <f>AW13/AT13*100</f>
        <v>0</v>
      </c>
      <c r="AY13" s="4">
        <v>24</v>
      </c>
      <c r="AZ13" s="5">
        <v>10</v>
      </c>
      <c r="BA13" s="4">
        <v>14.25</v>
      </c>
      <c r="BB13" s="4"/>
      <c r="BC13" s="4"/>
      <c r="BD13" s="4"/>
      <c r="BE13" s="1" t="s">
        <v>258</v>
      </c>
      <c r="BF13" s="1">
        <v>35</v>
      </c>
      <c r="BG13" s="1">
        <v>35</v>
      </c>
      <c r="BH13">
        <f>BF13-BG13</f>
        <v>0</v>
      </c>
      <c r="BI13" s="6"/>
    </row>
    <row r="14" spans="1:61" x14ac:dyDescent="0.2">
      <c r="A14" t="s">
        <v>338</v>
      </c>
      <c r="B14" s="1" t="s">
        <v>130</v>
      </c>
      <c r="C14" s="1">
        <v>2014</v>
      </c>
      <c r="D14" s="1" t="s">
        <v>133</v>
      </c>
      <c r="E14" s="1" t="s">
        <v>349</v>
      </c>
      <c r="F14" s="2" t="s">
        <v>353</v>
      </c>
      <c r="G14" s="2" t="s">
        <v>353</v>
      </c>
      <c r="H14" s="1" t="s">
        <v>35</v>
      </c>
      <c r="I14" s="1" t="s">
        <v>36</v>
      </c>
      <c r="J14" s="1" t="s">
        <v>121</v>
      </c>
      <c r="K14" s="2" t="s">
        <v>372</v>
      </c>
      <c r="L14" s="2" t="s">
        <v>397</v>
      </c>
      <c r="M14" s="2" t="s">
        <v>390</v>
      </c>
      <c r="N14" s="1" t="s">
        <v>132</v>
      </c>
      <c r="O14" s="1" t="s">
        <v>459</v>
      </c>
      <c r="P14" s="2" t="s">
        <v>379</v>
      </c>
      <c r="Q14" s="2" t="s">
        <v>458</v>
      </c>
      <c r="R14" s="1" t="s">
        <v>374</v>
      </c>
      <c r="S14" s="1" t="s">
        <v>37</v>
      </c>
      <c r="T14" s="1" t="s">
        <v>38</v>
      </c>
      <c r="U14" s="1" t="s">
        <v>115</v>
      </c>
      <c r="V14" s="1"/>
      <c r="W14" s="1" t="s">
        <v>41</v>
      </c>
      <c r="X14" s="1" t="s">
        <v>41</v>
      </c>
      <c r="Y14" s="1" t="s">
        <v>41</v>
      </c>
      <c r="Z14" s="1" t="s">
        <v>41</v>
      </c>
      <c r="AA14" s="1" t="s">
        <v>42</v>
      </c>
      <c r="AB14" s="1" t="s">
        <v>41</v>
      </c>
      <c r="AC14" s="1" t="s">
        <v>41</v>
      </c>
      <c r="AD14" s="1" t="s">
        <v>41</v>
      </c>
      <c r="AE14" s="1" t="s">
        <v>41</v>
      </c>
      <c r="AF14" s="1" t="s">
        <v>41</v>
      </c>
      <c r="AG14" s="1" t="s">
        <v>42</v>
      </c>
      <c r="AH14" s="1" t="s">
        <v>41</v>
      </c>
      <c r="AI14" s="3"/>
      <c r="AJ14" s="3"/>
      <c r="AK14" s="3"/>
      <c r="AL14" s="3">
        <v>100</v>
      </c>
      <c r="AM14" s="1"/>
      <c r="AN14" s="1"/>
      <c r="AO14" s="1"/>
      <c r="AP14" s="1" t="s">
        <v>134</v>
      </c>
      <c r="AQ14" s="1" t="s">
        <v>257</v>
      </c>
      <c r="AR14" s="1" t="s">
        <v>46</v>
      </c>
      <c r="AS14" s="4">
        <v>20</v>
      </c>
      <c r="AT14" s="31">
        <v>10</v>
      </c>
      <c r="AU14" s="5">
        <v>10</v>
      </c>
      <c r="AV14" s="4">
        <v>6.16</v>
      </c>
      <c r="AW14" s="15">
        <f>AT14-AZ14</f>
        <v>0</v>
      </c>
      <c r="AX14" s="4">
        <f>AW14/AT14*100</f>
        <v>0</v>
      </c>
      <c r="AY14" s="4">
        <v>6.7</v>
      </c>
      <c r="AZ14" s="5">
        <v>10</v>
      </c>
      <c r="BA14" s="4">
        <v>2.54</v>
      </c>
      <c r="BB14" s="4"/>
      <c r="BC14" s="4"/>
      <c r="BD14" s="4"/>
      <c r="BE14" s="1" t="s">
        <v>258</v>
      </c>
      <c r="BF14" s="1">
        <v>35</v>
      </c>
      <c r="BG14" s="1">
        <v>35</v>
      </c>
      <c r="BH14">
        <f>BF14-BG14</f>
        <v>0</v>
      </c>
      <c r="BI14" s="6"/>
    </row>
    <row r="15" spans="1:61" x14ac:dyDescent="0.2">
      <c r="A15" t="s">
        <v>406</v>
      </c>
      <c r="B15" s="1" t="s">
        <v>130</v>
      </c>
      <c r="C15" s="1">
        <v>2014</v>
      </c>
      <c r="D15" s="1" t="s">
        <v>133</v>
      </c>
      <c r="E15" s="1" t="s">
        <v>349</v>
      </c>
      <c r="F15" s="2" t="s">
        <v>353</v>
      </c>
      <c r="G15" s="2" t="s">
        <v>353</v>
      </c>
      <c r="H15" s="1" t="s">
        <v>35</v>
      </c>
      <c r="I15" s="1" t="s">
        <v>36</v>
      </c>
      <c r="J15" s="1" t="s">
        <v>121</v>
      </c>
      <c r="K15" s="2" t="s">
        <v>372</v>
      </c>
      <c r="L15" s="2" t="s">
        <v>397</v>
      </c>
      <c r="M15" s="2" t="s">
        <v>390</v>
      </c>
      <c r="N15" s="1" t="s">
        <v>132</v>
      </c>
      <c r="O15" s="1" t="s">
        <v>459</v>
      </c>
      <c r="P15" s="2" t="s">
        <v>379</v>
      </c>
      <c r="Q15" s="2" t="s">
        <v>458</v>
      </c>
      <c r="R15" s="1" t="s">
        <v>374</v>
      </c>
      <c r="S15" s="1" t="s">
        <v>37</v>
      </c>
      <c r="T15" s="1" t="s">
        <v>38</v>
      </c>
      <c r="U15" s="1" t="s">
        <v>115</v>
      </c>
      <c r="V15" s="1"/>
      <c r="W15" s="1" t="s">
        <v>41</v>
      </c>
      <c r="X15" s="1" t="s">
        <v>41</v>
      </c>
      <c r="Y15" s="1" t="s">
        <v>41</v>
      </c>
      <c r="Z15" s="1" t="s">
        <v>41</v>
      </c>
      <c r="AA15" s="1" t="s">
        <v>42</v>
      </c>
      <c r="AB15" s="1" t="s">
        <v>41</v>
      </c>
      <c r="AC15" s="1" t="s">
        <v>41</v>
      </c>
      <c r="AD15" s="1" t="s">
        <v>41</v>
      </c>
      <c r="AE15" s="1" t="s">
        <v>41</v>
      </c>
      <c r="AF15" s="1" t="s">
        <v>41</v>
      </c>
      <c r="AG15" s="1" t="s">
        <v>42</v>
      </c>
      <c r="AH15" s="1" t="s">
        <v>41</v>
      </c>
      <c r="AI15" s="3"/>
      <c r="AJ15" s="3"/>
      <c r="AK15" s="3"/>
      <c r="AL15" s="3">
        <v>100</v>
      </c>
      <c r="AM15" s="1"/>
      <c r="AN15" s="1"/>
      <c r="AO15" s="1"/>
      <c r="AP15" s="1" t="s">
        <v>179</v>
      </c>
      <c r="AQ15" s="1" t="s">
        <v>195</v>
      </c>
      <c r="AR15" s="1" t="s">
        <v>46</v>
      </c>
      <c r="AS15" s="4">
        <v>58.01</v>
      </c>
      <c r="AT15" s="31">
        <v>10</v>
      </c>
      <c r="AU15" s="5">
        <v>10</v>
      </c>
      <c r="AV15" s="4">
        <v>24.01</v>
      </c>
      <c r="AW15" s="15">
        <f>AT15-AZ15</f>
        <v>0</v>
      </c>
      <c r="AX15" s="4">
        <f>AW15/AT15*100</f>
        <v>0</v>
      </c>
      <c r="AY15" s="4">
        <v>70.98</v>
      </c>
      <c r="AZ15" s="5">
        <v>10</v>
      </c>
      <c r="BA15" s="4">
        <v>11.11</v>
      </c>
      <c r="BB15" s="4"/>
      <c r="BC15" s="4"/>
      <c r="BD15" s="4"/>
      <c r="BE15" s="1" t="s">
        <v>258</v>
      </c>
      <c r="BF15" s="1">
        <v>35</v>
      </c>
      <c r="BG15" s="1">
        <v>35</v>
      </c>
      <c r="BH15">
        <f>BF15-BG15</f>
        <v>0</v>
      </c>
      <c r="BI15" s="6"/>
    </row>
    <row r="16" spans="1:61" x14ac:dyDescent="0.2">
      <c r="A16" t="s">
        <v>338</v>
      </c>
      <c r="B16" s="1" t="s">
        <v>441</v>
      </c>
      <c r="C16" s="1">
        <v>2017</v>
      </c>
      <c r="D16" s="1" t="s">
        <v>102</v>
      </c>
      <c r="E16" s="1" t="s">
        <v>502</v>
      </c>
      <c r="F16" s="1" t="s">
        <v>434</v>
      </c>
      <c r="G16" s="1" t="s">
        <v>345</v>
      </c>
      <c r="H16" s="1" t="s">
        <v>63</v>
      </c>
      <c r="I16" s="2" t="s">
        <v>64</v>
      </c>
      <c r="J16" s="1" t="s">
        <v>86</v>
      </c>
      <c r="K16" s="1" t="s">
        <v>371</v>
      </c>
      <c r="L16" s="1" t="s">
        <v>395</v>
      </c>
      <c r="M16" s="1" t="s">
        <v>390</v>
      </c>
      <c r="N16" s="1" t="s">
        <v>103</v>
      </c>
      <c r="O16" s="1" t="s">
        <v>440</v>
      </c>
      <c r="P16" s="1" t="s">
        <v>404</v>
      </c>
      <c r="Q16" s="1" t="s">
        <v>439</v>
      </c>
      <c r="R16" s="1" t="s">
        <v>209</v>
      </c>
      <c r="S16" s="1" t="s">
        <v>54</v>
      </c>
      <c r="T16" s="1" t="s">
        <v>38</v>
      </c>
      <c r="U16" s="1" t="s">
        <v>70</v>
      </c>
      <c r="V16" s="1" t="s">
        <v>40</v>
      </c>
      <c r="W16" s="1" t="s">
        <v>42</v>
      </c>
      <c r="X16" s="1" t="s">
        <v>42</v>
      </c>
      <c r="Y16" s="1" t="s">
        <v>56</v>
      </c>
      <c r="Z16" s="1" t="s">
        <v>42</v>
      </c>
      <c r="AA16" s="1" t="s">
        <v>42</v>
      </c>
      <c r="AB16" s="1" t="s">
        <v>42</v>
      </c>
      <c r="AC16" s="1" t="s">
        <v>42</v>
      </c>
      <c r="AD16" s="1" t="s">
        <v>42</v>
      </c>
      <c r="AE16" s="1" t="s">
        <v>56</v>
      </c>
      <c r="AF16" s="1" t="s">
        <v>42</v>
      </c>
      <c r="AG16" s="1" t="s">
        <v>42</v>
      </c>
      <c r="AH16" s="1" t="s">
        <v>42</v>
      </c>
      <c r="AI16" s="3">
        <v>64.099999999999994</v>
      </c>
      <c r="AJ16" s="3"/>
      <c r="AK16" s="3">
        <v>66.540000000000006</v>
      </c>
      <c r="AL16" s="3">
        <v>66.67</v>
      </c>
      <c r="AM16" s="1" t="s">
        <v>104</v>
      </c>
      <c r="AN16" s="1" t="s">
        <v>105</v>
      </c>
      <c r="AO16" s="1" t="s">
        <v>43</v>
      </c>
      <c r="AP16" s="1" t="s">
        <v>44</v>
      </c>
      <c r="AQ16" s="1" t="s">
        <v>175</v>
      </c>
      <c r="AR16" s="1" t="s">
        <v>46</v>
      </c>
      <c r="AS16" s="4">
        <v>53.51</v>
      </c>
      <c r="AT16" s="31">
        <v>39</v>
      </c>
      <c r="AU16" s="5">
        <v>39</v>
      </c>
      <c r="AV16" s="4">
        <v>16.100000000000001</v>
      </c>
      <c r="AW16" s="15">
        <f>AT16-AZ16</f>
        <v>0</v>
      </c>
      <c r="AX16" s="4">
        <f>AW16/AT16*100</f>
        <v>0</v>
      </c>
      <c r="AY16" s="4">
        <v>33.64</v>
      </c>
      <c r="AZ16" s="5">
        <v>39</v>
      </c>
      <c r="BA16" s="4">
        <v>15.49</v>
      </c>
      <c r="BB16" s="4"/>
      <c r="BC16" s="4"/>
      <c r="BD16" s="4"/>
      <c r="BE16" s="1" t="s">
        <v>106</v>
      </c>
      <c r="BF16" s="1">
        <v>90</v>
      </c>
      <c r="BG16" s="1">
        <v>90</v>
      </c>
      <c r="BH16">
        <f>BF16-BG16</f>
        <v>0</v>
      </c>
      <c r="BI16" s="6"/>
    </row>
    <row r="17" spans="1:61" x14ac:dyDescent="0.2">
      <c r="A17" t="s">
        <v>338</v>
      </c>
      <c r="B17" s="1" t="s">
        <v>441</v>
      </c>
      <c r="C17" s="1">
        <v>2017</v>
      </c>
      <c r="D17" s="1" t="s">
        <v>102</v>
      </c>
      <c r="E17" s="1" t="s">
        <v>502</v>
      </c>
      <c r="F17" s="1" t="s">
        <v>434</v>
      </c>
      <c r="G17" s="1" t="s">
        <v>345</v>
      </c>
      <c r="H17" s="1" t="s">
        <v>63</v>
      </c>
      <c r="I17" s="2" t="s">
        <v>64</v>
      </c>
      <c r="J17" s="1" t="s">
        <v>86</v>
      </c>
      <c r="K17" s="1" t="s">
        <v>371</v>
      </c>
      <c r="L17" s="1" t="s">
        <v>395</v>
      </c>
      <c r="M17" s="1" t="s">
        <v>390</v>
      </c>
      <c r="N17" s="1" t="s">
        <v>103</v>
      </c>
      <c r="O17" s="1" t="s">
        <v>440</v>
      </c>
      <c r="P17" s="1" t="s">
        <v>404</v>
      </c>
      <c r="Q17" s="1" t="s">
        <v>439</v>
      </c>
      <c r="R17" s="1" t="s">
        <v>209</v>
      </c>
      <c r="S17" s="1" t="s">
        <v>54</v>
      </c>
      <c r="T17" s="1" t="s">
        <v>38</v>
      </c>
      <c r="U17" s="1" t="s">
        <v>70</v>
      </c>
      <c r="V17" s="1" t="s">
        <v>40</v>
      </c>
      <c r="W17" s="1" t="s">
        <v>42</v>
      </c>
      <c r="X17" s="1" t="s">
        <v>42</v>
      </c>
      <c r="Y17" s="1" t="s">
        <v>56</v>
      </c>
      <c r="Z17" s="1" t="s">
        <v>42</v>
      </c>
      <c r="AA17" s="1" t="s">
        <v>42</v>
      </c>
      <c r="AB17" s="1" t="s">
        <v>42</v>
      </c>
      <c r="AC17" s="1" t="s">
        <v>42</v>
      </c>
      <c r="AD17" s="1" t="s">
        <v>42</v>
      </c>
      <c r="AE17" s="1" t="s">
        <v>56</v>
      </c>
      <c r="AF17" s="1" t="s">
        <v>42</v>
      </c>
      <c r="AG17" s="1" t="s">
        <v>42</v>
      </c>
      <c r="AH17" s="1" t="s">
        <v>42</v>
      </c>
      <c r="AI17" s="3">
        <v>64.099999999999994</v>
      </c>
      <c r="AJ17" s="3"/>
      <c r="AK17" s="3">
        <v>66.540000000000006</v>
      </c>
      <c r="AL17" s="3">
        <v>66.67</v>
      </c>
      <c r="AM17" s="1" t="s">
        <v>104</v>
      </c>
      <c r="AN17" s="1" t="s">
        <v>105</v>
      </c>
      <c r="AO17" s="1" t="s">
        <v>43</v>
      </c>
      <c r="AP17" s="1" t="s">
        <v>179</v>
      </c>
      <c r="AQ17" s="1" t="s">
        <v>78</v>
      </c>
      <c r="AR17" s="1" t="s">
        <v>46</v>
      </c>
      <c r="AS17" s="4">
        <v>48.82</v>
      </c>
      <c r="AT17" s="31">
        <v>39</v>
      </c>
      <c r="AU17" s="5">
        <v>39</v>
      </c>
      <c r="AV17" s="4">
        <v>7.83</v>
      </c>
      <c r="AW17" s="15">
        <f>AT17-AZ17</f>
        <v>0</v>
      </c>
      <c r="AX17" s="4">
        <f>AW17/AT17*100</f>
        <v>0</v>
      </c>
      <c r="AY17" s="4">
        <v>55.04</v>
      </c>
      <c r="AZ17" s="5">
        <v>39</v>
      </c>
      <c r="BA17" s="4">
        <v>5.88</v>
      </c>
      <c r="BB17" s="4"/>
      <c r="BC17" s="4"/>
      <c r="BD17" s="4"/>
      <c r="BE17" s="1" t="s">
        <v>106</v>
      </c>
      <c r="BF17" s="1">
        <v>90</v>
      </c>
      <c r="BG17" s="1">
        <v>90</v>
      </c>
      <c r="BH17">
        <f>BF17-BG17</f>
        <v>0</v>
      </c>
      <c r="BI17" s="6"/>
    </row>
    <row r="18" spans="1:61" x14ac:dyDescent="0.2">
      <c r="A18" t="s">
        <v>338</v>
      </c>
      <c r="B18" s="1" t="s">
        <v>207</v>
      </c>
      <c r="C18" s="1">
        <v>2010</v>
      </c>
      <c r="D18" s="1" t="s">
        <v>68</v>
      </c>
      <c r="E18" s="1" t="s">
        <v>502</v>
      </c>
      <c r="F18" s="1" t="s">
        <v>434</v>
      </c>
      <c r="G18" s="1" t="s">
        <v>345</v>
      </c>
      <c r="H18" s="1" t="s">
        <v>96</v>
      </c>
      <c r="I18" s="1" t="s">
        <v>97</v>
      </c>
      <c r="J18" s="1" t="s">
        <v>86</v>
      </c>
      <c r="K18" s="2" t="s">
        <v>371</v>
      </c>
      <c r="L18" s="2" t="s">
        <v>401</v>
      </c>
      <c r="M18" s="2" t="s">
        <v>394</v>
      </c>
      <c r="N18" s="1" t="s">
        <v>209</v>
      </c>
      <c r="O18" s="1" t="s">
        <v>485</v>
      </c>
      <c r="P18" s="1" t="s">
        <v>404</v>
      </c>
      <c r="Q18" s="4" t="s">
        <v>486</v>
      </c>
      <c r="R18" s="1" t="s">
        <v>209</v>
      </c>
      <c r="S18" s="1" t="s">
        <v>37</v>
      </c>
      <c r="T18" s="1" t="s">
        <v>38</v>
      </c>
      <c r="U18" s="1" t="s">
        <v>55</v>
      </c>
      <c r="V18" s="1" t="s">
        <v>88</v>
      </c>
      <c r="W18" s="1" t="s">
        <v>42</v>
      </c>
      <c r="X18" s="1" t="s">
        <v>41</v>
      </c>
      <c r="Y18" s="1" t="s">
        <v>56</v>
      </c>
      <c r="Z18" s="1" t="s">
        <v>41</v>
      </c>
      <c r="AA18" s="1" t="s">
        <v>42</v>
      </c>
      <c r="AB18" s="1" t="s">
        <v>41</v>
      </c>
      <c r="AC18" s="1" t="s">
        <v>42</v>
      </c>
      <c r="AD18" s="1" t="s">
        <v>41</v>
      </c>
      <c r="AE18" s="1" t="s">
        <v>56</v>
      </c>
      <c r="AF18" s="1" t="s">
        <v>41</v>
      </c>
      <c r="AG18" s="1" t="s">
        <v>42</v>
      </c>
      <c r="AH18" s="1" t="s">
        <v>41</v>
      </c>
      <c r="AI18" s="3"/>
      <c r="AJ18" s="3"/>
      <c r="AK18" s="3"/>
      <c r="AL18" s="3"/>
      <c r="AM18" s="1" t="s">
        <v>212</v>
      </c>
      <c r="AN18" s="1" t="s">
        <v>213</v>
      </c>
      <c r="AO18" s="1" t="s">
        <v>214</v>
      </c>
      <c r="AP18" s="1" t="s">
        <v>252</v>
      </c>
      <c r="AQ18" s="1" t="s">
        <v>253</v>
      </c>
      <c r="AR18" s="1" t="s">
        <v>46</v>
      </c>
      <c r="AS18" s="4">
        <v>19.21</v>
      </c>
      <c r="AT18" s="31">
        <v>40</v>
      </c>
      <c r="AU18" s="5">
        <v>40</v>
      </c>
      <c r="AV18" s="4">
        <v>3.93</v>
      </c>
      <c r="AW18" s="15">
        <f>AT18-AZ18</f>
        <v>0</v>
      </c>
      <c r="AX18" s="4">
        <f>AW18/AT18*100</f>
        <v>0</v>
      </c>
      <c r="AY18" s="4">
        <v>21.02</v>
      </c>
      <c r="AZ18" s="5">
        <v>40</v>
      </c>
      <c r="BA18" s="4">
        <v>3.88</v>
      </c>
      <c r="BB18" s="4"/>
      <c r="BC18" s="4"/>
      <c r="BD18" s="4"/>
      <c r="BE18" s="1" t="s">
        <v>94</v>
      </c>
      <c r="BF18" s="1">
        <v>365</v>
      </c>
      <c r="BG18" s="1">
        <v>365</v>
      </c>
      <c r="BH18">
        <f>BF18-BG18</f>
        <v>0</v>
      </c>
      <c r="BI18" s="6"/>
    </row>
    <row r="19" spans="1:61" x14ac:dyDescent="0.2">
      <c r="A19" t="s">
        <v>338</v>
      </c>
      <c r="B19" s="1" t="s">
        <v>207</v>
      </c>
      <c r="C19" s="1">
        <v>2010</v>
      </c>
      <c r="D19" s="1" t="s">
        <v>68</v>
      </c>
      <c r="E19" s="1" t="s">
        <v>502</v>
      </c>
      <c r="F19" s="1" t="s">
        <v>434</v>
      </c>
      <c r="G19" s="1" t="s">
        <v>345</v>
      </c>
      <c r="H19" s="1" t="s">
        <v>96</v>
      </c>
      <c r="I19" s="1" t="s">
        <v>97</v>
      </c>
      <c r="J19" s="1" t="s">
        <v>86</v>
      </c>
      <c r="K19" s="2" t="s">
        <v>371</v>
      </c>
      <c r="L19" s="2" t="s">
        <v>401</v>
      </c>
      <c r="M19" s="2" t="s">
        <v>394</v>
      </c>
      <c r="N19" s="1" t="s">
        <v>209</v>
      </c>
      <c r="O19" s="1" t="s">
        <v>485</v>
      </c>
      <c r="P19" s="1" t="s">
        <v>404</v>
      </c>
      <c r="Q19" s="4" t="s">
        <v>486</v>
      </c>
      <c r="R19" s="1" t="s">
        <v>209</v>
      </c>
      <c r="S19" s="1" t="s">
        <v>37</v>
      </c>
      <c r="T19" s="1" t="s">
        <v>38</v>
      </c>
      <c r="U19" s="1" t="s">
        <v>55</v>
      </c>
      <c r="V19" s="1" t="s">
        <v>88</v>
      </c>
      <c r="W19" s="1" t="s">
        <v>42</v>
      </c>
      <c r="X19" s="1" t="s">
        <v>41</v>
      </c>
      <c r="Y19" s="1" t="s">
        <v>56</v>
      </c>
      <c r="Z19" s="1" t="s">
        <v>41</v>
      </c>
      <c r="AA19" s="1" t="s">
        <v>42</v>
      </c>
      <c r="AB19" s="1" t="s">
        <v>41</v>
      </c>
      <c r="AC19" s="1" t="s">
        <v>42</v>
      </c>
      <c r="AD19" s="1" t="s">
        <v>41</v>
      </c>
      <c r="AE19" s="1" t="s">
        <v>56</v>
      </c>
      <c r="AF19" s="1" t="s">
        <v>41</v>
      </c>
      <c r="AG19" s="1" t="s">
        <v>42</v>
      </c>
      <c r="AH19" s="1" t="s">
        <v>41</v>
      </c>
      <c r="AI19" s="3"/>
      <c r="AJ19" s="3"/>
      <c r="AK19" s="3"/>
      <c r="AL19" s="3"/>
      <c r="AM19" s="1" t="s">
        <v>212</v>
      </c>
      <c r="AN19" s="1" t="s">
        <v>213</v>
      </c>
      <c r="AO19" s="1" t="s">
        <v>214</v>
      </c>
      <c r="AP19" s="1" t="s">
        <v>93</v>
      </c>
      <c r="AQ19" s="1" t="s">
        <v>89</v>
      </c>
      <c r="AR19" s="1" t="s">
        <v>46</v>
      </c>
      <c r="AS19" s="4">
        <v>19.21</v>
      </c>
      <c r="AT19" s="31">
        <v>40</v>
      </c>
      <c r="AU19" s="5">
        <v>40</v>
      </c>
      <c r="AV19" s="4">
        <v>3.93</v>
      </c>
      <c r="AW19" s="15">
        <f>AT19-AZ19</f>
        <v>0</v>
      </c>
      <c r="AX19" s="4">
        <f>AW19/AT19*100</f>
        <v>0</v>
      </c>
      <c r="AY19" s="4">
        <v>21.02</v>
      </c>
      <c r="AZ19" s="5">
        <v>40</v>
      </c>
      <c r="BA19" s="4">
        <v>3.88</v>
      </c>
      <c r="BB19" s="4"/>
      <c r="BC19" s="4"/>
      <c r="BD19" s="4"/>
      <c r="BE19" s="1" t="s">
        <v>94</v>
      </c>
      <c r="BF19" s="1">
        <v>365</v>
      </c>
      <c r="BG19" s="1">
        <v>365</v>
      </c>
      <c r="BH19">
        <f>BF19-BG19</f>
        <v>0</v>
      </c>
      <c r="BI19" s="6"/>
    </row>
    <row r="20" spans="1:61" x14ac:dyDescent="0.2">
      <c r="A20" t="s">
        <v>338</v>
      </c>
      <c r="B20" s="1" t="s">
        <v>224</v>
      </c>
      <c r="C20" s="1">
        <v>2014</v>
      </c>
      <c r="D20" s="1" t="s">
        <v>197</v>
      </c>
      <c r="E20" s="1" t="s">
        <v>502</v>
      </c>
      <c r="F20" s="1" t="s">
        <v>434</v>
      </c>
      <c r="G20" s="1" t="s">
        <v>345</v>
      </c>
      <c r="H20" s="1" t="s">
        <v>96</v>
      </c>
      <c r="I20" s="1" t="s">
        <v>97</v>
      </c>
      <c r="J20" s="1" t="s">
        <v>86</v>
      </c>
      <c r="K20" s="1" t="s">
        <v>371</v>
      </c>
      <c r="L20" s="2"/>
      <c r="M20" s="2"/>
      <c r="N20" s="1" t="s">
        <v>225</v>
      </c>
      <c r="O20" s="1" t="s">
        <v>490</v>
      </c>
      <c r="P20" s="1" t="s">
        <v>404</v>
      </c>
      <c r="Q20" s="1" t="s">
        <v>491</v>
      </c>
      <c r="R20" s="1" t="s">
        <v>209</v>
      </c>
      <c r="S20" s="1" t="s">
        <v>37</v>
      </c>
      <c r="T20" s="1" t="s">
        <v>38</v>
      </c>
      <c r="U20" s="1" t="s">
        <v>115</v>
      </c>
      <c r="V20" s="1" t="s">
        <v>40</v>
      </c>
      <c r="W20" s="1" t="s">
        <v>42</v>
      </c>
      <c r="X20" s="1" t="s">
        <v>41</v>
      </c>
      <c r="Y20" s="1" t="s">
        <v>56</v>
      </c>
      <c r="Z20" s="1" t="s">
        <v>41</v>
      </c>
      <c r="AA20" s="1" t="s">
        <v>42</v>
      </c>
      <c r="AB20" s="1" t="s">
        <v>41</v>
      </c>
      <c r="AC20" s="1" t="s">
        <v>42</v>
      </c>
      <c r="AD20" s="1" t="s">
        <v>41</v>
      </c>
      <c r="AE20" s="1" t="s">
        <v>56</v>
      </c>
      <c r="AF20" s="1" t="s">
        <v>41</v>
      </c>
      <c r="AG20" s="1" t="s">
        <v>42</v>
      </c>
      <c r="AH20" s="1" t="s">
        <v>41</v>
      </c>
      <c r="AI20" s="3"/>
      <c r="AJ20" s="3"/>
      <c r="AK20" s="3"/>
      <c r="AL20" s="3"/>
      <c r="AM20" s="1" t="s">
        <v>229</v>
      </c>
      <c r="AN20" s="1" t="s">
        <v>230</v>
      </c>
      <c r="AO20" s="1" t="s">
        <v>231</v>
      </c>
      <c r="AP20" s="1" t="s">
        <v>254</v>
      </c>
      <c r="AQ20" s="1" t="s">
        <v>253</v>
      </c>
      <c r="AR20" s="1" t="s">
        <v>46</v>
      </c>
      <c r="AS20" s="4">
        <v>34.14</v>
      </c>
      <c r="AT20" s="31">
        <v>64</v>
      </c>
      <c r="AU20" s="5">
        <v>62</v>
      </c>
      <c r="AV20" s="4">
        <v>5.35</v>
      </c>
      <c r="AW20" s="15">
        <f>AT20-AZ20</f>
        <v>2</v>
      </c>
      <c r="AX20" s="4">
        <f>AW20/AT20*100</f>
        <v>3.125</v>
      </c>
      <c r="AY20" s="4">
        <v>33.159999999999897</v>
      </c>
      <c r="AZ20" s="5">
        <v>62</v>
      </c>
      <c r="BA20" s="4">
        <v>5.29</v>
      </c>
      <c r="BB20" s="4"/>
      <c r="BC20" s="4"/>
      <c r="BD20" s="4"/>
      <c r="BE20" s="1" t="s">
        <v>61</v>
      </c>
      <c r="BF20" s="1">
        <v>180</v>
      </c>
      <c r="BG20" s="1">
        <v>365</v>
      </c>
      <c r="BH20">
        <f>BF20-BG20</f>
        <v>-185</v>
      </c>
      <c r="BI20" s="6"/>
    </row>
    <row r="21" spans="1:61" x14ac:dyDescent="0.2">
      <c r="A21" t="s">
        <v>338</v>
      </c>
      <c r="B21" s="1" t="s">
        <v>224</v>
      </c>
      <c r="C21" s="1">
        <v>2014</v>
      </c>
      <c r="D21" s="1" t="s">
        <v>197</v>
      </c>
      <c r="E21" s="1" t="s">
        <v>502</v>
      </c>
      <c r="F21" s="1" t="s">
        <v>434</v>
      </c>
      <c r="G21" s="1" t="s">
        <v>345</v>
      </c>
      <c r="H21" s="1" t="s">
        <v>96</v>
      </c>
      <c r="I21" s="1" t="s">
        <v>97</v>
      </c>
      <c r="J21" s="1" t="s">
        <v>86</v>
      </c>
      <c r="K21" s="1" t="s">
        <v>371</v>
      </c>
      <c r="L21" s="2"/>
      <c r="M21" s="2"/>
      <c r="N21" s="1" t="s">
        <v>225</v>
      </c>
      <c r="O21" s="1" t="s">
        <v>490</v>
      </c>
      <c r="P21" s="1" t="s">
        <v>404</v>
      </c>
      <c r="Q21" s="1" t="s">
        <v>491</v>
      </c>
      <c r="R21" s="1" t="s">
        <v>209</v>
      </c>
      <c r="S21" s="1" t="s">
        <v>37</v>
      </c>
      <c r="T21" s="1" t="s">
        <v>38</v>
      </c>
      <c r="U21" s="1" t="s">
        <v>115</v>
      </c>
      <c r="V21" s="1" t="s">
        <v>40</v>
      </c>
      <c r="W21" s="1" t="s">
        <v>42</v>
      </c>
      <c r="X21" s="1" t="s">
        <v>41</v>
      </c>
      <c r="Y21" s="1" t="s">
        <v>56</v>
      </c>
      <c r="Z21" s="1" t="s">
        <v>41</v>
      </c>
      <c r="AA21" s="1" t="s">
        <v>42</v>
      </c>
      <c r="AB21" s="1" t="s">
        <v>41</v>
      </c>
      <c r="AC21" s="1" t="s">
        <v>42</v>
      </c>
      <c r="AD21" s="1" t="s">
        <v>41</v>
      </c>
      <c r="AE21" s="1" t="s">
        <v>56</v>
      </c>
      <c r="AF21" s="1" t="s">
        <v>41</v>
      </c>
      <c r="AG21" s="1" t="s">
        <v>42</v>
      </c>
      <c r="AH21" s="1" t="s">
        <v>41</v>
      </c>
      <c r="AI21" s="3"/>
      <c r="AJ21" s="3"/>
      <c r="AK21" s="3"/>
      <c r="AL21" s="3"/>
      <c r="AM21" s="1" t="s">
        <v>229</v>
      </c>
      <c r="AN21" s="1" t="s">
        <v>230</v>
      </c>
      <c r="AO21" s="1" t="s">
        <v>231</v>
      </c>
      <c r="AP21" s="1" t="s">
        <v>93</v>
      </c>
      <c r="AQ21" s="1" t="s">
        <v>89</v>
      </c>
      <c r="AR21" s="1" t="s">
        <v>46</v>
      </c>
      <c r="AS21" s="4">
        <v>14.19</v>
      </c>
      <c r="AT21" s="31">
        <v>64</v>
      </c>
      <c r="AU21" s="5">
        <v>62</v>
      </c>
      <c r="AV21" s="4">
        <v>3.12</v>
      </c>
      <c r="AW21" s="15">
        <f>AT21-AZ21</f>
        <v>2</v>
      </c>
      <c r="AX21" s="4">
        <f>AW21/AT21*100</f>
        <v>3.125</v>
      </c>
      <c r="AY21" s="4">
        <v>14.29</v>
      </c>
      <c r="AZ21" s="5">
        <v>62</v>
      </c>
      <c r="BA21" s="4">
        <v>4.41</v>
      </c>
      <c r="BB21" s="4"/>
      <c r="BC21" s="4"/>
      <c r="BD21" s="4"/>
      <c r="BE21" s="1" t="s">
        <v>61</v>
      </c>
      <c r="BF21" s="1">
        <v>180</v>
      </c>
      <c r="BG21" s="1">
        <v>365</v>
      </c>
      <c r="BH21">
        <f>BF21-BG21</f>
        <v>-185</v>
      </c>
      <c r="BI21" s="6"/>
    </row>
    <row r="22" spans="1:61" x14ac:dyDescent="0.2">
      <c r="A22" t="s">
        <v>338</v>
      </c>
      <c r="B22" s="1" t="s">
        <v>224</v>
      </c>
      <c r="C22" s="1">
        <v>2014</v>
      </c>
      <c r="D22" s="1" t="s">
        <v>197</v>
      </c>
      <c r="E22" s="1" t="s">
        <v>502</v>
      </c>
      <c r="F22" s="1" t="s">
        <v>434</v>
      </c>
      <c r="G22" s="1" t="s">
        <v>345</v>
      </c>
      <c r="H22" s="1" t="s">
        <v>96</v>
      </c>
      <c r="I22" s="1" t="s">
        <v>97</v>
      </c>
      <c r="J22" s="1" t="s">
        <v>86</v>
      </c>
      <c r="K22" s="1" t="s">
        <v>371</v>
      </c>
      <c r="L22" s="2"/>
      <c r="M22" s="2"/>
      <c r="N22" s="1" t="s">
        <v>225</v>
      </c>
      <c r="O22" s="1" t="s">
        <v>490</v>
      </c>
      <c r="P22" s="1" t="s">
        <v>404</v>
      </c>
      <c r="Q22" s="1" t="s">
        <v>491</v>
      </c>
      <c r="R22" s="1" t="s">
        <v>209</v>
      </c>
      <c r="S22" s="1" t="s">
        <v>37</v>
      </c>
      <c r="T22" s="1" t="s">
        <v>38</v>
      </c>
      <c r="U22" s="1" t="s">
        <v>115</v>
      </c>
      <c r="V22" s="1" t="s">
        <v>40</v>
      </c>
      <c r="W22" s="1" t="s">
        <v>42</v>
      </c>
      <c r="X22" s="1" t="s">
        <v>41</v>
      </c>
      <c r="Y22" s="1" t="s">
        <v>56</v>
      </c>
      <c r="Z22" s="1" t="s">
        <v>41</v>
      </c>
      <c r="AA22" s="1" t="s">
        <v>42</v>
      </c>
      <c r="AB22" s="1" t="s">
        <v>41</v>
      </c>
      <c r="AC22" s="1" t="s">
        <v>42</v>
      </c>
      <c r="AD22" s="1" t="s">
        <v>41</v>
      </c>
      <c r="AE22" s="1" t="s">
        <v>56</v>
      </c>
      <c r="AF22" s="1" t="s">
        <v>41</v>
      </c>
      <c r="AG22" s="1" t="s">
        <v>42</v>
      </c>
      <c r="AH22" s="1" t="s">
        <v>41</v>
      </c>
      <c r="AI22" s="3"/>
      <c r="AJ22" s="3"/>
      <c r="AK22" s="3"/>
      <c r="AL22" s="3"/>
      <c r="AM22" s="1" t="s">
        <v>229</v>
      </c>
      <c r="AN22" s="1" t="s">
        <v>230</v>
      </c>
      <c r="AO22" s="1" t="s">
        <v>231</v>
      </c>
      <c r="AP22" s="1" t="s">
        <v>254</v>
      </c>
      <c r="AQ22" s="1" t="s">
        <v>253</v>
      </c>
      <c r="AR22" s="1" t="s">
        <v>46</v>
      </c>
      <c r="AS22" s="4">
        <v>34.14</v>
      </c>
      <c r="AT22" s="31">
        <v>64</v>
      </c>
      <c r="AU22" s="5">
        <v>62</v>
      </c>
      <c r="AV22" s="4">
        <v>5.35</v>
      </c>
      <c r="AW22" s="15">
        <f>AT22-AZ22</f>
        <v>2</v>
      </c>
      <c r="AX22" s="4">
        <f>AW22/AT22*100</f>
        <v>3.125</v>
      </c>
      <c r="AY22" s="4">
        <v>32.99</v>
      </c>
      <c r="AZ22" s="5">
        <v>62</v>
      </c>
      <c r="BA22" s="4">
        <v>6.35</v>
      </c>
      <c r="BB22" s="4"/>
      <c r="BC22" s="4"/>
      <c r="BD22" s="4"/>
      <c r="BE22" s="1" t="s">
        <v>94</v>
      </c>
      <c r="BF22" s="1">
        <v>365</v>
      </c>
      <c r="BG22" s="1">
        <v>365</v>
      </c>
      <c r="BH22">
        <f>BF22-BG22</f>
        <v>0</v>
      </c>
      <c r="BI22" s="6"/>
    </row>
    <row r="23" spans="1:61" x14ac:dyDescent="0.2">
      <c r="A23" t="s">
        <v>338</v>
      </c>
      <c r="B23" s="1" t="s">
        <v>224</v>
      </c>
      <c r="C23" s="1">
        <v>2014</v>
      </c>
      <c r="D23" s="1" t="s">
        <v>197</v>
      </c>
      <c r="E23" s="1" t="s">
        <v>502</v>
      </c>
      <c r="F23" s="1" t="s">
        <v>434</v>
      </c>
      <c r="G23" s="1" t="s">
        <v>345</v>
      </c>
      <c r="H23" s="1" t="s">
        <v>96</v>
      </c>
      <c r="I23" s="1" t="s">
        <v>97</v>
      </c>
      <c r="J23" s="1" t="s">
        <v>86</v>
      </c>
      <c r="K23" s="1" t="s">
        <v>371</v>
      </c>
      <c r="L23" s="2"/>
      <c r="M23" s="2"/>
      <c r="N23" s="1" t="s">
        <v>225</v>
      </c>
      <c r="O23" s="1" t="s">
        <v>490</v>
      </c>
      <c r="P23" s="1" t="s">
        <v>404</v>
      </c>
      <c r="Q23" s="1" t="s">
        <v>491</v>
      </c>
      <c r="R23" s="1" t="s">
        <v>209</v>
      </c>
      <c r="S23" s="1" t="s">
        <v>37</v>
      </c>
      <c r="T23" s="1" t="s">
        <v>38</v>
      </c>
      <c r="U23" s="1" t="s">
        <v>115</v>
      </c>
      <c r="V23" s="1" t="s">
        <v>40</v>
      </c>
      <c r="W23" s="1" t="s">
        <v>42</v>
      </c>
      <c r="X23" s="1" t="s">
        <v>41</v>
      </c>
      <c r="Y23" s="1" t="s">
        <v>56</v>
      </c>
      <c r="Z23" s="1" t="s">
        <v>41</v>
      </c>
      <c r="AA23" s="1" t="s">
        <v>42</v>
      </c>
      <c r="AB23" s="1" t="s">
        <v>41</v>
      </c>
      <c r="AC23" s="1" t="s">
        <v>42</v>
      </c>
      <c r="AD23" s="1" t="s">
        <v>41</v>
      </c>
      <c r="AE23" s="1" t="s">
        <v>56</v>
      </c>
      <c r="AF23" s="1" t="s">
        <v>41</v>
      </c>
      <c r="AG23" s="1" t="s">
        <v>42</v>
      </c>
      <c r="AH23" s="1" t="s">
        <v>41</v>
      </c>
      <c r="AI23" s="3"/>
      <c r="AJ23" s="3"/>
      <c r="AK23" s="3"/>
      <c r="AL23" s="3"/>
      <c r="AM23" s="1" t="s">
        <v>229</v>
      </c>
      <c r="AN23" s="1" t="s">
        <v>230</v>
      </c>
      <c r="AO23" s="1" t="s">
        <v>231</v>
      </c>
      <c r="AP23" s="1" t="s">
        <v>93</v>
      </c>
      <c r="AQ23" s="1" t="s">
        <v>89</v>
      </c>
      <c r="AR23" s="1" t="s">
        <v>46</v>
      </c>
      <c r="AS23" s="4">
        <v>14.19</v>
      </c>
      <c r="AT23" s="31">
        <v>64</v>
      </c>
      <c r="AU23" s="5">
        <v>62</v>
      </c>
      <c r="AV23" s="4">
        <v>3.12</v>
      </c>
      <c r="AW23" s="15">
        <f>AT23-AZ23</f>
        <v>2</v>
      </c>
      <c r="AX23" s="4">
        <f>AW23/AT23*100</f>
        <v>3.125</v>
      </c>
      <c r="AY23" s="4">
        <v>15.98</v>
      </c>
      <c r="AZ23" s="5">
        <v>62</v>
      </c>
      <c r="BA23" s="4">
        <v>5.49</v>
      </c>
      <c r="BB23" s="4"/>
      <c r="BC23" s="4"/>
      <c r="BD23" s="4"/>
      <c r="BE23" s="1" t="s">
        <v>94</v>
      </c>
      <c r="BF23" s="1">
        <v>365</v>
      </c>
      <c r="BG23" s="1">
        <v>365</v>
      </c>
      <c r="BH23">
        <f>BF23-BG23</f>
        <v>0</v>
      </c>
      <c r="BI23" s="6"/>
    </row>
    <row r="24" spans="1:61" x14ac:dyDescent="0.2">
      <c r="A24" t="s">
        <v>338</v>
      </c>
      <c r="B24" s="1" t="s">
        <v>232</v>
      </c>
      <c r="C24" s="1">
        <v>2017</v>
      </c>
      <c r="D24" s="1" t="s">
        <v>238</v>
      </c>
      <c r="E24" s="1" t="s">
        <v>502</v>
      </c>
      <c r="F24" s="1" t="s">
        <v>434</v>
      </c>
      <c r="G24" s="1" t="s">
        <v>345</v>
      </c>
      <c r="H24" s="1" t="s">
        <v>96</v>
      </c>
      <c r="I24" s="1" t="s">
        <v>239</v>
      </c>
      <c r="J24" s="1" t="s">
        <v>86</v>
      </c>
      <c r="K24" s="1" t="s">
        <v>371</v>
      </c>
      <c r="L24" s="2" t="s">
        <v>402</v>
      </c>
      <c r="M24" s="2" t="s">
        <v>394</v>
      </c>
      <c r="N24" s="1" t="s">
        <v>233</v>
      </c>
      <c r="O24" s="1" t="s">
        <v>492</v>
      </c>
      <c r="P24" s="1" t="s">
        <v>404</v>
      </c>
      <c r="Q24" s="1" t="s">
        <v>493</v>
      </c>
      <c r="R24" s="1" t="s">
        <v>209</v>
      </c>
      <c r="S24" s="1" t="s">
        <v>54</v>
      </c>
      <c r="T24" s="1" t="s">
        <v>38</v>
      </c>
      <c r="U24" s="1" t="s">
        <v>39</v>
      </c>
      <c r="V24" s="1" t="s">
        <v>234</v>
      </c>
      <c r="W24" s="1" t="s">
        <v>42</v>
      </c>
      <c r="X24" s="1" t="s">
        <v>41</v>
      </c>
      <c r="Y24" s="1" t="s">
        <v>41</v>
      </c>
      <c r="Z24" s="1" t="s">
        <v>41</v>
      </c>
      <c r="AA24" s="1" t="s">
        <v>42</v>
      </c>
      <c r="AB24" s="1" t="s">
        <v>41</v>
      </c>
      <c r="AC24" s="1" t="s">
        <v>42</v>
      </c>
      <c r="AD24" s="1" t="s">
        <v>41</v>
      </c>
      <c r="AE24" s="1" t="s">
        <v>41</v>
      </c>
      <c r="AF24" s="1" t="s">
        <v>41</v>
      </c>
      <c r="AG24" s="1" t="s">
        <v>42</v>
      </c>
      <c r="AH24" s="1" t="s">
        <v>41</v>
      </c>
      <c r="AI24" s="3">
        <v>56.3</v>
      </c>
      <c r="AJ24" s="3">
        <v>76.11</v>
      </c>
      <c r="AK24" s="3"/>
      <c r="AL24" s="3"/>
      <c r="AM24" s="1" t="s">
        <v>240</v>
      </c>
      <c r="AN24" s="1" t="s">
        <v>241</v>
      </c>
      <c r="AO24" s="1" t="s">
        <v>242</v>
      </c>
      <c r="AP24" s="1" t="s">
        <v>93</v>
      </c>
      <c r="AQ24" s="1" t="s">
        <v>89</v>
      </c>
      <c r="AR24" s="1" t="s">
        <v>46</v>
      </c>
      <c r="AS24" s="4">
        <v>9.8800000000000008</v>
      </c>
      <c r="AT24" s="31">
        <v>71</v>
      </c>
      <c r="AU24" s="5">
        <v>71</v>
      </c>
      <c r="AV24" s="4">
        <v>2.33</v>
      </c>
      <c r="AW24" s="15">
        <f>AT24-AZ24</f>
        <v>0</v>
      </c>
      <c r="AX24" s="4">
        <f>AW24/AT24*100</f>
        <v>0</v>
      </c>
      <c r="AY24" s="4">
        <v>14.97</v>
      </c>
      <c r="AZ24" s="5">
        <v>71</v>
      </c>
      <c r="BA24" s="4">
        <v>3.03</v>
      </c>
      <c r="BB24" s="4"/>
      <c r="BC24" s="4"/>
      <c r="BD24" s="4"/>
      <c r="BE24" s="1" t="s">
        <v>94</v>
      </c>
      <c r="BF24" s="1">
        <v>365</v>
      </c>
      <c r="BG24" s="1">
        <v>365</v>
      </c>
      <c r="BH24">
        <f>BF24-BG24</f>
        <v>0</v>
      </c>
      <c r="BI24" s="6"/>
    </row>
    <row r="25" spans="1:61" x14ac:dyDescent="0.2">
      <c r="A25" t="s">
        <v>338</v>
      </c>
      <c r="B25" s="1" t="s">
        <v>232</v>
      </c>
      <c r="C25" s="1">
        <v>2017</v>
      </c>
      <c r="D25" s="1" t="s">
        <v>238</v>
      </c>
      <c r="E25" s="1" t="s">
        <v>502</v>
      </c>
      <c r="F25" s="1" t="s">
        <v>434</v>
      </c>
      <c r="G25" s="1" t="s">
        <v>345</v>
      </c>
      <c r="H25" s="1" t="s">
        <v>96</v>
      </c>
      <c r="I25" s="1" t="s">
        <v>239</v>
      </c>
      <c r="J25" s="1" t="s">
        <v>86</v>
      </c>
      <c r="K25" s="1" t="s">
        <v>371</v>
      </c>
      <c r="L25" s="2" t="s">
        <v>402</v>
      </c>
      <c r="M25" s="2" t="s">
        <v>394</v>
      </c>
      <c r="N25" s="1" t="s">
        <v>233</v>
      </c>
      <c r="O25" s="1" t="s">
        <v>492</v>
      </c>
      <c r="P25" s="1" t="s">
        <v>404</v>
      </c>
      <c r="Q25" s="1" t="s">
        <v>493</v>
      </c>
      <c r="R25" s="1" t="s">
        <v>209</v>
      </c>
      <c r="S25" s="1" t="s">
        <v>54</v>
      </c>
      <c r="T25" s="1" t="s">
        <v>38</v>
      </c>
      <c r="U25" s="1" t="s">
        <v>39</v>
      </c>
      <c r="V25" s="1" t="s">
        <v>234</v>
      </c>
      <c r="W25" s="1" t="s">
        <v>42</v>
      </c>
      <c r="X25" s="1" t="s">
        <v>41</v>
      </c>
      <c r="Y25" s="1" t="s">
        <v>41</v>
      </c>
      <c r="Z25" s="1" t="s">
        <v>41</v>
      </c>
      <c r="AA25" s="1" t="s">
        <v>42</v>
      </c>
      <c r="AB25" s="1" t="s">
        <v>41</v>
      </c>
      <c r="AC25" s="1" t="s">
        <v>42</v>
      </c>
      <c r="AD25" s="1" t="s">
        <v>41</v>
      </c>
      <c r="AE25" s="1" t="s">
        <v>41</v>
      </c>
      <c r="AF25" s="1" t="s">
        <v>41</v>
      </c>
      <c r="AG25" s="1" t="s">
        <v>42</v>
      </c>
      <c r="AH25" s="1" t="s">
        <v>41</v>
      </c>
      <c r="AI25" s="3">
        <v>56.3</v>
      </c>
      <c r="AJ25" s="3">
        <v>76.11</v>
      </c>
      <c r="AK25" s="3"/>
      <c r="AL25" s="3"/>
      <c r="AM25" s="1" t="s">
        <v>240</v>
      </c>
      <c r="AN25" s="1" t="s">
        <v>241</v>
      </c>
      <c r="AO25" s="1" t="s">
        <v>242</v>
      </c>
      <c r="AP25" s="1" t="s">
        <v>93</v>
      </c>
      <c r="AQ25" s="1" t="s">
        <v>89</v>
      </c>
      <c r="AR25" s="1" t="s">
        <v>46</v>
      </c>
      <c r="AS25" s="4">
        <v>9.8800000000000008</v>
      </c>
      <c r="AT25" s="31">
        <v>71</v>
      </c>
      <c r="AU25" s="5">
        <v>71</v>
      </c>
      <c r="AV25" s="4">
        <v>2.33</v>
      </c>
      <c r="AW25" s="15">
        <f>AT25-AZ25</f>
        <v>0</v>
      </c>
      <c r="AX25" s="4">
        <f>AW25/AT25*100</f>
        <v>0</v>
      </c>
      <c r="AY25" s="4">
        <v>12.31</v>
      </c>
      <c r="AZ25" s="5">
        <v>71</v>
      </c>
      <c r="BA25" s="4">
        <v>2.4300000000000002</v>
      </c>
      <c r="BB25" s="4"/>
      <c r="BC25" s="4"/>
      <c r="BD25" s="4"/>
      <c r="BE25" s="1" t="s">
        <v>61</v>
      </c>
      <c r="BF25" s="1">
        <v>180</v>
      </c>
      <c r="BG25" s="1">
        <v>365</v>
      </c>
      <c r="BH25">
        <f>BF25-BG25</f>
        <v>-185</v>
      </c>
      <c r="BI25" s="6"/>
    </row>
    <row r="26" spans="1:61" x14ac:dyDescent="0.2">
      <c r="A26" t="s">
        <v>338</v>
      </c>
      <c r="B26" s="1" t="s">
        <v>232</v>
      </c>
      <c r="C26" s="1">
        <v>2017</v>
      </c>
      <c r="D26" s="1" t="s">
        <v>238</v>
      </c>
      <c r="E26" s="1" t="s">
        <v>502</v>
      </c>
      <c r="F26" s="1" t="s">
        <v>434</v>
      </c>
      <c r="G26" s="1" t="s">
        <v>345</v>
      </c>
      <c r="H26" s="1" t="s">
        <v>96</v>
      </c>
      <c r="I26" s="1" t="s">
        <v>239</v>
      </c>
      <c r="J26" s="1" t="s">
        <v>86</v>
      </c>
      <c r="K26" s="1" t="s">
        <v>371</v>
      </c>
      <c r="L26" s="2" t="s">
        <v>402</v>
      </c>
      <c r="M26" s="2" t="s">
        <v>394</v>
      </c>
      <c r="N26" s="1" t="s">
        <v>233</v>
      </c>
      <c r="O26" s="1" t="s">
        <v>492</v>
      </c>
      <c r="P26" s="1" t="s">
        <v>404</v>
      </c>
      <c r="Q26" s="1" t="s">
        <v>493</v>
      </c>
      <c r="R26" s="1" t="s">
        <v>209</v>
      </c>
      <c r="S26" s="1" t="s">
        <v>54</v>
      </c>
      <c r="T26" s="1" t="s">
        <v>38</v>
      </c>
      <c r="U26" s="1" t="s">
        <v>39</v>
      </c>
      <c r="V26" s="1" t="s">
        <v>234</v>
      </c>
      <c r="W26" s="1" t="s">
        <v>42</v>
      </c>
      <c r="X26" s="1" t="s">
        <v>41</v>
      </c>
      <c r="Y26" s="1" t="s">
        <v>41</v>
      </c>
      <c r="Z26" s="1" t="s">
        <v>41</v>
      </c>
      <c r="AA26" s="1" t="s">
        <v>42</v>
      </c>
      <c r="AB26" s="1" t="s">
        <v>41</v>
      </c>
      <c r="AC26" s="1" t="s">
        <v>42</v>
      </c>
      <c r="AD26" s="1" t="s">
        <v>41</v>
      </c>
      <c r="AE26" s="1" t="s">
        <v>41</v>
      </c>
      <c r="AF26" s="1" t="s">
        <v>41</v>
      </c>
      <c r="AG26" s="1" t="s">
        <v>42</v>
      </c>
      <c r="AH26" s="1" t="s">
        <v>41</v>
      </c>
      <c r="AI26" s="3">
        <v>56.3</v>
      </c>
      <c r="AJ26" s="3">
        <v>76.11</v>
      </c>
      <c r="AK26" s="3"/>
      <c r="AL26" s="3"/>
      <c r="AM26" s="1" t="s">
        <v>240</v>
      </c>
      <c r="AN26" s="1" t="s">
        <v>241</v>
      </c>
      <c r="AO26" s="1" t="s">
        <v>242</v>
      </c>
      <c r="AP26" s="1" t="s">
        <v>316</v>
      </c>
      <c r="AQ26" s="1" t="s">
        <v>317</v>
      </c>
      <c r="AR26" s="1" t="s">
        <v>46</v>
      </c>
      <c r="AS26" s="4">
        <v>14.19</v>
      </c>
      <c r="AT26" s="31">
        <v>71</v>
      </c>
      <c r="AU26" s="5">
        <v>71</v>
      </c>
      <c r="AV26" s="4">
        <v>2.9</v>
      </c>
      <c r="AW26" s="15">
        <f>AT26-AZ26</f>
        <v>0</v>
      </c>
      <c r="AX26" s="4">
        <f>AW26/AT26*100</f>
        <v>0</v>
      </c>
      <c r="AY26" s="4">
        <v>5.87</v>
      </c>
      <c r="AZ26" s="5">
        <v>71</v>
      </c>
      <c r="BA26" s="4">
        <v>2.87</v>
      </c>
      <c r="BB26" s="4"/>
      <c r="BC26" s="4"/>
      <c r="BD26" s="4"/>
      <c r="BE26" s="1" t="s">
        <v>94</v>
      </c>
      <c r="BF26" s="1">
        <v>365</v>
      </c>
      <c r="BG26" s="1">
        <v>365</v>
      </c>
      <c r="BH26">
        <f>BF26-BG26</f>
        <v>0</v>
      </c>
      <c r="BI26" s="6"/>
    </row>
    <row r="27" spans="1:61" x14ac:dyDescent="0.2">
      <c r="A27" t="s">
        <v>338</v>
      </c>
      <c r="B27" s="1" t="s">
        <v>232</v>
      </c>
      <c r="C27" s="1">
        <v>2017</v>
      </c>
      <c r="D27" s="1" t="s">
        <v>238</v>
      </c>
      <c r="E27" s="1" t="s">
        <v>502</v>
      </c>
      <c r="F27" s="1" t="s">
        <v>434</v>
      </c>
      <c r="G27" s="1" t="s">
        <v>345</v>
      </c>
      <c r="H27" s="1" t="s">
        <v>96</v>
      </c>
      <c r="I27" s="1" t="s">
        <v>239</v>
      </c>
      <c r="J27" s="1" t="s">
        <v>86</v>
      </c>
      <c r="K27" s="1" t="s">
        <v>371</v>
      </c>
      <c r="L27" s="2" t="s">
        <v>402</v>
      </c>
      <c r="M27" s="2" t="s">
        <v>394</v>
      </c>
      <c r="N27" s="1" t="s">
        <v>233</v>
      </c>
      <c r="O27" s="1" t="s">
        <v>492</v>
      </c>
      <c r="P27" s="1" t="s">
        <v>404</v>
      </c>
      <c r="Q27" s="1" t="s">
        <v>493</v>
      </c>
      <c r="R27" s="1" t="s">
        <v>209</v>
      </c>
      <c r="S27" s="1" t="s">
        <v>54</v>
      </c>
      <c r="T27" s="1" t="s">
        <v>38</v>
      </c>
      <c r="U27" s="1" t="s">
        <v>39</v>
      </c>
      <c r="V27" s="1" t="s">
        <v>234</v>
      </c>
      <c r="W27" s="1" t="s">
        <v>42</v>
      </c>
      <c r="X27" s="1" t="s">
        <v>41</v>
      </c>
      <c r="Y27" s="1" t="s">
        <v>41</v>
      </c>
      <c r="Z27" s="1" t="s">
        <v>41</v>
      </c>
      <c r="AA27" s="1" t="s">
        <v>42</v>
      </c>
      <c r="AB27" s="1" t="s">
        <v>41</v>
      </c>
      <c r="AC27" s="1" t="s">
        <v>42</v>
      </c>
      <c r="AD27" s="1" t="s">
        <v>41</v>
      </c>
      <c r="AE27" s="1" t="s">
        <v>41</v>
      </c>
      <c r="AF27" s="1" t="s">
        <v>41</v>
      </c>
      <c r="AG27" s="1" t="s">
        <v>42</v>
      </c>
      <c r="AH27" s="1" t="s">
        <v>41</v>
      </c>
      <c r="AI27" s="3">
        <v>56.3</v>
      </c>
      <c r="AJ27" s="3">
        <v>76.11</v>
      </c>
      <c r="AK27" s="3"/>
      <c r="AL27" s="3"/>
      <c r="AM27" s="1" t="s">
        <v>240</v>
      </c>
      <c r="AN27" s="1" t="s">
        <v>241</v>
      </c>
      <c r="AO27" s="1" t="s">
        <v>242</v>
      </c>
      <c r="AP27" s="1" t="s">
        <v>316</v>
      </c>
      <c r="AQ27" s="1" t="s">
        <v>317</v>
      </c>
      <c r="AR27" s="1" t="s">
        <v>46</v>
      </c>
      <c r="AS27" s="4">
        <v>14.19</v>
      </c>
      <c r="AT27" s="31">
        <v>71</v>
      </c>
      <c r="AU27" s="5">
        <v>71</v>
      </c>
      <c r="AV27" s="4">
        <v>2.9</v>
      </c>
      <c r="AW27" s="15">
        <f>AT27-AZ27</f>
        <v>0</v>
      </c>
      <c r="AX27" s="4">
        <f>AW27/AT27*100</f>
        <v>0</v>
      </c>
      <c r="AY27" s="4">
        <v>7.76</v>
      </c>
      <c r="AZ27" s="5">
        <v>71</v>
      </c>
      <c r="BA27" s="4">
        <v>3.53</v>
      </c>
      <c r="BB27" s="4"/>
      <c r="BC27" s="4"/>
      <c r="BD27" s="4"/>
      <c r="BE27" s="1" t="s">
        <v>61</v>
      </c>
      <c r="BF27" s="1">
        <v>180</v>
      </c>
      <c r="BG27" s="1">
        <v>365</v>
      </c>
      <c r="BH27">
        <f>BF27-BG27</f>
        <v>-185</v>
      </c>
      <c r="BI27" s="6"/>
    </row>
    <row r="28" spans="1:61" x14ac:dyDescent="0.2">
      <c r="A28" t="s">
        <v>338</v>
      </c>
      <c r="B28" s="1" t="s">
        <v>232</v>
      </c>
      <c r="C28" s="1">
        <v>2017</v>
      </c>
      <c r="D28" s="1" t="s">
        <v>238</v>
      </c>
      <c r="E28" s="1" t="s">
        <v>502</v>
      </c>
      <c r="F28" s="1" t="s">
        <v>434</v>
      </c>
      <c r="G28" s="1" t="s">
        <v>345</v>
      </c>
      <c r="H28" s="1" t="s">
        <v>96</v>
      </c>
      <c r="I28" s="1" t="s">
        <v>239</v>
      </c>
      <c r="J28" s="1" t="s">
        <v>86</v>
      </c>
      <c r="K28" s="1" t="s">
        <v>371</v>
      </c>
      <c r="L28" s="2" t="s">
        <v>402</v>
      </c>
      <c r="M28" s="2" t="s">
        <v>394</v>
      </c>
      <c r="N28" s="1" t="s">
        <v>233</v>
      </c>
      <c r="O28" s="1" t="s">
        <v>492</v>
      </c>
      <c r="P28" s="1" t="s">
        <v>404</v>
      </c>
      <c r="Q28" s="1" t="s">
        <v>493</v>
      </c>
      <c r="R28" s="1" t="s">
        <v>209</v>
      </c>
      <c r="S28" s="1" t="s">
        <v>54</v>
      </c>
      <c r="T28" s="1" t="s">
        <v>38</v>
      </c>
      <c r="U28" s="1" t="s">
        <v>39</v>
      </c>
      <c r="V28" s="1" t="s">
        <v>234</v>
      </c>
      <c r="W28" s="1" t="s">
        <v>42</v>
      </c>
      <c r="X28" s="1" t="s">
        <v>41</v>
      </c>
      <c r="Y28" s="1" t="s">
        <v>41</v>
      </c>
      <c r="Z28" s="1" t="s">
        <v>41</v>
      </c>
      <c r="AA28" s="1" t="s">
        <v>42</v>
      </c>
      <c r="AB28" s="1" t="s">
        <v>41</v>
      </c>
      <c r="AC28" s="1" t="s">
        <v>42</v>
      </c>
      <c r="AD28" s="1" t="s">
        <v>41</v>
      </c>
      <c r="AE28" s="1" t="s">
        <v>41</v>
      </c>
      <c r="AF28" s="1" t="s">
        <v>41</v>
      </c>
      <c r="AG28" s="1" t="s">
        <v>42</v>
      </c>
      <c r="AH28" s="1" t="s">
        <v>41</v>
      </c>
      <c r="AI28" s="3">
        <v>56.3</v>
      </c>
      <c r="AJ28" s="3">
        <v>76.11</v>
      </c>
      <c r="AK28" s="3"/>
      <c r="AL28" s="3"/>
      <c r="AM28" s="1" t="s">
        <v>240</v>
      </c>
      <c r="AN28" s="1" t="s">
        <v>241</v>
      </c>
      <c r="AO28" s="1" t="s">
        <v>242</v>
      </c>
      <c r="AP28" s="1" t="s">
        <v>252</v>
      </c>
      <c r="AQ28" s="1" t="s">
        <v>435</v>
      </c>
      <c r="AR28" s="1" t="s">
        <v>46</v>
      </c>
      <c r="AS28" s="4">
        <v>38.56</v>
      </c>
      <c r="AT28" s="31">
        <v>71</v>
      </c>
      <c r="AU28" s="5">
        <v>71</v>
      </c>
      <c r="AV28" s="4">
        <v>8.35</v>
      </c>
      <c r="AW28" s="15">
        <f>AT28-AZ28</f>
        <v>0</v>
      </c>
      <c r="AX28" s="4">
        <f>AW28/AT28*100</f>
        <v>0</v>
      </c>
      <c r="AY28" s="4">
        <v>30.85</v>
      </c>
      <c r="AZ28" s="5">
        <v>71</v>
      </c>
      <c r="BA28" s="4">
        <v>11.14</v>
      </c>
      <c r="BB28" s="4"/>
      <c r="BC28" s="4"/>
      <c r="BD28" s="4"/>
      <c r="BE28" s="1" t="s">
        <v>94</v>
      </c>
      <c r="BF28" s="1">
        <v>365</v>
      </c>
      <c r="BG28" s="1">
        <v>365</v>
      </c>
      <c r="BH28">
        <f>BF28-BG28</f>
        <v>0</v>
      </c>
      <c r="BI28" s="6"/>
    </row>
    <row r="29" spans="1:61" x14ac:dyDescent="0.2">
      <c r="A29" t="s">
        <v>338</v>
      </c>
      <c r="B29" s="1" t="s">
        <v>232</v>
      </c>
      <c r="C29" s="1">
        <v>2017</v>
      </c>
      <c r="D29" s="1" t="s">
        <v>238</v>
      </c>
      <c r="E29" s="1" t="s">
        <v>502</v>
      </c>
      <c r="F29" s="1" t="s">
        <v>434</v>
      </c>
      <c r="G29" s="1" t="s">
        <v>345</v>
      </c>
      <c r="H29" s="1" t="s">
        <v>96</v>
      </c>
      <c r="I29" s="1" t="s">
        <v>239</v>
      </c>
      <c r="J29" s="1" t="s">
        <v>86</v>
      </c>
      <c r="K29" s="1" t="s">
        <v>371</v>
      </c>
      <c r="L29" s="2" t="s">
        <v>402</v>
      </c>
      <c r="M29" s="2" t="s">
        <v>394</v>
      </c>
      <c r="N29" s="1" t="s">
        <v>233</v>
      </c>
      <c r="O29" s="1" t="s">
        <v>492</v>
      </c>
      <c r="P29" s="1" t="s">
        <v>404</v>
      </c>
      <c r="Q29" s="1" t="s">
        <v>493</v>
      </c>
      <c r="R29" s="1" t="s">
        <v>209</v>
      </c>
      <c r="S29" s="1" t="s">
        <v>54</v>
      </c>
      <c r="T29" s="1" t="s">
        <v>38</v>
      </c>
      <c r="U29" s="1" t="s">
        <v>39</v>
      </c>
      <c r="V29" s="1" t="s">
        <v>234</v>
      </c>
      <c r="W29" s="1" t="s">
        <v>42</v>
      </c>
      <c r="X29" s="1" t="s">
        <v>41</v>
      </c>
      <c r="Y29" s="1" t="s">
        <v>41</v>
      </c>
      <c r="Z29" s="1" t="s">
        <v>41</v>
      </c>
      <c r="AA29" s="1" t="s">
        <v>42</v>
      </c>
      <c r="AB29" s="1" t="s">
        <v>41</v>
      </c>
      <c r="AC29" s="1" t="s">
        <v>42</v>
      </c>
      <c r="AD29" s="1" t="s">
        <v>41</v>
      </c>
      <c r="AE29" s="1" t="s">
        <v>41</v>
      </c>
      <c r="AF29" s="1" t="s">
        <v>41</v>
      </c>
      <c r="AG29" s="1" t="s">
        <v>42</v>
      </c>
      <c r="AH29" s="1" t="s">
        <v>41</v>
      </c>
      <c r="AI29" s="3">
        <v>56.3</v>
      </c>
      <c r="AJ29" s="3">
        <v>76.11</v>
      </c>
      <c r="AK29" s="3"/>
      <c r="AL29" s="3"/>
      <c r="AM29" s="1" t="s">
        <v>240</v>
      </c>
      <c r="AN29" s="1" t="s">
        <v>241</v>
      </c>
      <c r="AO29" s="1" t="s">
        <v>242</v>
      </c>
      <c r="AP29" s="1" t="s">
        <v>252</v>
      </c>
      <c r="AQ29" s="1" t="s">
        <v>435</v>
      </c>
      <c r="AR29" s="1" t="s">
        <v>46</v>
      </c>
      <c r="AS29" s="4">
        <v>38.56</v>
      </c>
      <c r="AT29" s="31">
        <v>71</v>
      </c>
      <c r="AU29" s="5">
        <v>71</v>
      </c>
      <c r="AV29" s="4">
        <v>8.35</v>
      </c>
      <c r="AW29" s="15">
        <f>AT29-AZ29</f>
        <v>0</v>
      </c>
      <c r="AX29" s="4">
        <f>AW29/AT29*100</f>
        <v>0</v>
      </c>
      <c r="AY29" s="4">
        <v>33.92</v>
      </c>
      <c r="AZ29" s="5">
        <v>71</v>
      </c>
      <c r="BA29" s="4">
        <v>8.0399999999999991</v>
      </c>
      <c r="BB29" s="4"/>
      <c r="BC29" s="4"/>
      <c r="BD29" s="4"/>
      <c r="BE29" s="1" t="s">
        <v>61</v>
      </c>
      <c r="BF29" s="1">
        <v>180</v>
      </c>
      <c r="BG29" s="1">
        <v>365</v>
      </c>
      <c r="BH29">
        <f>BF29-BG29</f>
        <v>-185</v>
      </c>
      <c r="BI29" s="6"/>
    </row>
    <row r="30" spans="1:61" x14ac:dyDescent="0.2">
      <c r="A30" t="s">
        <v>338</v>
      </c>
      <c r="B30" s="1" t="s">
        <v>232</v>
      </c>
      <c r="C30" s="1">
        <v>2017</v>
      </c>
      <c r="D30" s="1" t="s">
        <v>238</v>
      </c>
      <c r="E30" s="1" t="s">
        <v>502</v>
      </c>
      <c r="F30" s="1" t="s">
        <v>434</v>
      </c>
      <c r="G30" s="1" t="s">
        <v>345</v>
      </c>
      <c r="H30" s="1" t="s">
        <v>96</v>
      </c>
      <c r="I30" s="1" t="s">
        <v>239</v>
      </c>
      <c r="J30" s="1" t="s">
        <v>86</v>
      </c>
      <c r="K30" s="1" t="s">
        <v>371</v>
      </c>
      <c r="L30" s="2" t="s">
        <v>402</v>
      </c>
      <c r="M30" s="2" t="s">
        <v>394</v>
      </c>
      <c r="N30" s="1" t="s">
        <v>233</v>
      </c>
      <c r="O30" s="1" t="s">
        <v>492</v>
      </c>
      <c r="P30" s="1" t="s">
        <v>404</v>
      </c>
      <c r="Q30" s="1" t="s">
        <v>493</v>
      </c>
      <c r="R30" s="1" t="s">
        <v>209</v>
      </c>
      <c r="S30" s="1" t="s">
        <v>54</v>
      </c>
      <c r="T30" s="1" t="s">
        <v>38</v>
      </c>
      <c r="U30" s="1" t="s">
        <v>39</v>
      </c>
      <c r="V30" s="1" t="s">
        <v>234</v>
      </c>
      <c r="W30" s="1" t="s">
        <v>42</v>
      </c>
      <c r="X30" s="1" t="s">
        <v>41</v>
      </c>
      <c r="Y30" s="1" t="s">
        <v>41</v>
      </c>
      <c r="Z30" s="1" t="s">
        <v>41</v>
      </c>
      <c r="AA30" s="1" t="s">
        <v>42</v>
      </c>
      <c r="AB30" s="1" t="s">
        <v>41</v>
      </c>
      <c r="AC30" s="1" t="s">
        <v>42</v>
      </c>
      <c r="AD30" s="1" t="s">
        <v>41</v>
      </c>
      <c r="AE30" s="1" t="s">
        <v>41</v>
      </c>
      <c r="AF30" s="1" t="s">
        <v>41</v>
      </c>
      <c r="AG30" s="1" t="s">
        <v>42</v>
      </c>
      <c r="AH30" s="1" t="s">
        <v>41</v>
      </c>
      <c r="AI30" s="3">
        <v>56.3</v>
      </c>
      <c r="AJ30" s="3">
        <v>76.11</v>
      </c>
      <c r="AK30" s="3"/>
      <c r="AL30" s="3"/>
      <c r="AM30" s="1" t="s">
        <v>240</v>
      </c>
      <c r="AN30" s="1" t="s">
        <v>241</v>
      </c>
      <c r="AO30" s="1" t="s">
        <v>242</v>
      </c>
      <c r="AP30" s="1" t="s">
        <v>82</v>
      </c>
      <c r="AQ30" s="1" t="s">
        <v>476</v>
      </c>
      <c r="AR30" s="1" t="s">
        <v>46</v>
      </c>
      <c r="AS30" s="4">
        <v>33.17</v>
      </c>
      <c r="AT30" s="31">
        <v>71</v>
      </c>
      <c r="AU30" s="5">
        <v>71</v>
      </c>
      <c r="AV30" s="4">
        <v>8.85</v>
      </c>
      <c r="AW30" s="15">
        <f>AT30-AZ30</f>
        <v>0</v>
      </c>
      <c r="AX30" s="4">
        <f>AW30/AT30*100</f>
        <v>0</v>
      </c>
      <c r="AY30" s="4">
        <v>39.130000000000003</v>
      </c>
      <c r="AZ30" s="5">
        <v>71</v>
      </c>
      <c r="BA30" s="4">
        <v>8.08</v>
      </c>
      <c r="BB30" s="4"/>
      <c r="BC30" s="4"/>
      <c r="BD30" s="4"/>
      <c r="BE30" s="1" t="s">
        <v>94</v>
      </c>
      <c r="BF30" s="1">
        <v>365</v>
      </c>
      <c r="BG30" s="1">
        <v>365</v>
      </c>
      <c r="BH30">
        <f>BF30-BG30</f>
        <v>0</v>
      </c>
      <c r="BI30" s="6"/>
    </row>
    <row r="31" spans="1:61" x14ac:dyDescent="0.2">
      <c r="A31" t="s">
        <v>338</v>
      </c>
      <c r="B31" s="1" t="s">
        <v>232</v>
      </c>
      <c r="C31" s="1">
        <v>2017</v>
      </c>
      <c r="D31" s="1" t="s">
        <v>238</v>
      </c>
      <c r="E31" s="1" t="s">
        <v>502</v>
      </c>
      <c r="F31" s="1" t="s">
        <v>434</v>
      </c>
      <c r="G31" s="1" t="s">
        <v>345</v>
      </c>
      <c r="H31" s="1" t="s">
        <v>96</v>
      </c>
      <c r="I31" s="1" t="s">
        <v>239</v>
      </c>
      <c r="J31" s="1" t="s">
        <v>86</v>
      </c>
      <c r="K31" s="1" t="s">
        <v>371</v>
      </c>
      <c r="L31" s="2" t="s">
        <v>402</v>
      </c>
      <c r="M31" s="2" t="s">
        <v>394</v>
      </c>
      <c r="N31" s="1" t="s">
        <v>233</v>
      </c>
      <c r="O31" s="1" t="s">
        <v>492</v>
      </c>
      <c r="P31" s="1" t="s">
        <v>404</v>
      </c>
      <c r="Q31" s="1" t="s">
        <v>493</v>
      </c>
      <c r="R31" s="1" t="s">
        <v>209</v>
      </c>
      <c r="S31" s="1" t="s">
        <v>54</v>
      </c>
      <c r="T31" s="1" t="s">
        <v>38</v>
      </c>
      <c r="U31" s="1" t="s">
        <v>39</v>
      </c>
      <c r="V31" s="1" t="s">
        <v>234</v>
      </c>
      <c r="W31" s="1" t="s">
        <v>42</v>
      </c>
      <c r="X31" s="1" t="s">
        <v>41</v>
      </c>
      <c r="Y31" s="1" t="s">
        <v>41</v>
      </c>
      <c r="Z31" s="1" t="s">
        <v>41</v>
      </c>
      <c r="AA31" s="1" t="s">
        <v>42</v>
      </c>
      <c r="AB31" s="1" t="s">
        <v>41</v>
      </c>
      <c r="AC31" s="1" t="s">
        <v>42</v>
      </c>
      <c r="AD31" s="1" t="s">
        <v>41</v>
      </c>
      <c r="AE31" s="1" t="s">
        <v>41</v>
      </c>
      <c r="AF31" s="1" t="s">
        <v>41</v>
      </c>
      <c r="AG31" s="1" t="s">
        <v>42</v>
      </c>
      <c r="AH31" s="1" t="s">
        <v>41</v>
      </c>
      <c r="AI31" s="3">
        <v>56.3</v>
      </c>
      <c r="AJ31" s="3">
        <v>76.11</v>
      </c>
      <c r="AK31" s="3"/>
      <c r="AL31" s="3"/>
      <c r="AM31" s="1" t="s">
        <v>240</v>
      </c>
      <c r="AN31" s="1" t="s">
        <v>241</v>
      </c>
      <c r="AO31" s="1" t="s">
        <v>242</v>
      </c>
      <c r="AP31" s="1" t="s">
        <v>82</v>
      </c>
      <c r="AQ31" s="1" t="s">
        <v>476</v>
      </c>
      <c r="AR31" s="1" t="s">
        <v>46</v>
      </c>
      <c r="AS31" s="4">
        <v>33.17</v>
      </c>
      <c r="AT31" s="31">
        <v>71</v>
      </c>
      <c r="AU31" s="5">
        <v>71</v>
      </c>
      <c r="AV31" s="4">
        <v>8.85</v>
      </c>
      <c r="AW31" s="15">
        <f>AT31-AZ31</f>
        <v>0</v>
      </c>
      <c r="AX31" s="4">
        <f>AW31/AT31*100</f>
        <v>0</v>
      </c>
      <c r="AY31" s="4">
        <v>35.39</v>
      </c>
      <c r="AZ31" s="5">
        <v>71</v>
      </c>
      <c r="BA31" s="4">
        <v>7.9</v>
      </c>
      <c r="BB31" s="4"/>
      <c r="BC31" s="4"/>
      <c r="BD31" s="4"/>
      <c r="BE31" s="1" t="s">
        <v>61</v>
      </c>
      <c r="BF31" s="1">
        <v>180</v>
      </c>
      <c r="BG31" s="1">
        <v>365</v>
      </c>
      <c r="BH31">
        <f>BF31-BG31</f>
        <v>-185</v>
      </c>
      <c r="BI31" s="6"/>
    </row>
    <row r="32" spans="1:61" x14ac:dyDescent="0.2">
      <c r="A32" t="s">
        <v>338</v>
      </c>
      <c r="B32" s="1" t="s">
        <v>232</v>
      </c>
      <c r="C32" s="1">
        <v>2017</v>
      </c>
      <c r="D32" s="1" t="s">
        <v>238</v>
      </c>
      <c r="E32" s="1" t="s">
        <v>502</v>
      </c>
      <c r="F32" s="1" t="s">
        <v>434</v>
      </c>
      <c r="G32" s="1" t="s">
        <v>345</v>
      </c>
      <c r="H32" s="1" t="s">
        <v>96</v>
      </c>
      <c r="I32" s="1" t="s">
        <v>239</v>
      </c>
      <c r="J32" s="1" t="s">
        <v>86</v>
      </c>
      <c r="K32" s="1" t="s">
        <v>371</v>
      </c>
      <c r="L32" s="2" t="s">
        <v>402</v>
      </c>
      <c r="M32" s="2" t="s">
        <v>394</v>
      </c>
      <c r="N32" s="1" t="s">
        <v>233</v>
      </c>
      <c r="O32" s="1" t="s">
        <v>492</v>
      </c>
      <c r="P32" s="1" t="s">
        <v>404</v>
      </c>
      <c r="Q32" s="1" t="s">
        <v>493</v>
      </c>
      <c r="R32" s="1" t="s">
        <v>209</v>
      </c>
      <c r="S32" s="1" t="s">
        <v>54</v>
      </c>
      <c r="T32" s="1" t="s">
        <v>38</v>
      </c>
      <c r="U32" s="1" t="s">
        <v>39</v>
      </c>
      <c r="V32" s="1" t="s">
        <v>234</v>
      </c>
      <c r="W32" s="1" t="s">
        <v>42</v>
      </c>
      <c r="X32" s="1" t="s">
        <v>41</v>
      </c>
      <c r="Y32" s="1" t="s">
        <v>41</v>
      </c>
      <c r="Z32" s="1" t="s">
        <v>41</v>
      </c>
      <c r="AA32" s="1" t="s">
        <v>42</v>
      </c>
      <c r="AB32" s="1" t="s">
        <v>41</v>
      </c>
      <c r="AC32" s="1" t="s">
        <v>42</v>
      </c>
      <c r="AD32" s="1" t="s">
        <v>41</v>
      </c>
      <c r="AE32" s="1" t="s">
        <v>41</v>
      </c>
      <c r="AF32" s="1" t="s">
        <v>41</v>
      </c>
      <c r="AG32" s="1" t="s">
        <v>42</v>
      </c>
      <c r="AH32" s="1" t="s">
        <v>41</v>
      </c>
      <c r="AI32" s="3">
        <v>56.3</v>
      </c>
      <c r="AJ32" s="3">
        <v>76.11</v>
      </c>
      <c r="AK32" s="3"/>
      <c r="AL32" s="3"/>
      <c r="AM32" s="1" t="s">
        <v>240</v>
      </c>
      <c r="AN32" s="1" t="s">
        <v>241</v>
      </c>
      <c r="AO32" s="1" t="s">
        <v>242</v>
      </c>
      <c r="AP32" s="1" t="s">
        <v>82</v>
      </c>
      <c r="AQ32" s="1" t="s">
        <v>494</v>
      </c>
      <c r="AR32" s="1" t="s">
        <v>46</v>
      </c>
      <c r="AS32" s="4">
        <v>206.73</v>
      </c>
      <c r="AT32" s="31">
        <v>71</v>
      </c>
      <c r="AU32" s="5">
        <v>71</v>
      </c>
      <c r="AV32" s="4">
        <v>34.75</v>
      </c>
      <c r="AW32" s="15">
        <f>AT32-AZ32</f>
        <v>0</v>
      </c>
      <c r="AX32" s="4">
        <f>AW32/AT32*100</f>
        <v>0</v>
      </c>
      <c r="AY32" s="4">
        <v>236.87</v>
      </c>
      <c r="AZ32" s="5">
        <v>71</v>
      </c>
      <c r="BA32" s="4">
        <v>42.99</v>
      </c>
      <c r="BB32" s="4"/>
      <c r="BC32" s="4"/>
      <c r="BD32" s="4"/>
      <c r="BE32" s="1" t="s">
        <v>94</v>
      </c>
      <c r="BF32" s="1">
        <v>365</v>
      </c>
      <c r="BG32" s="1">
        <v>365</v>
      </c>
      <c r="BH32">
        <f>BF32-BG32</f>
        <v>0</v>
      </c>
      <c r="BI32" s="6"/>
    </row>
    <row r="33" spans="1:61" x14ac:dyDescent="0.2">
      <c r="A33" t="s">
        <v>338</v>
      </c>
      <c r="B33" s="1" t="s">
        <v>232</v>
      </c>
      <c r="C33" s="1">
        <v>2017</v>
      </c>
      <c r="D33" s="1" t="s">
        <v>238</v>
      </c>
      <c r="E33" s="1" t="s">
        <v>502</v>
      </c>
      <c r="F33" s="1" t="s">
        <v>434</v>
      </c>
      <c r="G33" s="1" t="s">
        <v>345</v>
      </c>
      <c r="H33" s="1" t="s">
        <v>96</v>
      </c>
      <c r="I33" s="1" t="s">
        <v>239</v>
      </c>
      <c r="J33" s="1" t="s">
        <v>86</v>
      </c>
      <c r="K33" s="1" t="s">
        <v>371</v>
      </c>
      <c r="L33" s="2" t="s">
        <v>402</v>
      </c>
      <c r="M33" s="2" t="s">
        <v>394</v>
      </c>
      <c r="N33" s="1" t="s">
        <v>233</v>
      </c>
      <c r="O33" s="1" t="s">
        <v>492</v>
      </c>
      <c r="P33" s="1" t="s">
        <v>404</v>
      </c>
      <c r="Q33" s="1" t="s">
        <v>493</v>
      </c>
      <c r="R33" s="1" t="s">
        <v>209</v>
      </c>
      <c r="S33" s="1" t="s">
        <v>54</v>
      </c>
      <c r="T33" s="1" t="s">
        <v>38</v>
      </c>
      <c r="U33" s="1" t="s">
        <v>39</v>
      </c>
      <c r="V33" s="1" t="s">
        <v>234</v>
      </c>
      <c r="W33" s="1" t="s">
        <v>42</v>
      </c>
      <c r="X33" s="1" t="s">
        <v>41</v>
      </c>
      <c r="Y33" s="1" t="s">
        <v>41</v>
      </c>
      <c r="Z33" s="1" t="s">
        <v>41</v>
      </c>
      <c r="AA33" s="1" t="s">
        <v>42</v>
      </c>
      <c r="AB33" s="1" t="s">
        <v>41</v>
      </c>
      <c r="AC33" s="1" t="s">
        <v>42</v>
      </c>
      <c r="AD33" s="1" t="s">
        <v>41</v>
      </c>
      <c r="AE33" s="1" t="s">
        <v>41</v>
      </c>
      <c r="AF33" s="1" t="s">
        <v>41</v>
      </c>
      <c r="AG33" s="1" t="s">
        <v>42</v>
      </c>
      <c r="AH33" s="1" t="s">
        <v>41</v>
      </c>
      <c r="AI33" s="3">
        <v>56.3</v>
      </c>
      <c r="AJ33" s="3">
        <v>76.11</v>
      </c>
      <c r="AK33" s="3"/>
      <c r="AL33" s="3"/>
      <c r="AM33" s="1" t="s">
        <v>240</v>
      </c>
      <c r="AN33" s="1" t="s">
        <v>241</v>
      </c>
      <c r="AO33" s="1" t="s">
        <v>242</v>
      </c>
      <c r="AP33" s="1" t="s">
        <v>82</v>
      </c>
      <c r="AQ33" s="1" t="s">
        <v>494</v>
      </c>
      <c r="AR33" s="1" t="s">
        <v>46</v>
      </c>
      <c r="AS33" s="4">
        <v>206.73</v>
      </c>
      <c r="AT33" s="31">
        <v>71</v>
      </c>
      <c r="AU33" s="5">
        <v>71</v>
      </c>
      <c r="AV33" s="4">
        <v>34.75</v>
      </c>
      <c r="AW33" s="15">
        <f>AT33-AZ33</f>
        <v>0</v>
      </c>
      <c r="AX33" s="4">
        <f>AW33/AT33*100</f>
        <v>0</v>
      </c>
      <c r="AY33" s="4">
        <v>216.61</v>
      </c>
      <c r="AZ33" s="5">
        <v>71</v>
      </c>
      <c r="BA33" s="4">
        <v>36.1</v>
      </c>
      <c r="BB33" s="4"/>
      <c r="BC33" s="4"/>
      <c r="BD33" s="4"/>
      <c r="BE33" s="1" t="s">
        <v>61</v>
      </c>
      <c r="BF33" s="1">
        <v>180</v>
      </c>
      <c r="BG33" s="1">
        <v>365</v>
      </c>
      <c r="BH33">
        <f>BF33-BG33</f>
        <v>-185</v>
      </c>
      <c r="BI33" s="6"/>
    </row>
    <row r="34" spans="1:61" x14ac:dyDescent="0.2">
      <c r="A34" t="s">
        <v>338</v>
      </c>
      <c r="B34" s="1" t="s">
        <v>84</v>
      </c>
      <c r="C34" s="1">
        <v>2012</v>
      </c>
      <c r="D34" s="1" t="s">
        <v>95</v>
      </c>
      <c r="E34" s="1" t="s">
        <v>502</v>
      </c>
      <c r="F34" s="1" t="s">
        <v>434</v>
      </c>
      <c r="G34" s="1" t="s">
        <v>434</v>
      </c>
      <c r="H34" s="1" t="s">
        <v>96</v>
      </c>
      <c r="I34" s="1" t="s">
        <v>97</v>
      </c>
      <c r="J34" s="1" t="s">
        <v>86</v>
      </c>
      <c r="K34" s="1" t="s">
        <v>371</v>
      </c>
      <c r="L34" s="1"/>
      <c r="M34" s="1"/>
      <c r="N34" s="1" t="s">
        <v>87</v>
      </c>
      <c r="O34" s="1" t="s">
        <v>432</v>
      </c>
      <c r="P34" s="1" t="s">
        <v>404</v>
      </c>
      <c r="Q34" s="1" t="s">
        <v>431</v>
      </c>
      <c r="R34" s="1" t="s">
        <v>373</v>
      </c>
      <c r="S34" s="1" t="s">
        <v>37</v>
      </c>
      <c r="T34" s="1" t="s">
        <v>38</v>
      </c>
      <c r="U34" s="1" t="s">
        <v>55</v>
      </c>
      <c r="V34" s="1" t="s">
        <v>88</v>
      </c>
      <c r="W34" s="1" t="s">
        <v>42</v>
      </c>
      <c r="X34" s="1" t="s">
        <v>42</v>
      </c>
      <c r="Y34" s="1" t="s">
        <v>56</v>
      </c>
      <c r="Z34" s="1" t="s">
        <v>42</v>
      </c>
      <c r="AA34" s="1" t="s">
        <v>42</v>
      </c>
      <c r="AB34" s="1" t="s">
        <v>42</v>
      </c>
      <c r="AC34" s="1" t="s">
        <v>42</v>
      </c>
      <c r="AD34" s="1" t="s">
        <v>42</v>
      </c>
      <c r="AE34" s="1" t="s">
        <v>56</v>
      </c>
      <c r="AF34" s="1" t="s">
        <v>42</v>
      </c>
      <c r="AG34" s="1" t="s">
        <v>42</v>
      </c>
      <c r="AH34" s="1" t="s">
        <v>42</v>
      </c>
      <c r="AI34" s="12">
        <v>58.33</v>
      </c>
      <c r="AJ34" s="3">
        <v>71.94</v>
      </c>
      <c r="AK34" s="3"/>
      <c r="AL34" s="3"/>
      <c r="AM34" s="1" t="s">
        <v>98</v>
      </c>
      <c r="AN34" s="1" t="s">
        <v>99</v>
      </c>
      <c r="AO34" s="1" t="s">
        <v>100</v>
      </c>
      <c r="AP34" s="1" t="s">
        <v>93</v>
      </c>
      <c r="AQ34" s="1" t="s">
        <v>89</v>
      </c>
      <c r="AR34" s="1" t="s">
        <v>46</v>
      </c>
      <c r="AS34" s="4">
        <v>18.309999999999899</v>
      </c>
      <c r="AT34" s="31">
        <v>48</v>
      </c>
      <c r="AU34" s="5">
        <v>48</v>
      </c>
      <c r="AV34" s="4">
        <v>3.63</v>
      </c>
      <c r="AW34" s="15">
        <f>AT34-AZ34</f>
        <v>2</v>
      </c>
      <c r="AX34" s="4">
        <f>AW34/AT34*100</f>
        <v>4.1666666666666661</v>
      </c>
      <c r="AY34" s="4">
        <v>22.08</v>
      </c>
      <c r="AZ34" s="5">
        <v>46</v>
      </c>
      <c r="BA34" s="4">
        <v>4.17</v>
      </c>
      <c r="BB34" s="4"/>
      <c r="BC34" s="4"/>
      <c r="BD34" s="4"/>
      <c r="BE34" s="1" t="s">
        <v>94</v>
      </c>
      <c r="BF34" s="1">
        <v>365</v>
      </c>
      <c r="BG34" s="1">
        <v>365</v>
      </c>
      <c r="BH34">
        <f>BF34-BG34</f>
        <v>0</v>
      </c>
      <c r="BI34" s="6"/>
    </row>
    <row r="35" spans="1:61" x14ac:dyDescent="0.2">
      <c r="A35" t="s">
        <v>338</v>
      </c>
      <c r="B35" s="1" t="s">
        <v>84</v>
      </c>
      <c r="C35" s="1">
        <v>2012</v>
      </c>
      <c r="D35" s="1" t="s">
        <v>95</v>
      </c>
      <c r="E35" s="1" t="s">
        <v>502</v>
      </c>
      <c r="F35" s="1" t="s">
        <v>434</v>
      </c>
      <c r="G35" s="1" t="s">
        <v>434</v>
      </c>
      <c r="H35" s="1" t="s">
        <v>96</v>
      </c>
      <c r="I35" s="1" t="s">
        <v>97</v>
      </c>
      <c r="J35" s="1" t="s">
        <v>86</v>
      </c>
      <c r="K35" s="1" t="s">
        <v>371</v>
      </c>
      <c r="L35" s="1"/>
      <c r="M35" s="1"/>
      <c r="N35" s="1" t="s">
        <v>87</v>
      </c>
      <c r="O35" s="1" t="s">
        <v>432</v>
      </c>
      <c r="P35" s="1" t="s">
        <v>404</v>
      </c>
      <c r="Q35" s="1" t="s">
        <v>431</v>
      </c>
      <c r="R35" s="1" t="s">
        <v>373</v>
      </c>
      <c r="S35" s="1" t="s">
        <v>37</v>
      </c>
      <c r="T35" s="1" t="s">
        <v>38</v>
      </c>
      <c r="U35" s="1" t="s">
        <v>55</v>
      </c>
      <c r="V35" s="1" t="s">
        <v>88</v>
      </c>
      <c r="W35" s="1" t="s">
        <v>42</v>
      </c>
      <c r="X35" s="1" t="s">
        <v>42</v>
      </c>
      <c r="Y35" s="1" t="s">
        <v>56</v>
      </c>
      <c r="Z35" s="1" t="s">
        <v>42</v>
      </c>
      <c r="AA35" s="1" t="s">
        <v>42</v>
      </c>
      <c r="AB35" s="1" t="s">
        <v>42</v>
      </c>
      <c r="AC35" s="1" t="s">
        <v>42</v>
      </c>
      <c r="AD35" s="1" t="s">
        <v>42</v>
      </c>
      <c r="AE35" s="1" t="s">
        <v>56</v>
      </c>
      <c r="AF35" s="1" t="s">
        <v>42</v>
      </c>
      <c r="AG35" s="1" t="s">
        <v>42</v>
      </c>
      <c r="AH35" s="1" t="s">
        <v>42</v>
      </c>
      <c r="AI35" s="12">
        <v>58.33</v>
      </c>
      <c r="AJ35" s="3">
        <v>71.94</v>
      </c>
      <c r="AK35" s="3"/>
      <c r="AL35" s="3"/>
      <c r="AM35" s="1" t="s">
        <v>98</v>
      </c>
      <c r="AN35" s="1" t="s">
        <v>99</v>
      </c>
      <c r="AO35" s="1" t="s">
        <v>100</v>
      </c>
      <c r="AP35" s="1" t="s">
        <v>93</v>
      </c>
      <c r="AQ35" s="1" t="s">
        <v>433</v>
      </c>
      <c r="AR35" s="1" t="s">
        <v>46</v>
      </c>
      <c r="AS35" s="4">
        <v>29.38</v>
      </c>
      <c r="AT35" s="31">
        <v>48</v>
      </c>
      <c r="AU35" s="5">
        <v>48</v>
      </c>
      <c r="AV35" s="4">
        <v>7.23</v>
      </c>
      <c r="AW35" s="15">
        <f>AT35-AZ35</f>
        <v>2</v>
      </c>
      <c r="AX35" s="4">
        <f>AW35/AT35*100</f>
        <v>4.1666666666666661</v>
      </c>
      <c r="AY35" s="4">
        <v>23.02</v>
      </c>
      <c r="AZ35" s="5">
        <v>46</v>
      </c>
      <c r="BA35" s="4">
        <v>6.15</v>
      </c>
      <c r="BB35" s="4"/>
      <c r="BC35" s="4"/>
      <c r="BD35" s="4"/>
      <c r="BE35" s="1" t="s">
        <v>94</v>
      </c>
      <c r="BF35" s="1">
        <v>365</v>
      </c>
      <c r="BG35" s="1">
        <v>365</v>
      </c>
      <c r="BH35">
        <f>BF35-BG35</f>
        <v>0</v>
      </c>
      <c r="BI35" s="6"/>
    </row>
    <row r="36" spans="1:61" x14ac:dyDescent="0.2">
      <c r="A36" t="s">
        <v>338</v>
      </c>
      <c r="B36" s="1" t="s">
        <v>84</v>
      </c>
      <c r="C36" s="1">
        <v>2012</v>
      </c>
      <c r="D36" s="1" t="s">
        <v>95</v>
      </c>
      <c r="E36" s="1" t="s">
        <v>502</v>
      </c>
      <c r="F36" s="1" t="s">
        <v>434</v>
      </c>
      <c r="G36" s="1" t="s">
        <v>434</v>
      </c>
      <c r="H36" s="1" t="s">
        <v>96</v>
      </c>
      <c r="I36" s="1" t="s">
        <v>97</v>
      </c>
      <c r="J36" s="1" t="s">
        <v>86</v>
      </c>
      <c r="K36" s="1" t="s">
        <v>371</v>
      </c>
      <c r="L36" s="1"/>
      <c r="M36" s="1"/>
      <c r="N36" s="1" t="s">
        <v>87</v>
      </c>
      <c r="O36" s="1" t="s">
        <v>432</v>
      </c>
      <c r="P36" s="1" t="s">
        <v>404</v>
      </c>
      <c r="Q36" s="1" t="s">
        <v>431</v>
      </c>
      <c r="R36" s="1" t="s">
        <v>373</v>
      </c>
      <c r="S36" s="1" t="s">
        <v>37</v>
      </c>
      <c r="T36" s="1" t="s">
        <v>38</v>
      </c>
      <c r="U36" s="1" t="s">
        <v>55</v>
      </c>
      <c r="V36" s="1" t="s">
        <v>88</v>
      </c>
      <c r="W36" s="1" t="s">
        <v>42</v>
      </c>
      <c r="X36" s="1" t="s">
        <v>42</v>
      </c>
      <c r="Y36" s="1" t="s">
        <v>56</v>
      </c>
      <c r="Z36" s="1" t="s">
        <v>42</v>
      </c>
      <c r="AA36" s="1" t="s">
        <v>42</v>
      </c>
      <c r="AB36" s="1" t="s">
        <v>42</v>
      </c>
      <c r="AC36" s="1" t="s">
        <v>42</v>
      </c>
      <c r="AD36" s="1" t="s">
        <v>42</v>
      </c>
      <c r="AE36" s="1" t="s">
        <v>56</v>
      </c>
      <c r="AF36" s="1" t="s">
        <v>42</v>
      </c>
      <c r="AG36" s="1" t="s">
        <v>42</v>
      </c>
      <c r="AH36" s="1" t="s">
        <v>42</v>
      </c>
      <c r="AI36" s="12">
        <v>58.33</v>
      </c>
      <c r="AJ36" s="3">
        <v>71.94</v>
      </c>
      <c r="AK36" s="3"/>
      <c r="AL36" s="3"/>
      <c r="AM36" s="1" t="s">
        <v>98</v>
      </c>
      <c r="AN36" s="1" t="s">
        <v>99</v>
      </c>
      <c r="AO36" s="1" t="s">
        <v>100</v>
      </c>
      <c r="AP36" s="1" t="s">
        <v>252</v>
      </c>
      <c r="AQ36" s="1" t="s">
        <v>435</v>
      </c>
      <c r="AR36" s="1" t="s">
        <v>46</v>
      </c>
      <c r="AS36" s="4">
        <v>35.46</v>
      </c>
      <c r="AT36" s="31">
        <v>48</v>
      </c>
      <c r="AU36" s="5">
        <v>48</v>
      </c>
      <c r="AV36" s="4">
        <v>7.46</v>
      </c>
      <c r="AW36" s="15">
        <f>AT36-AZ36</f>
        <v>2</v>
      </c>
      <c r="AX36" s="4">
        <f>AW36/AT36*100</f>
        <v>4.1666666666666661</v>
      </c>
      <c r="AY36" s="4">
        <v>28.65</v>
      </c>
      <c r="AZ36" s="5">
        <v>46</v>
      </c>
      <c r="BA36" s="4">
        <v>7.2</v>
      </c>
      <c r="BB36" s="4"/>
      <c r="BC36" s="4"/>
      <c r="BD36" s="4"/>
      <c r="BE36" s="1" t="s">
        <v>94</v>
      </c>
      <c r="BF36" s="1">
        <v>365</v>
      </c>
      <c r="BG36" s="1">
        <v>365</v>
      </c>
      <c r="BH36">
        <f>BF36-BG36</f>
        <v>0</v>
      </c>
      <c r="BI36" s="6"/>
    </row>
    <row r="37" spans="1:61" x14ac:dyDescent="0.2">
      <c r="A37" t="s">
        <v>338</v>
      </c>
      <c r="B37" s="1" t="s">
        <v>84</v>
      </c>
      <c r="C37" s="1">
        <v>2012</v>
      </c>
      <c r="D37" s="1" t="s">
        <v>95</v>
      </c>
      <c r="E37" s="1" t="s">
        <v>502</v>
      </c>
      <c r="F37" s="1" t="s">
        <v>434</v>
      </c>
      <c r="G37" s="1" t="s">
        <v>434</v>
      </c>
      <c r="H37" s="1" t="s">
        <v>96</v>
      </c>
      <c r="I37" s="1" t="s">
        <v>97</v>
      </c>
      <c r="J37" s="1" t="s">
        <v>86</v>
      </c>
      <c r="K37" s="1" t="s">
        <v>371</v>
      </c>
      <c r="L37" s="1"/>
      <c r="M37" s="1"/>
      <c r="N37" s="1" t="s">
        <v>87</v>
      </c>
      <c r="O37" s="1" t="s">
        <v>432</v>
      </c>
      <c r="P37" s="1" t="s">
        <v>404</v>
      </c>
      <c r="Q37" s="1" t="s">
        <v>431</v>
      </c>
      <c r="R37" s="1" t="s">
        <v>373</v>
      </c>
      <c r="S37" s="1" t="s">
        <v>37</v>
      </c>
      <c r="T37" s="1" t="s">
        <v>38</v>
      </c>
      <c r="U37" s="1" t="s">
        <v>55</v>
      </c>
      <c r="V37" s="1" t="s">
        <v>88</v>
      </c>
      <c r="W37" s="1" t="s">
        <v>42</v>
      </c>
      <c r="X37" s="1" t="s">
        <v>42</v>
      </c>
      <c r="Y37" s="1" t="s">
        <v>56</v>
      </c>
      <c r="Z37" s="1" t="s">
        <v>42</v>
      </c>
      <c r="AA37" s="1" t="s">
        <v>42</v>
      </c>
      <c r="AB37" s="1" t="s">
        <v>42</v>
      </c>
      <c r="AC37" s="1" t="s">
        <v>42</v>
      </c>
      <c r="AD37" s="1" t="s">
        <v>42</v>
      </c>
      <c r="AE37" s="1" t="s">
        <v>56</v>
      </c>
      <c r="AF37" s="1" t="s">
        <v>42</v>
      </c>
      <c r="AG37" s="1" t="s">
        <v>42</v>
      </c>
      <c r="AH37" s="1" t="s">
        <v>42</v>
      </c>
      <c r="AI37" s="12">
        <v>58.33</v>
      </c>
      <c r="AJ37" s="3">
        <v>71.94</v>
      </c>
      <c r="AK37" s="3"/>
      <c r="AL37" s="3"/>
      <c r="AM37" s="1" t="s">
        <v>98</v>
      </c>
      <c r="AN37" s="1" t="s">
        <v>99</v>
      </c>
      <c r="AO37" s="1" t="s">
        <v>100</v>
      </c>
      <c r="AP37" s="1" t="s">
        <v>316</v>
      </c>
      <c r="AQ37" s="1" t="s">
        <v>436</v>
      </c>
      <c r="AR37" s="1" t="s">
        <v>46</v>
      </c>
      <c r="AS37" s="4">
        <v>13.9</v>
      </c>
      <c r="AT37" s="31">
        <v>48</v>
      </c>
      <c r="AU37" s="5">
        <v>48</v>
      </c>
      <c r="AV37" s="4">
        <v>4.04</v>
      </c>
      <c r="AW37" s="15">
        <f>AT37-AZ37</f>
        <v>2</v>
      </c>
      <c r="AX37" s="4">
        <f>AW37/AT37*100</f>
        <v>4.1666666666666661</v>
      </c>
      <c r="AY37" s="4">
        <v>9.31</v>
      </c>
      <c r="AZ37" s="5">
        <v>46</v>
      </c>
      <c r="BA37" s="4">
        <v>3.67</v>
      </c>
      <c r="BB37" s="4"/>
      <c r="BC37" s="4"/>
      <c r="BD37" s="4"/>
      <c r="BE37" s="1" t="s">
        <v>94</v>
      </c>
      <c r="BF37" s="1">
        <v>365</v>
      </c>
      <c r="BG37" s="1">
        <v>365</v>
      </c>
      <c r="BH37">
        <f>BF37-BG37</f>
        <v>0</v>
      </c>
      <c r="BI37" s="6"/>
    </row>
    <row r="38" spans="1:61" x14ac:dyDescent="0.2">
      <c r="A38" t="s">
        <v>338</v>
      </c>
      <c r="B38" s="1" t="s">
        <v>84</v>
      </c>
      <c r="C38" s="1">
        <v>2012</v>
      </c>
      <c r="D38" s="1" t="s">
        <v>95</v>
      </c>
      <c r="E38" s="1" t="s">
        <v>502</v>
      </c>
      <c r="F38" s="1" t="s">
        <v>434</v>
      </c>
      <c r="G38" s="1" t="s">
        <v>434</v>
      </c>
      <c r="H38" s="1" t="s">
        <v>96</v>
      </c>
      <c r="I38" s="1" t="s">
        <v>97</v>
      </c>
      <c r="J38" s="1" t="s">
        <v>86</v>
      </c>
      <c r="K38" s="1" t="s">
        <v>371</v>
      </c>
      <c r="L38" s="1"/>
      <c r="M38" s="1"/>
      <c r="N38" s="1" t="s">
        <v>87</v>
      </c>
      <c r="O38" s="1" t="s">
        <v>432</v>
      </c>
      <c r="P38" s="1" t="s">
        <v>404</v>
      </c>
      <c r="Q38" s="1" t="s">
        <v>431</v>
      </c>
      <c r="R38" s="1" t="s">
        <v>373</v>
      </c>
      <c r="S38" s="1" t="s">
        <v>37</v>
      </c>
      <c r="T38" s="1" t="s">
        <v>38</v>
      </c>
      <c r="U38" s="1" t="s">
        <v>55</v>
      </c>
      <c r="V38" s="1" t="s">
        <v>88</v>
      </c>
      <c r="W38" s="1" t="s">
        <v>42</v>
      </c>
      <c r="X38" s="1" t="s">
        <v>42</v>
      </c>
      <c r="Y38" s="1" t="s">
        <v>56</v>
      </c>
      <c r="Z38" s="1" t="s">
        <v>42</v>
      </c>
      <c r="AA38" s="1" t="s">
        <v>42</v>
      </c>
      <c r="AB38" s="1" t="s">
        <v>42</v>
      </c>
      <c r="AC38" s="1" t="s">
        <v>42</v>
      </c>
      <c r="AD38" s="1" t="s">
        <v>42</v>
      </c>
      <c r="AE38" s="1" t="s">
        <v>56</v>
      </c>
      <c r="AF38" s="1" t="s">
        <v>42</v>
      </c>
      <c r="AG38" s="1" t="s">
        <v>42</v>
      </c>
      <c r="AH38" s="1" t="s">
        <v>42</v>
      </c>
      <c r="AI38" s="12">
        <v>58.33</v>
      </c>
      <c r="AJ38" s="3">
        <v>71.94</v>
      </c>
      <c r="AK38" s="3"/>
      <c r="AL38" s="3"/>
      <c r="AM38" s="1" t="s">
        <v>98</v>
      </c>
      <c r="AN38" s="1" t="s">
        <v>99</v>
      </c>
      <c r="AO38" s="1" t="s">
        <v>100</v>
      </c>
      <c r="AP38" s="1" t="s">
        <v>438</v>
      </c>
      <c r="AQ38" s="1" t="s">
        <v>437</v>
      </c>
      <c r="AR38" s="1" t="s">
        <v>46</v>
      </c>
      <c r="AS38" s="4">
        <v>3.88</v>
      </c>
      <c r="AT38" s="31">
        <v>48</v>
      </c>
      <c r="AU38" s="5">
        <v>48</v>
      </c>
      <c r="AV38" s="4">
        <v>0.82</v>
      </c>
      <c r="AW38" s="15">
        <f>AT38-AZ38</f>
        <v>2</v>
      </c>
      <c r="AX38" s="4">
        <f>AW38/AT38*100</f>
        <v>4.1666666666666661</v>
      </c>
      <c r="AY38" s="4">
        <v>3</v>
      </c>
      <c r="AZ38" s="5">
        <v>46</v>
      </c>
      <c r="BA38" s="4">
        <v>1.07</v>
      </c>
      <c r="BB38" s="4"/>
      <c r="BC38" s="4"/>
      <c r="BD38" s="4"/>
      <c r="BE38" s="1" t="s">
        <v>94</v>
      </c>
      <c r="BF38" s="1">
        <v>365</v>
      </c>
      <c r="BG38" s="1">
        <v>365</v>
      </c>
      <c r="BH38">
        <f>BF38-BG38</f>
        <v>0</v>
      </c>
      <c r="BI38" s="6"/>
    </row>
    <row r="39" spans="1:61" x14ac:dyDescent="0.2">
      <c r="A39" t="s">
        <v>338</v>
      </c>
      <c r="B39" s="1" t="s">
        <v>180</v>
      </c>
      <c r="C39" s="1">
        <v>2012</v>
      </c>
      <c r="D39" s="1" t="s">
        <v>181</v>
      </c>
      <c r="E39" s="1" t="s">
        <v>502</v>
      </c>
      <c r="F39" s="1" t="s">
        <v>434</v>
      </c>
      <c r="G39" s="1" t="s">
        <v>347</v>
      </c>
      <c r="H39" s="1" t="s">
        <v>96</v>
      </c>
      <c r="I39" s="1" t="s">
        <v>97</v>
      </c>
      <c r="J39" s="1" t="s">
        <v>86</v>
      </c>
      <c r="K39" s="1" t="s">
        <v>371</v>
      </c>
      <c r="L39" s="2"/>
      <c r="M39" s="2"/>
      <c r="N39" s="1" t="s">
        <v>87</v>
      </c>
      <c r="O39" s="1" t="s">
        <v>477</v>
      </c>
      <c r="P39" s="1" t="s">
        <v>404</v>
      </c>
      <c r="Q39" s="1" t="s">
        <v>478</v>
      </c>
      <c r="R39" s="1" t="s">
        <v>373</v>
      </c>
      <c r="S39" s="1" t="s">
        <v>37</v>
      </c>
      <c r="T39" s="1" t="s">
        <v>38</v>
      </c>
      <c r="U39" s="1" t="s">
        <v>115</v>
      </c>
      <c r="V39" s="1" t="s">
        <v>182</v>
      </c>
      <c r="W39" s="1" t="s">
        <v>42</v>
      </c>
      <c r="X39" s="1" t="s">
        <v>42</v>
      </c>
      <c r="Y39" s="1" t="s">
        <v>56</v>
      </c>
      <c r="Z39" s="1" t="s">
        <v>41</v>
      </c>
      <c r="AA39" s="1" t="s">
        <v>42</v>
      </c>
      <c r="AB39" s="1" t="s">
        <v>41</v>
      </c>
      <c r="AC39" s="1" t="s">
        <v>42</v>
      </c>
      <c r="AD39" s="1" t="s">
        <v>42</v>
      </c>
      <c r="AE39" s="1" t="s">
        <v>56</v>
      </c>
      <c r="AF39" s="1" t="s">
        <v>41</v>
      </c>
      <c r="AG39" s="1" t="s">
        <v>42</v>
      </c>
      <c r="AH39" s="1" t="s">
        <v>41</v>
      </c>
      <c r="AI39" s="3">
        <v>50</v>
      </c>
      <c r="AJ39" s="3">
        <v>68</v>
      </c>
      <c r="AK39" s="3"/>
      <c r="AL39" s="3"/>
      <c r="AM39" s="1" t="s">
        <v>183</v>
      </c>
      <c r="AN39" s="1" t="s">
        <v>184</v>
      </c>
      <c r="AO39" s="1" t="s">
        <v>185</v>
      </c>
      <c r="AP39" s="1" t="s">
        <v>93</v>
      </c>
      <c r="AQ39" s="1" t="s">
        <v>89</v>
      </c>
      <c r="AR39" s="1" t="s">
        <v>46</v>
      </c>
      <c r="AS39" s="4">
        <v>18.36</v>
      </c>
      <c r="AT39" s="31">
        <v>20</v>
      </c>
      <c r="AU39" s="5">
        <v>20</v>
      </c>
      <c r="AV39" s="4">
        <v>3.19</v>
      </c>
      <c r="AW39" s="15">
        <f>AT39-AZ39</f>
        <v>0</v>
      </c>
      <c r="AX39" s="4">
        <f>AW39/AT39*100</f>
        <v>0</v>
      </c>
      <c r="AY39" s="4">
        <v>19.579999999999899</v>
      </c>
      <c r="AZ39" s="5">
        <v>20</v>
      </c>
      <c r="BA39" s="4">
        <v>4.2</v>
      </c>
      <c r="BB39" s="4"/>
      <c r="BC39" s="4"/>
      <c r="BD39" s="4"/>
      <c r="BE39" s="1" t="s">
        <v>262</v>
      </c>
      <c r="BF39" s="1">
        <v>194</v>
      </c>
      <c r="BG39" s="1">
        <v>14</v>
      </c>
      <c r="BH39">
        <f>BF39-BG39</f>
        <v>180</v>
      </c>
      <c r="BI39" s="6"/>
    </row>
    <row r="40" spans="1:61" x14ac:dyDescent="0.2">
      <c r="A40" t="s">
        <v>338</v>
      </c>
      <c r="B40" s="1" t="s">
        <v>180</v>
      </c>
      <c r="C40" s="1">
        <v>2012</v>
      </c>
      <c r="D40" s="1" t="s">
        <v>181</v>
      </c>
      <c r="E40" s="1" t="s">
        <v>502</v>
      </c>
      <c r="F40" s="1" t="s">
        <v>434</v>
      </c>
      <c r="G40" s="1" t="s">
        <v>347</v>
      </c>
      <c r="H40" s="1" t="s">
        <v>96</v>
      </c>
      <c r="I40" s="1" t="s">
        <v>97</v>
      </c>
      <c r="J40" s="1" t="s">
        <v>86</v>
      </c>
      <c r="K40" s="1" t="s">
        <v>371</v>
      </c>
      <c r="L40" s="2"/>
      <c r="M40" s="2"/>
      <c r="N40" s="1" t="s">
        <v>87</v>
      </c>
      <c r="O40" s="1" t="s">
        <v>477</v>
      </c>
      <c r="P40" s="1" t="s">
        <v>404</v>
      </c>
      <c r="Q40" s="1" t="s">
        <v>478</v>
      </c>
      <c r="R40" s="1" t="s">
        <v>373</v>
      </c>
      <c r="S40" s="1" t="s">
        <v>37</v>
      </c>
      <c r="T40" s="1" t="s">
        <v>38</v>
      </c>
      <c r="U40" s="1" t="s">
        <v>115</v>
      </c>
      <c r="V40" s="1" t="s">
        <v>182</v>
      </c>
      <c r="W40" s="1" t="s">
        <v>42</v>
      </c>
      <c r="X40" s="1" t="s">
        <v>42</v>
      </c>
      <c r="Y40" s="1" t="s">
        <v>56</v>
      </c>
      <c r="Z40" s="1" t="s">
        <v>41</v>
      </c>
      <c r="AA40" s="1" t="s">
        <v>42</v>
      </c>
      <c r="AB40" s="1" t="s">
        <v>41</v>
      </c>
      <c r="AC40" s="1" t="s">
        <v>42</v>
      </c>
      <c r="AD40" s="1" t="s">
        <v>42</v>
      </c>
      <c r="AE40" s="1" t="s">
        <v>56</v>
      </c>
      <c r="AF40" s="1" t="s">
        <v>41</v>
      </c>
      <c r="AG40" s="1" t="s">
        <v>42</v>
      </c>
      <c r="AH40" s="1" t="s">
        <v>41</v>
      </c>
      <c r="AI40" s="3">
        <v>50</v>
      </c>
      <c r="AJ40" s="3">
        <v>68</v>
      </c>
      <c r="AK40" s="3"/>
      <c r="AL40" s="3"/>
      <c r="AM40" s="1" t="s">
        <v>183</v>
      </c>
      <c r="AN40" s="1" t="s">
        <v>184</v>
      </c>
      <c r="AO40" s="1" t="s">
        <v>185</v>
      </c>
      <c r="AP40" s="1" t="s">
        <v>252</v>
      </c>
      <c r="AQ40" s="1" t="s">
        <v>318</v>
      </c>
      <c r="AR40" s="1" t="s">
        <v>46</v>
      </c>
      <c r="AS40" s="4">
        <v>23.8</v>
      </c>
      <c r="AT40" s="31">
        <v>20</v>
      </c>
      <c r="AU40" s="5">
        <v>20</v>
      </c>
      <c r="AV40" s="4">
        <v>3.3</v>
      </c>
      <c r="AW40" s="15">
        <f>AT40-AZ40</f>
        <v>0</v>
      </c>
      <c r="AX40" s="4">
        <f>AW40/AT40*100</f>
        <v>0</v>
      </c>
      <c r="AY40" s="4">
        <v>20.8</v>
      </c>
      <c r="AZ40" s="5">
        <v>20</v>
      </c>
      <c r="BA40" s="4">
        <v>2.4</v>
      </c>
      <c r="BB40" s="4"/>
      <c r="BC40" s="4"/>
      <c r="BD40" s="4"/>
      <c r="BE40" s="1" t="s">
        <v>262</v>
      </c>
      <c r="BF40" s="1">
        <v>194</v>
      </c>
      <c r="BG40" s="1">
        <v>14</v>
      </c>
      <c r="BH40">
        <f>BF40-BG40</f>
        <v>180</v>
      </c>
      <c r="BI40" s="6"/>
    </row>
    <row r="41" spans="1:61" x14ac:dyDescent="0.2">
      <c r="A41" t="s">
        <v>406</v>
      </c>
      <c r="B41" s="1" t="s">
        <v>189</v>
      </c>
      <c r="C41" s="1">
        <v>2010</v>
      </c>
      <c r="D41" s="1" t="s">
        <v>197</v>
      </c>
      <c r="E41" s="1" t="s">
        <v>502</v>
      </c>
      <c r="F41" s="1" t="s">
        <v>434</v>
      </c>
      <c r="G41" s="1" t="s">
        <v>345</v>
      </c>
      <c r="H41" s="1" t="s">
        <v>96</v>
      </c>
      <c r="I41" s="1" t="s">
        <v>97</v>
      </c>
      <c r="J41" s="1" t="s">
        <v>86</v>
      </c>
      <c r="K41" s="1" t="s">
        <v>371</v>
      </c>
      <c r="L41" s="2"/>
      <c r="M41" s="2"/>
      <c r="N41" s="1" t="s">
        <v>191</v>
      </c>
      <c r="O41" s="1" t="s">
        <v>480</v>
      </c>
      <c r="P41" s="1" t="s">
        <v>404</v>
      </c>
      <c r="Q41" s="1" t="s">
        <v>479</v>
      </c>
      <c r="R41" s="1" t="s">
        <v>373</v>
      </c>
      <c r="S41" s="1" t="s">
        <v>37</v>
      </c>
      <c r="T41" s="1" t="s">
        <v>38</v>
      </c>
      <c r="U41" s="1" t="s">
        <v>55</v>
      </c>
      <c r="V41" s="1" t="s">
        <v>88</v>
      </c>
      <c r="W41" s="1" t="s">
        <v>42</v>
      </c>
      <c r="X41" s="1" t="s">
        <v>42</v>
      </c>
      <c r="Y41" s="1" t="s">
        <v>56</v>
      </c>
      <c r="Z41" s="1" t="s">
        <v>42</v>
      </c>
      <c r="AA41" s="1" t="s">
        <v>42</v>
      </c>
      <c r="AB41" s="1" t="s">
        <v>42</v>
      </c>
      <c r="AC41" s="1" t="s">
        <v>42</v>
      </c>
      <c r="AD41" s="1" t="s">
        <v>42</v>
      </c>
      <c r="AE41" s="1" t="s">
        <v>56</v>
      </c>
      <c r="AF41" s="1" t="s">
        <v>42</v>
      </c>
      <c r="AG41" s="1" t="s">
        <v>42</v>
      </c>
      <c r="AH41" s="1" t="s">
        <v>42</v>
      </c>
      <c r="AI41" s="3">
        <v>47.37</v>
      </c>
      <c r="AJ41" s="3">
        <v>74.099999999999994</v>
      </c>
      <c r="AK41" s="3"/>
      <c r="AL41" s="3"/>
      <c r="AM41" s="1" t="s">
        <v>198</v>
      </c>
      <c r="AN41" s="1" t="s">
        <v>199</v>
      </c>
      <c r="AO41" s="1" t="s">
        <v>200</v>
      </c>
      <c r="AP41" s="1" t="s">
        <v>82</v>
      </c>
      <c r="AQ41" s="1" t="s">
        <v>195</v>
      </c>
      <c r="AR41" s="1" t="s">
        <v>46</v>
      </c>
      <c r="AS41" s="4">
        <v>448.1</v>
      </c>
      <c r="AT41" s="35">
        <v>19</v>
      </c>
      <c r="AU41" s="5">
        <v>19</v>
      </c>
      <c r="AV41" s="4">
        <v>132.4</v>
      </c>
      <c r="AW41" s="15">
        <f>AT41-AZ41</f>
        <v>0</v>
      </c>
      <c r="AX41" s="4">
        <f>AW41/AT41*100</f>
        <v>0</v>
      </c>
      <c r="AY41" s="4">
        <v>570.1</v>
      </c>
      <c r="AZ41" s="5">
        <v>19</v>
      </c>
      <c r="BA41" s="4">
        <v>141.9</v>
      </c>
      <c r="BB41" s="4"/>
      <c r="BC41" s="4"/>
      <c r="BD41" s="4"/>
      <c r="BE41" s="1" t="s">
        <v>196</v>
      </c>
      <c r="BF41" s="1">
        <v>365</v>
      </c>
      <c r="BG41" s="1">
        <v>365</v>
      </c>
      <c r="BH41">
        <f>BF41-BG41</f>
        <v>0</v>
      </c>
      <c r="BI41" s="6"/>
    </row>
    <row r="42" spans="1:61" x14ac:dyDescent="0.2">
      <c r="A42" t="s">
        <v>338</v>
      </c>
      <c r="B42" s="1" t="s">
        <v>201</v>
      </c>
      <c r="C42" s="1">
        <v>2010</v>
      </c>
      <c r="D42" s="1" t="s">
        <v>204</v>
      </c>
      <c r="E42" s="1" t="s">
        <v>502</v>
      </c>
      <c r="F42" s="1" t="s">
        <v>434</v>
      </c>
      <c r="G42" s="1" t="s">
        <v>345</v>
      </c>
      <c r="H42" s="1" t="s">
        <v>63</v>
      </c>
      <c r="I42" s="1" t="s">
        <v>64</v>
      </c>
      <c r="J42" s="1" t="s">
        <v>86</v>
      </c>
      <c r="K42" s="1" t="s">
        <v>371</v>
      </c>
      <c r="L42" s="2"/>
      <c r="M42" s="2"/>
      <c r="N42" s="1" t="s">
        <v>202</v>
      </c>
      <c r="O42" s="1" t="s">
        <v>482</v>
      </c>
      <c r="P42" s="1" t="s">
        <v>404</v>
      </c>
      <c r="Q42" s="1" t="s">
        <v>481</v>
      </c>
      <c r="R42" s="1" t="s">
        <v>373</v>
      </c>
      <c r="S42" s="1" t="s">
        <v>37</v>
      </c>
      <c r="T42" s="1" t="s">
        <v>38</v>
      </c>
      <c r="U42" s="1" t="s">
        <v>55</v>
      </c>
      <c r="V42" s="1" t="s">
        <v>278</v>
      </c>
      <c r="W42" s="1" t="s">
        <v>42</v>
      </c>
      <c r="X42" s="1" t="s">
        <v>42</v>
      </c>
      <c r="Y42" s="1" t="s">
        <v>56</v>
      </c>
      <c r="Z42" s="1" t="s">
        <v>42</v>
      </c>
      <c r="AA42" s="1" t="s">
        <v>42</v>
      </c>
      <c r="AB42" s="1" t="s">
        <v>42</v>
      </c>
      <c r="AC42" s="1" t="s">
        <v>42</v>
      </c>
      <c r="AD42" s="1" t="s">
        <v>42</v>
      </c>
      <c r="AE42" s="1" t="s">
        <v>56</v>
      </c>
      <c r="AF42" s="1" t="s">
        <v>42</v>
      </c>
      <c r="AG42" s="1" t="s">
        <v>42</v>
      </c>
      <c r="AH42" s="1" t="s">
        <v>42</v>
      </c>
      <c r="AI42" s="3">
        <v>61.53</v>
      </c>
      <c r="AJ42" s="3">
        <v>68.430000000000007</v>
      </c>
      <c r="AK42" s="3"/>
      <c r="AL42" s="3"/>
      <c r="AM42" s="1" t="s">
        <v>205</v>
      </c>
      <c r="AN42" s="1" t="s">
        <v>206</v>
      </c>
      <c r="AO42" s="1" t="s">
        <v>200</v>
      </c>
      <c r="AP42" s="1" t="s">
        <v>93</v>
      </c>
      <c r="AQ42" s="1" t="s">
        <v>89</v>
      </c>
      <c r="AR42" s="1" t="s">
        <v>46</v>
      </c>
      <c r="AS42" s="4">
        <v>15.1</v>
      </c>
      <c r="AT42" s="31">
        <v>26</v>
      </c>
      <c r="AU42" s="5">
        <v>26</v>
      </c>
      <c r="AV42" s="4">
        <v>2.56</v>
      </c>
      <c r="AW42" s="15">
        <f>AT42-AZ42</f>
        <v>0</v>
      </c>
      <c r="AX42" s="4">
        <f>AW42/AT42*100</f>
        <v>0</v>
      </c>
      <c r="AY42" s="4">
        <v>16.12</v>
      </c>
      <c r="AZ42" s="5">
        <v>26</v>
      </c>
      <c r="BA42" s="4">
        <v>2.84</v>
      </c>
      <c r="BB42" s="4"/>
      <c r="BC42" s="4"/>
      <c r="BD42" s="4"/>
      <c r="BE42" s="1" t="s">
        <v>362</v>
      </c>
      <c r="BF42" s="1">
        <v>365</v>
      </c>
      <c r="BG42" s="1">
        <v>365</v>
      </c>
      <c r="BH42">
        <f>BF42-BG42</f>
        <v>0</v>
      </c>
      <c r="BI42" s="6"/>
    </row>
    <row r="43" spans="1:61" x14ac:dyDescent="0.2">
      <c r="A43" t="s">
        <v>338</v>
      </c>
      <c r="B43" s="1" t="s">
        <v>201</v>
      </c>
      <c r="C43" s="1">
        <v>2010</v>
      </c>
      <c r="D43" s="1" t="s">
        <v>204</v>
      </c>
      <c r="E43" s="1" t="s">
        <v>502</v>
      </c>
      <c r="F43" s="1" t="s">
        <v>434</v>
      </c>
      <c r="G43" s="1" t="s">
        <v>345</v>
      </c>
      <c r="H43" s="1" t="s">
        <v>63</v>
      </c>
      <c r="I43" s="1" t="s">
        <v>64</v>
      </c>
      <c r="J43" s="1" t="s">
        <v>86</v>
      </c>
      <c r="K43" s="1" t="s">
        <v>371</v>
      </c>
      <c r="L43" s="2"/>
      <c r="M43" s="2"/>
      <c r="N43" s="1" t="s">
        <v>202</v>
      </c>
      <c r="O43" s="1" t="s">
        <v>482</v>
      </c>
      <c r="P43" s="1" t="s">
        <v>404</v>
      </c>
      <c r="Q43" s="1" t="s">
        <v>481</v>
      </c>
      <c r="R43" s="1" t="s">
        <v>373</v>
      </c>
      <c r="S43" s="1" t="s">
        <v>37</v>
      </c>
      <c r="T43" s="1" t="s">
        <v>38</v>
      </c>
      <c r="U43" s="1" t="s">
        <v>55</v>
      </c>
      <c r="V43" s="1" t="s">
        <v>278</v>
      </c>
      <c r="W43" s="1" t="s">
        <v>42</v>
      </c>
      <c r="X43" s="1" t="s">
        <v>42</v>
      </c>
      <c r="Y43" s="1" t="s">
        <v>56</v>
      </c>
      <c r="Z43" s="1" t="s">
        <v>42</v>
      </c>
      <c r="AA43" s="1" t="s">
        <v>42</v>
      </c>
      <c r="AB43" s="1" t="s">
        <v>42</v>
      </c>
      <c r="AC43" s="1" t="s">
        <v>42</v>
      </c>
      <c r="AD43" s="1" t="s">
        <v>42</v>
      </c>
      <c r="AE43" s="1" t="s">
        <v>56</v>
      </c>
      <c r="AF43" s="1" t="s">
        <v>42</v>
      </c>
      <c r="AG43" s="1" t="s">
        <v>42</v>
      </c>
      <c r="AH43" s="1" t="s">
        <v>42</v>
      </c>
      <c r="AI43" s="3">
        <v>61.53</v>
      </c>
      <c r="AJ43" s="3">
        <v>68.430000000000007</v>
      </c>
      <c r="AK43" s="3"/>
      <c r="AL43" s="3"/>
      <c r="AM43" s="1" t="s">
        <v>205</v>
      </c>
      <c r="AN43" s="1" t="s">
        <v>206</v>
      </c>
      <c r="AO43" s="1" t="s">
        <v>200</v>
      </c>
      <c r="AP43" s="1" t="s">
        <v>252</v>
      </c>
      <c r="AQ43" s="1" t="s">
        <v>435</v>
      </c>
      <c r="AR43" s="1" t="s">
        <v>46</v>
      </c>
      <c r="AS43" s="4">
        <v>14.61</v>
      </c>
      <c r="AT43" s="31">
        <v>26</v>
      </c>
      <c r="AU43" s="5">
        <v>26</v>
      </c>
      <c r="AV43" s="4">
        <v>4.6100000000000003</v>
      </c>
      <c r="AW43" s="15">
        <f>AT43-AZ43</f>
        <v>0</v>
      </c>
      <c r="AX43" s="4">
        <f>AW43/AT43*100</f>
        <v>0</v>
      </c>
      <c r="AY43" s="4">
        <v>15.86</v>
      </c>
      <c r="AZ43" s="5">
        <v>26</v>
      </c>
      <c r="BA43" s="4">
        <v>3.81</v>
      </c>
      <c r="BB43" s="4"/>
      <c r="BC43" s="4"/>
      <c r="BD43" s="4"/>
      <c r="BE43" s="1" t="s">
        <v>362</v>
      </c>
      <c r="BF43" s="1">
        <v>365</v>
      </c>
      <c r="BG43" s="1">
        <v>365</v>
      </c>
      <c r="BH43">
        <f>BF43-BG43</f>
        <v>0</v>
      </c>
      <c r="BI43" s="6"/>
    </row>
    <row r="44" spans="1:61" x14ac:dyDescent="0.2">
      <c r="A44" t="s">
        <v>406</v>
      </c>
      <c r="B44" s="1" t="s">
        <v>243</v>
      </c>
      <c r="C44" s="1">
        <v>2010</v>
      </c>
      <c r="D44" s="1" t="s">
        <v>244</v>
      </c>
      <c r="E44" s="1" t="s">
        <v>502</v>
      </c>
      <c r="F44" s="1" t="s">
        <v>434</v>
      </c>
      <c r="G44" s="1" t="s">
        <v>345</v>
      </c>
      <c r="H44" s="1" t="s">
        <v>96</v>
      </c>
      <c r="I44" s="1" t="s">
        <v>97</v>
      </c>
      <c r="J44" s="1" t="s">
        <v>86</v>
      </c>
      <c r="K44" s="1" t="s">
        <v>371</v>
      </c>
      <c r="L44" s="2"/>
      <c r="M44" s="2"/>
      <c r="N44" s="1" t="s">
        <v>87</v>
      </c>
      <c r="O44" s="1" t="s">
        <v>495</v>
      </c>
      <c r="P44" s="1" t="s">
        <v>404</v>
      </c>
      <c r="Q44" s="1" t="s">
        <v>59</v>
      </c>
      <c r="R44" s="1" t="s">
        <v>496</v>
      </c>
      <c r="S44" s="1" t="s">
        <v>37</v>
      </c>
      <c r="T44" s="1" t="s">
        <v>38</v>
      </c>
      <c r="U44" s="1" t="s">
        <v>115</v>
      </c>
      <c r="V44" s="1" t="s">
        <v>182</v>
      </c>
      <c r="W44" s="1" t="s">
        <v>42</v>
      </c>
      <c r="X44" s="1" t="s">
        <v>42</v>
      </c>
      <c r="Y44" s="1" t="s">
        <v>56</v>
      </c>
      <c r="Z44" s="1" t="s">
        <v>42</v>
      </c>
      <c r="AA44" s="1" t="s">
        <v>42</v>
      </c>
      <c r="AB44" s="1" t="s">
        <v>42</v>
      </c>
      <c r="AC44" s="1" t="s">
        <v>42</v>
      </c>
      <c r="AD44" s="1" t="s">
        <v>42</v>
      </c>
      <c r="AE44" s="1" t="s">
        <v>56</v>
      </c>
      <c r="AF44" s="1" t="s">
        <v>42</v>
      </c>
      <c r="AG44" s="1" t="s">
        <v>42</v>
      </c>
      <c r="AH44" s="1" t="s">
        <v>42</v>
      </c>
      <c r="AI44" s="3">
        <v>60</v>
      </c>
      <c r="AJ44" s="3">
        <v>68.41</v>
      </c>
      <c r="AK44" s="3"/>
      <c r="AL44" s="3"/>
      <c r="AM44" s="1" t="s">
        <v>245</v>
      </c>
      <c r="AN44" s="1" t="s">
        <v>246</v>
      </c>
      <c r="AO44" s="1" t="s">
        <v>247</v>
      </c>
      <c r="AP44" s="1" t="s">
        <v>82</v>
      </c>
      <c r="AQ44" s="1" t="s">
        <v>195</v>
      </c>
      <c r="AR44" s="1" t="s">
        <v>46</v>
      </c>
      <c r="AS44" s="4">
        <v>431.4</v>
      </c>
      <c r="AT44" s="31">
        <v>25</v>
      </c>
      <c r="AU44" s="5">
        <v>25</v>
      </c>
      <c r="AV44" s="4">
        <v>126.5</v>
      </c>
      <c r="AW44" s="15">
        <f>AT44-AZ44</f>
        <v>0</v>
      </c>
      <c r="AX44" s="4">
        <f>AW44/AT44*100</f>
        <v>0</v>
      </c>
      <c r="AY44" s="4">
        <v>524.70000000000005</v>
      </c>
      <c r="AZ44" s="5">
        <v>25</v>
      </c>
      <c r="BA44" s="4">
        <v>128.4</v>
      </c>
      <c r="BB44" s="4"/>
      <c r="BC44" s="4"/>
      <c r="BD44" s="4"/>
      <c r="BE44" s="1" t="s">
        <v>94</v>
      </c>
      <c r="BF44" s="1">
        <v>365</v>
      </c>
      <c r="BG44" s="1">
        <v>365</v>
      </c>
      <c r="BH44">
        <f>BF44-BG44</f>
        <v>0</v>
      </c>
      <c r="BI44" s="6"/>
    </row>
    <row r="45" spans="1:61" x14ac:dyDescent="0.2">
      <c r="A45" t="s">
        <v>338</v>
      </c>
      <c r="B45" s="1" t="s">
        <v>215</v>
      </c>
      <c r="C45" s="1">
        <v>2012</v>
      </c>
      <c r="D45" s="1" t="s">
        <v>216</v>
      </c>
      <c r="E45" s="1" t="s">
        <v>456</v>
      </c>
      <c r="F45" s="1" t="s">
        <v>360</v>
      </c>
      <c r="G45" s="1" t="s">
        <v>360</v>
      </c>
      <c r="H45" s="1" t="s">
        <v>35</v>
      </c>
      <c r="I45" s="1" t="s">
        <v>36</v>
      </c>
      <c r="J45" s="1" t="s">
        <v>86</v>
      </c>
      <c r="K45" s="2" t="s">
        <v>372</v>
      </c>
      <c r="L45" s="2"/>
      <c r="M45" s="2"/>
      <c r="N45" s="1" t="s">
        <v>217</v>
      </c>
      <c r="O45" s="1" t="s">
        <v>488</v>
      </c>
      <c r="P45" s="1" t="s">
        <v>383</v>
      </c>
      <c r="Q45" s="1" t="s">
        <v>487</v>
      </c>
      <c r="R45" s="1" t="s">
        <v>373</v>
      </c>
      <c r="S45" s="1" t="s">
        <v>54</v>
      </c>
      <c r="T45" s="1" t="s">
        <v>38</v>
      </c>
      <c r="U45" s="1" t="s">
        <v>70</v>
      </c>
      <c r="V45" s="1" t="s">
        <v>40</v>
      </c>
      <c r="W45" s="1" t="s">
        <v>42</v>
      </c>
      <c r="X45" s="1" t="s">
        <v>41</v>
      </c>
      <c r="Y45" s="1" t="s">
        <v>41</v>
      </c>
      <c r="Z45" s="1" t="s">
        <v>41</v>
      </c>
      <c r="AA45" s="1" t="s">
        <v>42</v>
      </c>
      <c r="AB45" s="1" t="s">
        <v>41</v>
      </c>
      <c r="AC45" s="1" t="s">
        <v>42</v>
      </c>
      <c r="AD45" s="1" t="s">
        <v>41</v>
      </c>
      <c r="AE45" s="1" t="s">
        <v>41</v>
      </c>
      <c r="AF45" s="1" t="s">
        <v>41</v>
      </c>
      <c r="AG45" s="1" t="s">
        <v>42</v>
      </c>
      <c r="AH45" s="1" t="s">
        <v>41</v>
      </c>
      <c r="AI45" s="3">
        <v>51.3</v>
      </c>
      <c r="AJ45" s="3"/>
      <c r="AK45" s="3"/>
      <c r="AL45" s="3">
        <v>58.97</v>
      </c>
      <c r="AM45" s="1" t="s">
        <v>218</v>
      </c>
      <c r="AN45" s="1" t="s">
        <v>219</v>
      </c>
      <c r="AO45" s="1" t="s">
        <v>43</v>
      </c>
      <c r="AP45" s="1" t="s">
        <v>179</v>
      </c>
      <c r="AQ45" s="1" t="s">
        <v>78</v>
      </c>
      <c r="AR45" s="1" t="s">
        <v>46</v>
      </c>
      <c r="AS45" s="4">
        <v>97.89</v>
      </c>
      <c r="AT45" s="31">
        <v>39</v>
      </c>
      <c r="AU45" s="5">
        <v>39</v>
      </c>
      <c r="AV45" s="4">
        <v>14.11</v>
      </c>
      <c r="AW45" s="15">
        <f>AT45-AZ45</f>
        <v>0</v>
      </c>
      <c r="AX45" s="4">
        <f>AW45/AT45*100</f>
        <v>0</v>
      </c>
      <c r="AY45" s="4">
        <v>114.02</v>
      </c>
      <c r="AZ45" s="5">
        <v>39</v>
      </c>
      <c r="BA45" s="4">
        <v>13.98</v>
      </c>
      <c r="BB45" s="4"/>
      <c r="BC45" s="4"/>
      <c r="BD45" s="4"/>
      <c r="BE45" s="1" t="s">
        <v>220</v>
      </c>
      <c r="BF45" s="1">
        <v>198</v>
      </c>
      <c r="BG45" s="1">
        <v>168</v>
      </c>
      <c r="BH45">
        <f>BF45-BG45</f>
        <v>30</v>
      </c>
      <c r="BI45" s="6"/>
    </row>
    <row r="46" spans="1:61" x14ac:dyDescent="0.2">
      <c r="A46" t="s">
        <v>338</v>
      </c>
      <c r="B46" s="1" t="s">
        <v>215</v>
      </c>
      <c r="C46" s="1">
        <v>2012</v>
      </c>
      <c r="D46" s="1" t="s">
        <v>216</v>
      </c>
      <c r="E46" s="1" t="s">
        <v>456</v>
      </c>
      <c r="F46" s="1" t="s">
        <v>360</v>
      </c>
      <c r="G46" s="1" t="s">
        <v>360</v>
      </c>
      <c r="H46" s="1" t="s">
        <v>35</v>
      </c>
      <c r="I46" s="1" t="s">
        <v>36</v>
      </c>
      <c r="J46" s="1" t="s">
        <v>86</v>
      </c>
      <c r="K46" s="2" t="s">
        <v>372</v>
      </c>
      <c r="L46" s="2"/>
      <c r="M46" s="2"/>
      <c r="N46" s="1" t="s">
        <v>217</v>
      </c>
      <c r="O46" s="1" t="s">
        <v>488</v>
      </c>
      <c r="P46" s="1" t="s">
        <v>383</v>
      </c>
      <c r="Q46" s="1" t="s">
        <v>487</v>
      </c>
      <c r="R46" s="1" t="s">
        <v>373</v>
      </c>
      <c r="S46" s="1" t="s">
        <v>54</v>
      </c>
      <c r="T46" s="1" t="s">
        <v>38</v>
      </c>
      <c r="U46" s="1" t="s">
        <v>70</v>
      </c>
      <c r="V46" s="1" t="s">
        <v>40</v>
      </c>
      <c r="W46" s="1" t="s">
        <v>42</v>
      </c>
      <c r="X46" s="1" t="s">
        <v>41</v>
      </c>
      <c r="Y46" s="1" t="s">
        <v>41</v>
      </c>
      <c r="Z46" s="1" t="s">
        <v>41</v>
      </c>
      <c r="AA46" s="1" t="s">
        <v>42</v>
      </c>
      <c r="AB46" s="1" t="s">
        <v>41</v>
      </c>
      <c r="AC46" s="1" t="s">
        <v>42</v>
      </c>
      <c r="AD46" s="1" t="s">
        <v>41</v>
      </c>
      <c r="AE46" s="1" t="s">
        <v>41</v>
      </c>
      <c r="AF46" s="1" t="s">
        <v>41</v>
      </c>
      <c r="AG46" s="1" t="s">
        <v>42</v>
      </c>
      <c r="AH46" s="1" t="s">
        <v>41</v>
      </c>
      <c r="AI46" s="3">
        <v>51.3</v>
      </c>
      <c r="AJ46" s="3"/>
      <c r="AK46" s="3"/>
      <c r="AL46" s="3">
        <v>58.97</v>
      </c>
      <c r="AM46" s="1" t="s">
        <v>218</v>
      </c>
      <c r="AN46" s="1" t="s">
        <v>219</v>
      </c>
      <c r="AO46" s="1" t="s">
        <v>43</v>
      </c>
      <c r="AP46" s="1" t="s">
        <v>73</v>
      </c>
      <c r="AQ46" s="1" t="s">
        <v>333</v>
      </c>
      <c r="AR46" s="1" t="s">
        <v>46</v>
      </c>
      <c r="AS46" s="4">
        <v>46.84</v>
      </c>
      <c r="AT46" s="31">
        <v>39</v>
      </c>
      <c r="AU46" s="5">
        <v>39</v>
      </c>
      <c r="AV46" s="4">
        <v>8.11</v>
      </c>
      <c r="AW46" s="15">
        <f>AT46-AZ46</f>
        <v>0</v>
      </c>
      <c r="AX46" s="4">
        <f>AW46/AT46*100</f>
        <v>0</v>
      </c>
      <c r="AY46" s="4">
        <v>37.47</v>
      </c>
      <c r="AZ46" s="5">
        <v>39</v>
      </c>
      <c r="BA46" s="4">
        <v>9.68</v>
      </c>
      <c r="BB46" s="4"/>
      <c r="BC46" s="4"/>
      <c r="BD46" s="4"/>
      <c r="BE46" s="1" t="s">
        <v>220</v>
      </c>
      <c r="BF46" s="1">
        <v>198</v>
      </c>
      <c r="BG46" s="1">
        <v>168</v>
      </c>
      <c r="BH46">
        <f>BF46-BG46</f>
        <v>30</v>
      </c>
      <c r="BI46" s="6"/>
    </row>
    <row r="47" spans="1:61" x14ac:dyDescent="0.2">
      <c r="A47" t="s">
        <v>338</v>
      </c>
      <c r="B47" s="1" t="s">
        <v>120</v>
      </c>
      <c r="C47" s="1">
        <v>2017</v>
      </c>
      <c r="D47" s="1" t="s">
        <v>452</v>
      </c>
      <c r="E47" s="1" t="s">
        <v>456</v>
      </c>
      <c r="F47" s="1" t="s">
        <v>360</v>
      </c>
      <c r="G47" s="1" t="s">
        <v>360</v>
      </c>
      <c r="H47" s="1" t="s">
        <v>35</v>
      </c>
      <c r="I47" s="1" t="s">
        <v>36</v>
      </c>
      <c r="J47" s="1" t="s">
        <v>121</v>
      </c>
      <c r="K47" s="2" t="s">
        <v>372</v>
      </c>
      <c r="L47" s="2" t="s">
        <v>396</v>
      </c>
      <c r="M47" s="2" t="s">
        <v>390</v>
      </c>
      <c r="N47" s="1" t="s">
        <v>122</v>
      </c>
      <c r="O47" s="1" t="s">
        <v>454</v>
      </c>
      <c r="P47" s="2" t="s">
        <v>379</v>
      </c>
      <c r="Q47" s="2" t="s">
        <v>451</v>
      </c>
      <c r="R47" s="1" t="s">
        <v>374</v>
      </c>
      <c r="S47" s="1" t="s">
        <v>37</v>
      </c>
      <c r="T47" s="1" t="s">
        <v>38</v>
      </c>
      <c r="U47" s="1" t="s">
        <v>115</v>
      </c>
      <c r="V47" s="1" t="s">
        <v>40</v>
      </c>
      <c r="W47" s="1" t="s">
        <v>42</v>
      </c>
      <c r="X47" s="1" t="s">
        <v>41</v>
      </c>
      <c r="Y47" s="1" t="s">
        <v>41</v>
      </c>
      <c r="Z47" s="1" t="s">
        <v>41</v>
      </c>
      <c r="AA47" s="1" t="s">
        <v>41</v>
      </c>
      <c r="AB47" s="1" t="s">
        <v>41</v>
      </c>
      <c r="AC47" s="1" t="s">
        <v>42</v>
      </c>
      <c r="AD47" s="1" t="s">
        <v>41</v>
      </c>
      <c r="AE47" s="1" t="s">
        <v>41</v>
      </c>
      <c r="AF47" s="1" t="s">
        <v>41</v>
      </c>
      <c r="AG47" s="1" t="s">
        <v>41</v>
      </c>
      <c r="AH47" s="1" t="s">
        <v>41</v>
      </c>
      <c r="AI47" s="3"/>
      <c r="AJ47" s="3">
        <v>75.44</v>
      </c>
      <c r="AK47" s="3">
        <v>52.96</v>
      </c>
      <c r="AL47" s="3"/>
      <c r="AM47" s="1" t="s">
        <v>123</v>
      </c>
      <c r="AN47" s="1" t="s">
        <v>124</v>
      </c>
      <c r="AO47" s="1" t="s">
        <v>125</v>
      </c>
      <c r="AP47" s="1" t="s">
        <v>44</v>
      </c>
      <c r="AQ47" s="1" t="s">
        <v>256</v>
      </c>
      <c r="AR47" s="1" t="s">
        <v>46</v>
      </c>
      <c r="AS47" s="4">
        <v>36.75</v>
      </c>
      <c r="AT47" s="35">
        <v>32</v>
      </c>
      <c r="AU47" s="5">
        <v>32</v>
      </c>
      <c r="AV47" s="4">
        <v>1.35</v>
      </c>
      <c r="AW47" s="15">
        <f>AT47-AZ47</f>
        <v>4</v>
      </c>
      <c r="AX47" s="4">
        <f>AW47/AT47*100</f>
        <v>12.5</v>
      </c>
      <c r="AY47" s="4">
        <v>36.64</v>
      </c>
      <c r="AZ47" s="5">
        <v>28</v>
      </c>
      <c r="BA47" s="4">
        <v>1.28</v>
      </c>
      <c r="BB47" s="4"/>
      <c r="BC47" s="4"/>
      <c r="BD47" s="4"/>
      <c r="BE47" s="1" t="s">
        <v>258</v>
      </c>
      <c r="BF47" s="1">
        <v>35</v>
      </c>
      <c r="BG47" s="1">
        <v>35</v>
      </c>
      <c r="BH47">
        <f>BF47-BG47</f>
        <v>0</v>
      </c>
      <c r="BI47" s="6"/>
    </row>
    <row r="48" spans="1:61" x14ac:dyDescent="0.2">
      <c r="A48" t="s">
        <v>338</v>
      </c>
      <c r="B48" s="1" t="s">
        <v>154</v>
      </c>
      <c r="C48" s="1">
        <v>2017</v>
      </c>
      <c r="D48" s="1" t="s">
        <v>158</v>
      </c>
      <c r="E48" s="1" t="s">
        <v>351</v>
      </c>
      <c r="F48" s="1" t="s">
        <v>354</v>
      </c>
      <c r="G48" s="1" t="s">
        <v>354</v>
      </c>
      <c r="H48" s="1" t="s">
        <v>35</v>
      </c>
      <c r="I48" s="1" t="s">
        <v>48</v>
      </c>
      <c r="J48" s="1" t="s">
        <v>121</v>
      </c>
      <c r="K48" s="2" t="s">
        <v>372</v>
      </c>
      <c r="L48" s="2"/>
      <c r="M48" s="2"/>
      <c r="N48" s="1" t="s">
        <v>155</v>
      </c>
      <c r="O48" s="1" t="s">
        <v>469</v>
      </c>
      <c r="P48" s="2" t="s">
        <v>379</v>
      </c>
      <c r="Q48" s="2" t="s">
        <v>468</v>
      </c>
      <c r="R48" s="1" t="s">
        <v>373</v>
      </c>
      <c r="S48" s="1" t="s">
        <v>37</v>
      </c>
      <c r="T48" s="1" t="s">
        <v>38</v>
      </c>
      <c r="U48" s="1" t="s">
        <v>115</v>
      </c>
      <c r="V48" s="1" t="s">
        <v>40</v>
      </c>
      <c r="W48" s="1" t="s">
        <v>42</v>
      </c>
      <c r="X48" s="1" t="s">
        <v>41</v>
      </c>
      <c r="Y48" s="1" t="s">
        <v>41</v>
      </c>
      <c r="Z48" s="1" t="s">
        <v>41</v>
      </c>
      <c r="AA48" s="1" t="s">
        <v>42</v>
      </c>
      <c r="AB48" s="1" t="s">
        <v>41</v>
      </c>
      <c r="AC48" s="1" t="s">
        <v>42</v>
      </c>
      <c r="AD48" s="1" t="s">
        <v>41</v>
      </c>
      <c r="AE48" s="1" t="s">
        <v>41</v>
      </c>
      <c r="AF48" s="1" t="s">
        <v>41</v>
      </c>
      <c r="AG48" s="1" t="s">
        <v>42</v>
      </c>
      <c r="AH48" s="1" t="s">
        <v>41</v>
      </c>
      <c r="AI48" s="3"/>
      <c r="AJ48" s="3"/>
      <c r="AK48" s="3">
        <v>47.38</v>
      </c>
      <c r="AL48" s="3">
        <v>80.8</v>
      </c>
      <c r="AM48" s="1" t="s">
        <v>159</v>
      </c>
      <c r="AN48" s="1" t="s">
        <v>160</v>
      </c>
      <c r="AO48" s="1" t="s">
        <v>43</v>
      </c>
      <c r="AP48" s="1" t="s">
        <v>157</v>
      </c>
      <c r="AQ48" s="1" t="s">
        <v>334</v>
      </c>
      <c r="AR48" s="1" t="s">
        <v>46</v>
      </c>
      <c r="AS48" s="4">
        <v>29.8</v>
      </c>
      <c r="AT48" s="35">
        <v>30</v>
      </c>
      <c r="AU48" s="5">
        <v>26</v>
      </c>
      <c r="AV48" s="4">
        <v>4.8</v>
      </c>
      <c r="AW48" s="15">
        <f>AT48-AZ48</f>
        <v>4</v>
      </c>
      <c r="AX48" s="4">
        <f>AW48/AT48*100</f>
        <v>13.333333333333334</v>
      </c>
      <c r="AY48" s="4">
        <v>32.729999999999897</v>
      </c>
      <c r="AZ48" s="5">
        <v>26</v>
      </c>
      <c r="BA48" s="4">
        <v>4.75</v>
      </c>
      <c r="BB48" s="4"/>
      <c r="BC48" s="4"/>
      <c r="BD48" s="4"/>
      <c r="BE48" s="1" t="s">
        <v>261</v>
      </c>
      <c r="BF48" s="1">
        <v>56</v>
      </c>
      <c r="BG48" s="1">
        <v>35</v>
      </c>
      <c r="BH48">
        <f>BF48-BG48</f>
        <v>21</v>
      </c>
      <c r="BI48" s="6"/>
    </row>
    <row r="49" spans="1:61" x14ac:dyDescent="0.2">
      <c r="A49" t="s">
        <v>338</v>
      </c>
      <c r="B49" s="1" t="s">
        <v>120</v>
      </c>
      <c r="C49" s="1">
        <v>2017</v>
      </c>
      <c r="D49" s="1" t="s">
        <v>127</v>
      </c>
      <c r="E49" s="1" t="s">
        <v>351</v>
      </c>
      <c r="F49" s="1" t="s">
        <v>354</v>
      </c>
      <c r="G49" s="1" t="s">
        <v>354</v>
      </c>
      <c r="H49" s="1" t="s">
        <v>35</v>
      </c>
      <c r="I49" s="1" t="s">
        <v>36</v>
      </c>
      <c r="J49" s="1" t="s">
        <v>121</v>
      </c>
      <c r="K49" s="2" t="s">
        <v>372</v>
      </c>
      <c r="L49" s="2" t="s">
        <v>396</v>
      </c>
      <c r="M49" s="2" t="s">
        <v>390</v>
      </c>
      <c r="N49" s="1" t="s">
        <v>122</v>
      </c>
      <c r="O49" s="1" t="s">
        <v>455</v>
      </c>
      <c r="P49" s="2" t="s">
        <v>379</v>
      </c>
      <c r="Q49" s="2" t="s">
        <v>451</v>
      </c>
      <c r="R49" s="1" t="s">
        <v>374</v>
      </c>
      <c r="S49" s="1" t="s">
        <v>37</v>
      </c>
      <c r="T49" s="1" t="s">
        <v>38</v>
      </c>
      <c r="U49" s="1" t="s">
        <v>115</v>
      </c>
      <c r="V49" s="1" t="s">
        <v>40</v>
      </c>
      <c r="W49" s="1" t="s">
        <v>42</v>
      </c>
      <c r="X49" s="1" t="s">
        <v>41</v>
      </c>
      <c r="Y49" s="1" t="s">
        <v>41</v>
      </c>
      <c r="Z49" s="1" t="s">
        <v>41</v>
      </c>
      <c r="AA49" s="1" t="s">
        <v>41</v>
      </c>
      <c r="AB49" s="1" t="s">
        <v>41</v>
      </c>
      <c r="AC49" s="1" t="s">
        <v>42</v>
      </c>
      <c r="AD49" s="1" t="s">
        <v>41</v>
      </c>
      <c r="AE49" s="1" t="s">
        <v>41</v>
      </c>
      <c r="AF49" s="1" t="s">
        <v>41</v>
      </c>
      <c r="AG49" s="1" t="s">
        <v>41</v>
      </c>
      <c r="AH49" s="1" t="s">
        <v>41</v>
      </c>
      <c r="AI49" s="3"/>
      <c r="AJ49" s="3">
        <v>75.44</v>
      </c>
      <c r="AK49" s="3">
        <v>52.96</v>
      </c>
      <c r="AL49" s="3"/>
      <c r="AM49" s="1" t="s">
        <v>128</v>
      </c>
      <c r="AN49" s="1" t="s">
        <v>129</v>
      </c>
      <c r="AO49" s="1" t="s">
        <v>125</v>
      </c>
      <c r="AP49" s="1" t="s">
        <v>44</v>
      </c>
      <c r="AQ49" s="1" t="s">
        <v>256</v>
      </c>
      <c r="AR49" s="1" t="s">
        <v>46</v>
      </c>
      <c r="AS49" s="4">
        <v>37.159999999999897</v>
      </c>
      <c r="AT49" s="35">
        <v>33</v>
      </c>
      <c r="AU49" s="5">
        <v>33</v>
      </c>
      <c r="AV49" s="4">
        <v>1.26</v>
      </c>
      <c r="AW49" s="15">
        <f>AT49-AZ49</f>
        <v>3</v>
      </c>
      <c r="AX49" s="4">
        <f>AW49/AT49*100</f>
        <v>9.0909090909090917</v>
      </c>
      <c r="AY49" s="4">
        <v>32.43</v>
      </c>
      <c r="AZ49" s="5">
        <v>30</v>
      </c>
      <c r="BA49" s="4">
        <v>2.73</v>
      </c>
      <c r="BB49" s="4"/>
      <c r="BC49" s="4"/>
      <c r="BD49" s="4"/>
      <c r="BE49" s="1" t="s">
        <v>258</v>
      </c>
      <c r="BF49" s="1">
        <v>35</v>
      </c>
      <c r="BG49" s="1">
        <v>35</v>
      </c>
      <c r="BH49">
        <f>BF49-BG49</f>
        <v>0</v>
      </c>
      <c r="BI49" s="6"/>
    </row>
    <row r="50" spans="1:61" x14ac:dyDescent="0.2">
      <c r="A50" t="s">
        <v>338</v>
      </c>
      <c r="B50" s="1" t="s">
        <v>49</v>
      </c>
      <c r="C50" s="1">
        <v>2008</v>
      </c>
      <c r="D50" s="1" t="s">
        <v>62</v>
      </c>
      <c r="E50" s="1" t="s">
        <v>342</v>
      </c>
      <c r="F50" s="1" t="s">
        <v>506</v>
      </c>
      <c r="G50" s="1" t="s">
        <v>345</v>
      </c>
      <c r="H50" s="1" t="s">
        <v>63</v>
      </c>
      <c r="I50" s="2" t="s">
        <v>64</v>
      </c>
      <c r="J50" s="1" t="s">
        <v>52</v>
      </c>
      <c r="K50" s="2" t="s">
        <v>372</v>
      </c>
      <c r="L50" s="2" t="s">
        <v>386</v>
      </c>
      <c r="M50" s="2" t="s">
        <v>387</v>
      </c>
      <c r="N50" s="1" t="s">
        <v>53</v>
      </c>
      <c r="O50" s="1" t="s">
        <v>415</v>
      </c>
      <c r="P50" s="16" t="s">
        <v>404</v>
      </c>
      <c r="Q50" s="1" t="s">
        <v>417</v>
      </c>
      <c r="R50" s="16" t="s">
        <v>209</v>
      </c>
      <c r="S50" s="1" t="s">
        <v>54</v>
      </c>
      <c r="T50" s="1" t="s">
        <v>38</v>
      </c>
      <c r="U50" s="1" t="s">
        <v>55</v>
      </c>
      <c r="V50" s="1" t="s">
        <v>40</v>
      </c>
      <c r="W50" s="26" t="s">
        <v>56</v>
      </c>
      <c r="X50" s="26" t="s">
        <v>42</v>
      </c>
      <c r="Y50" s="26" t="s">
        <v>56</v>
      </c>
      <c r="Z50" s="26" t="s">
        <v>41</v>
      </c>
      <c r="AA50" s="26" t="s">
        <v>42</v>
      </c>
      <c r="AB50" s="26" t="s">
        <v>41</v>
      </c>
      <c r="AC50" s="28" t="s">
        <v>56</v>
      </c>
      <c r="AD50" s="28" t="s">
        <v>42</v>
      </c>
      <c r="AE50" s="28" t="s">
        <v>56</v>
      </c>
      <c r="AF50" s="28" t="s">
        <v>41</v>
      </c>
      <c r="AG50" s="28" t="s">
        <v>42</v>
      </c>
      <c r="AH50" s="28" t="s">
        <v>41</v>
      </c>
      <c r="AI50" s="3">
        <v>36.6</v>
      </c>
      <c r="AJ50" s="3">
        <v>79.400000000000006</v>
      </c>
      <c r="AK50" s="3">
        <v>53.2</v>
      </c>
      <c r="AL50" s="3">
        <v>90.2</v>
      </c>
      <c r="AM50" s="1" t="s">
        <v>65</v>
      </c>
      <c r="AN50" s="1" t="s">
        <v>66</v>
      </c>
      <c r="AO50" s="1" t="s">
        <v>43</v>
      </c>
      <c r="AP50" s="1" t="s">
        <v>44</v>
      </c>
      <c r="AQ50" s="1" t="s">
        <v>45</v>
      </c>
      <c r="AR50" s="1" t="s">
        <v>361</v>
      </c>
      <c r="AS50" s="4"/>
      <c r="AT50" s="31">
        <v>41</v>
      </c>
      <c r="AU50" s="5"/>
      <c r="AV50" s="4"/>
      <c r="AW50" s="15">
        <f>AT50-AZ50</f>
        <v>8</v>
      </c>
      <c r="AX50" s="4">
        <f>AW50/AT50*100</f>
        <v>19.512195121951219</v>
      </c>
      <c r="AY50" s="4">
        <f>-3.29</f>
        <v>-3.29</v>
      </c>
      <c r="AZ50" s="5">
        <v>33</v>
      </c>
      <c r="BA50" s="4">
        <f>SQRT(AZ50+AZ51)*(BC50-BB50)/(2*TINV(1-0.95,AZ50+AZ51-1))</f>
        <v>14.196763234546896</v>
      </c>
      <c r="BB50" s="4">
        <v>-6.78</v>
      </c>
      <c r="BC50" s="4">
        <v>0.2</v>
      </c>
      <c r="BD50" s="4"/>
      <c r="BE50" s="1" t="s">
        <v>61</v>
      </c>
      <c r="BF50" s="1">
        <v>180</v>
      </c>
      <c r="BG50" s="1">
        <v>180</v>
      </c>
      <c r="BH50">
        <f>BF50-BG50</f>
        <v>0</v>
      </c>
      <c r="BI50" s="6"/>
    </row>
    <row r="51" spans="1:61" x14ac:dyDescent="0.2">
      <c r="A51" t="s">
        <v>338</v>
      </c>
      <c r="B51" s="1" t="s">
        <v>49</v>
      </c>
      <c r="C51" s="1">
        <v>2008</v>
      </c>
      <c r="D51" s="1" t="s">
        <v>62</v>
      </c>
      <c r="E51" s="1" t="s">
        <v>342</v>
      </c>
      <c r="F51" s="1" t="s">
        <v>506</v>
      </c>
      <c r="G51" s="1" t="s">
        <v>345</v>
      </c>
      <c r="H51" s="1" t="s">
        <v>63</v>
      </c>
      <c r="I51" s="2" t="s">
        <v>64</v>
      </c>
      <c r="J51" s="1" t="s">
        <v>52</v>
      </c>
      <c r="K51" s="2" t="s">
        <v>372</v>
      </c>
      <c r="L51" s="2" t="s">
        <v>386</v>
      </c>
      <c r="M51" s="2" t="s">
        <v>387</v>
      </c>
      <c r="N51" s="1" t="s">
        <v>53</v>
      </c>
      <c r="O51" s="1" t="s">
        <v>415</v>
      </c>
      <c r="P51" s="16" t="s">
        <v>404</v>
      </c>
      <c r="Q51" s="1" t="s">
        <v>417</v>
      </c>
      <c r="R51" s="16" t="s">
        <v>209</v>
      </c>
      <c r="S51" s="1" t="s">
        <v>54</v>
      </c>
      <c r="T51" s="1" t="s">
        <v>38</v>
      </c>
      <c r="U51" s="1" t="s">
        <v>55</v>
      </c>
      <c r="V51" s="1" t="s">
        <v>40</v>
      </c>
      <c r="W51" s="26" t="s">
        <v>56</v>
      </c>
      <c r="X51" s="26" t="s">
        <v>42</v>
      </c>
      <c r="Y51" s="26" t="s">
        <v>56</v>
      </c>
      <c r="Z51" s="26" t="s">
        <v>41</v>
      </c>
      <c r="AA51" s="26" t="s">
        <v>42</v>
      </c>
      <c r="AB51" s="26" t="s">
        <v>41</v>
      </c>
      <c r="AC51" s="28" t="s">
        <v>56</v>
      </c>
      <c r="AD51" s="28" t="s">
        <v>42</v>
      </c>
      <c r="AE51" s="28" t="s">
        <v>56</v>
      </c>
      <c r="AF51" s="28" t="s">
        <v>41</v>
      </c>
      <c r="AG51" s="28" t="s">
        <v>42</v>
      </c>
      <c r="AH51" s="28" t="s">
        <v>41</v>
      </c>
      <c r="AI51" s="3">
        <v>36.6</v>
      </c>
      <c r="AJ51" s="3">
        <v>79.400000000000006</v>
      </c>
      <c r="AK51" s="3">
        <v>53.2</v>
      </c>
      <c r="AL51" s="3">
        <v>90.2</v>
      </c>
      <c r="AM51" s="1" t="s">
        <v>65</v>
      </c>
      <c r="AN51" s="1" t="s">
        <v>66</v>
      </c>
      <c r="AO51" s="1" t="s">
        <v>43</v>
      </c>
      <c r="AP51" s="1" t="s">
        <v>314</v>
      </c>
      <c r="AQ51" s="1" t="s">
        <v>413</v>
      </c>
      <c r="AR51" s="1" t="s">
        <v>361</v>
      </c>
      <c r="AS51" s="4"/>
      <c r="AT51" s="31">
        <v>41</v>
      </c>
      <c r="AU51" s="5"/>
      <c r="AV51" s="4"/>
      <c r="AW51" s="15">
        <f>AT51-AZ51</f>
        <v>8</v>
      </c>
      <c r="AX51" s="4">
        <f>AW51/AT51*100</f>
        <v>19.512195121951219</v>
      </c>
      <c r="AY51" s="4">
        <v>-1.1200000000000001</v>
      </c>
      <c r="AZ51" s="5">
        <v>33</v>
      </c>
      <c r="BA51" s="4">
        <f>SQRT(AZ51+AZ52)*(BC51-BB51)/(2*TINV(1-0.95,AZ51+AZ52-1))</f>
        <v>3.8644484449339682</v>
      </c>
      <c r="BB51" s="4">
        <v>-2.0699999999999998</v>
      </c>
      <c r="BC51" s="4">
        <v>-0.17</v>
      </c>
      <c r="BD51" s="4"/>
      <c r="BE51" s="1" t="s">
        <v>61</v>
      </c>
      <c r="BF51" s="1">
        <v>180</v>
      </c>
      <c r="BG51" s="1">
        <v>180</v>
      </c>
      <c r="BH51">
        <f>BF51-BG51</f>
        <v>0</v>
      </c>
      <c r="BI51" s="6"/>
    </row>
    <row r="52" spans="1:61" x14ac:dyDescent="0.2">
      <c r="A52" t="s">
        <v>338</v>
      </c>
      <c r="B52" s="1" t="s">
        <v>49</v>
      </c>
      <c r="C52" s="1">
        <v>2008</v>
      </c>
      <c r="D52" s="1" t="s">
        <v>62</v>
      </c>
      <c r="E52" s="1" t="s">
        <v>342</v>
      </c>
      <c r="F52" s="1" t="s">
        <v>506</v>
      </c>
      <c r="G52" s="1" t="s">
        <v>345</v>
      </c>
      <c r="H52" s="1" t="s">
        <v>63</v>
      </c>
      <c r="I52" s="2" t="s">
        <v>64</v>
      </c>
      <c r="J52" s="1" t="s">
        <v>52</v>
      </c>
      <c r="K52" s="2" t="s">
        <v>372</v>
      </c>
      <c r="L52" s="2" t="s">
        <v>386</v>
      </c>
      <c r="M52" s="2" t="s">
        <v>387</v>
      </c>
      <c r="N52" s="1" t="s">
        <v>53</v>
      </c>
      <c r="O52" s="1" t="s">
        <v>415</v>
      </c>
      <c r="P52" s="16" t="s">
        <v>404</v>
      </c>
      <c r="Q52" s="1" t="s">
        <v>417</v>
      </c>
      <c r="R52" s="16" t="s">
        <v>209</v>
      </c>
      <c r="S52" s="1" t="s">
        <v>54</v>
      </c>
      <c r="T52" s="1" t="s">
        <v>38</v>
      </c>
      <c r="U52" s="1" t="s">
        <v>55</v>
      </c>
      <c r="V52" s="1" t="s">
        <v>40</v>
      </c>
      <c r="W52" s="26" t="s">
        <v>56</v>
      </c>
      <c r="X52" s="26" t="s">
        <v>42</v>
      </c>
      <c r="Y52" s="26" t="s">
        <v>56</v>
      </c>
      <c r="Z52" s="26" t="s">
        <v>41</v>
      </c>
      <c r="AA52" s="26" t="s">
        <v>42</v>
      </c>
      <c r="AB52" s="26" t="s">
        <v>41</v>
      </c>
      <c r="AC52" s="28" t="s">
        <v>56</v>
      </c>
      <c r="AD52" s="28" t="s">
        <v>42</v>
      </c>
      <c r="AE52" s="28" t="s">
        <v>56</v>
      </c>
      <c r="AF52" s="28" t="s">
        <v>41</v>
      </c>
      <c r="AG52" s="28" t="s">
        <v>42</v>
      </c>
      <c r="AH52" s="28" t="s">
        <v>41</v>
      </c>
      <c r="AI52" s="3">
        <v>36.6</v>
      </c>
      <c r="AJ52" s="3">
        <v>79.400000000000006</v>
      </c>
      <c r="AK52" s="3">
        <v>53.2</v>
      </c>
      <c r="AL52" s="3">
        <v>90.2</v>
      </c>
      <c r="AM52" s="1" t="s">
        <v>65</v>
      </c>
      <c r="AN52" s="1" t="s">
        <v>66</v>
      </c>
      <c r="AO52" s="1" t="s">
        <v>43</v>
      </c>
      <c r="AP52" s="1" t="s">
        <v>252</v>
      </c>
      <c r="AQ52" s="1" t="s">
        <v>414</v>
      </c>
      <c r="AR52" s="1" t="s">
        <v>361</v>
      </c>
      <c r="AS52" s="4"/>
      <c r="AT52" s="31">
        <v>41</v>
      </c>
      <c r="AU52" s="5"/>
      <c r="AV52" s="4"/>
      <c r="AW52" s="15">
        <f>AT52-AZ52</f>
        <v>8</v>
      </c>
      <c r="AX52" s="4">
        <f>AW52/AT52*100</f>
        <v>19.512195121951219</v>
      </c>
      <c r="AY52" s="4">
        <v>-0.36</v>
      </c>
      <c r="AZ52" s="5">
        <v>33</v>
      </c>
      <c r="BA52" s="4">
        <f>SQRT(AZ52+AZ53)*(BC52-BB52)/(2*TINV(1-0.95,AZ52+AZ53-1))</f>
        <v>2.7051139114537781</v>
      </c>
      <c r="BB52" s="4">
        <v>-1.02</v>
      </c>
      <c r="BC52" s="4">
        <v>0.31</v>
      </c>
      <c r="BD52" s="4"/>
      <c r="BE52" s="1" t="s">
        <v>61</v>
      </c>
      <c r="BF52" s="1">
        <v>180</v>
      </c>
      <c r="BG52" s="1">
        <v>180</v>
      </c>
      <c r="BH52">
        <f>BF52-BG52</f>
        <v>0</v>
      </c>
      <c r="BI52" s="6"/>
    </row>
    <row r="53" spans="1:61" x14ac:dyDescent="0.2">
      <c r="A53" t="s">
        <v>338</v>
      </c>
      <c r="B53" s="1" t="s">
        <v>49</v>
      </c>
      <c r="C53" s="1">
        <v>2008</v>
      </c>
      <c r="D53" s="1" t="s">
        <v>62</v>
      </c>
      <c r="E53" s="1" t="s">
        <v>342</v>
      </c>
      <c r="F53" s="1" t="s">
        <v>506</v>
      </c>
      <c r="G53" s="1" t="s">
        <v>345</v>
      </c>
      <c r="H53" s="1" t="s">
        <v>63</v>
      </c>
      <c r="I53" s="2" t="s">
        <v>64</v>
      </c>
      <c r="J53" s="1" t="s">
        <v>52</v>
      </c>
      <c r="K53" s="2" t="s">
        <v>372</v>
      </c>
      <c r="L53" s="2" t="s">
        <v>386</v>
      </c>
      <c r="M53" s="2" t="s">
        <v>387</v>
      </c>
      <c r="N53" s="1" t="s">
        <v>53</v>
      </c>
      <c r="O53" s="1" t="s">
        <v>415</v>
      </c>
      <c r="P53" s="16" t="s">
        <v>404</v>
      </c>
      <c r="Q53" s="1" t="s">
        <v>417</v>
      </c>
      <c r="R53" s="16" t="s">
        <v>209</v>
      </c>
      <c r="S53" s="1" t="s">
        <v>54</v>
      </c>
      <c r="T53" s="1" t="s">
        <v>38</v>
      </c>
      <c r="U53" s="1" t="s">
        <v>55</v>
      </c>
      <c r="V53" s="1" t="s">
        <v>40</v>
      </c>
      <c r="W53" s="26" t="s">
        <v>56</v>
      </c>
      <c r="X53" s="26" t="s">
        <v>42</v>
      </c>
      <c r="Y53" s="26" t="s">
        <v>56</v>
      </c>
      <c r="Z53" s="26" t="s">
        <v>41</v>
      </c>
      <c r="AA53" s="26" t="s">
        <v>42</v>
      </c>
      <c r="AB53" s="26" t="s">
        <v>41</v>
      </c>
      <c r="AC53" s="28" t="s">
        <v>56</v>
      </c>
      <c r="AD53" s="28" t="s">
        <v>42</v>
      </c>
      <c r="AE53" s="28" t="s">
        <v>56</v>
      </c>
      <c r="AF53" s="28" t="s">
        <v>41</v>
      </c>
      <c r="AG53" s="28" t="s">
        <v>42</v>
      </c>
      <c r="AH53" s="28" t="s">
        <v>41</v>
      </c>
      <c r="AI53" s="3">
        <v>36.6</v>
      </c>
      <c r="AJ53" s="3">
        <v>79.400000000000006</v>
      </c>
      <c r="AK53" s="3">
        <v>53.2</v>
      </c>
      <c r="AL53" s="3">
        <v>90.2</v>
      </c>
      <c r="AM53" s="1" t="s">
        <v>65</v>
      </c>
      <c r="AN53" s="1" t="s">
        <v>66</v>
      </c>
      <c r="AO53" s="1" t="s">
        <v>43</v>
      </c>
      <c r="AP53" s="1" t="s">
        <v>316</v>
      </c>
      <c r="AQ53" s="1" t="s">
        <v>81</v>
      </c>
      <c r="AR53" s="1" t="s">
        <v>361</v>
      </c>
      <c r="AS53" s="4"/>
      <c r="AT53" s="31">
        <v>41</v>
      </c>
      <c r="AU53" s="5"/>
      <c r="AV53" s="4"/>
      <c r="AW53" s="15">
        <f>AT53-AZ53</f>
        <v>8</v>
      </c>
      <c r="AX53" s="4">
        <f>AW53/AT53*100</f>
        <v>19.512195121951219</v>
      </c>
      <c r="AY53" s="4">
        <v>-1.19</v>
      </c>
      <c r="AZ53" s="5">
        <v>33</v>
      </c>
      <c r="BA53" s="4">
        <f>SQRT(AZ53+AZ54)*(BC53-BB53)/(2*TINV(1-0.95,AZ53+AZ54-1))</f>
        <v>6.6915975704382928</v>
      </c>
      <c r="BB53" s="4">
        <v>-2.83</v>
      </c>
      <c r="BC53" s="4">
        <v>0.46</v>
      </c>
      <c r="BD53" s="4"/>
      <c r="BE53" s="1" t="s">
        <v>61</v>
      </c>
      <c r="BF53" s="1">
        <v>180</v>
      </c>
      <c r="BG53" s="1">
        <v>180</v>
      </c>
      <c r="BH53">
        <f>BF53-BG53</f>
        <v>0</v>
      </c>
      <c r="BI53" s="6"/>
    </row>
    <row r="54" spans="1:61" x14ac:dyDescent="0.2">
      <c r="A54" t="s">
        <v>338</v>
      </c>
      <c r="B54" s="1" t="s">
        <v>49</v>
      </c>
      <c r="C54" s="1">
        <v>2008</v>
      </c>
      <c r="D54" s="1" t="s">
        <v>62</v>
      </c>
      <c r="E54" s="1" t="s">
        <v>342</v>
      </c>
      <c r="F54" s="1" t="s">
        <v>506</v>
      </c>
      <c r="G54" s="1" t="s">
        <v>345</v>
      </c>
      <c r="H54" s="1" t="s">
        <v>63</v>
      </c>
      <c r="I54" s="2" t="s">
        <v>64</v>
      </c>
      <c r="J54" s="1" t="s">
        <v>52</v>
      </c>
      <c r="K54" s="2" t="s">
        <v>372</v>
      </c>
      <c r="L54" s="2" t="s">
        <v>386</v>
      </c>
      <c r="M54" s="2" t="s">
        <v>387</v>
      </c>
      <c r="N54" s="1" t="s">
        <v>53</v>
      </c>
      <c r="O54" s="1" t="s">
        <v>415</v>
      </c>
      <c r="P54" s="16" t="s">
        <v>404</v>
      </c>
      <c r="Q54" s="1" t="s">
        <v>417</v>
      </c>
      <c r="R54" s="16" t="s">
        <v>209</v>
      </c>
      <c r="S54" s="1" t="s">
        <v>54</v>
      </c>
      <c r="T54" s="1" t="s">
        <v>38</v>
      </c>
      <c r="U54" s="1" t="s">
        <v>55</v>
      </c>
      <c r="V54" s="1" t="s">
        <v>40</v>
      </c>
      <c r="W54" s="26" t="s">
        <v>56</v>
      </c>
      <c r="X54" s="26" t="s">
        <v>42</v>
      </c>
      <c r="Y54" s="26" t="s">
        <v>56</v>
      </c>
      <c r="Z54" s="26" t="s">
        <v>41</v>
      </c>
      <c r="AA54" s="26" t="s">
        <v>42</v>
      </c>
      <c r="AB54" s="26" t="s">
        <v>41</v>
      </c>
      <c r="AC54" s="28" t="s">
        <v>56</v>
      </c>
      <c r="AD54" s="28" t="s">
        <v>42</v>
      </c>
      <c r="AE54" s="28" t="s">
        <v>56</v>
      </c>
      <c r="AF54" s="28" t="s">
        <v>41</v>
      </c>
      <c r="AG54" s="28" t="s">
        <v>42</v>
      </c>
      <c r="AH54" s="28" t="s">
        <v>41</v>
      </c>
      <c r="AI54" s="3">
        <v>36.6</v>
      </c>
      <c r="AJ54" s="3">
        <v>79.400000000000006</v>
      </c>
      <c r="AK54" s="3">
        <v>53.2</v>
      </c>
      <c r="AL54" s="3">
        <v>90.2</v>
      </c>
      <c r="AM54" s="1" t="s">
        <v>65</v>
      </c>
      <c r="AN54" s="1" t="s">
        <v>66</v>
      </c>
      <c r="AO54" s="1" t="s">
        <v>43</v>
      </c>
      <c r="AP54" s="1" t="s">
        <v>73</v>
      </c>
      <c r="AQ54" s="1" t="s">
        <v>333</v>
      </c>
      <c r="AR54" s="1" t="s">
        <v>361</v>
      </c>
      <c r="AS54" s="4"/>
      <c r="AT54" s="31">
        <v>41</v>
      </c>
      <c r="AU54" s="5"/>
      <c r="AV54" s="4"/>
      <c r="AW54" s="15">
        <f>AT54-AZ54</f>
        <v>8</v>
      </c>
      <c r="AX54" s="4">
        <f>AW54/AT54*100</f>
        <v>19.512195121951219</v>
      </c>
      <c r="AY54" s="4">
        <v>-1.96</v>
      </c>
      <c r="AZ54" s="5">
        <v>33</v>
      </c>
      <c r="BA54" s="4">
        <f>SQRT(AZ54+AZ55)*(BC54-BB54)/(2*TINV(1-0.95,AZ54+AZ55-1))</f>
        <v>6.0001379836837216</v>
      </c>
      <c r="BB54" s="4">
        <v>-3.51</v>
      </c>
      <c r="BC54" s="4">
        <v>-0.41</v>
      </c>
      <c r="BD54" s="4"/>
      <c r="BE54" s="1" t="s">
        <v>61</v>
      </c>
      <c r="BF54" s="1">
        <v>180</v>
      </c>
      <c r="BG54" s="1">
        <v>180</v>
      </c>
      <c r="BH54">
        <f>BF54-BG54</f>
        <v>0</v>
      </c>
      <c r="BI54" s="6"/>
    </row>
    <row r="55" spans="1:61" x14ac:dyDescent="0.2">
      <c r="A55" t="s">
        <v>338</v>
      </c>
      <c r="B55" s="1" t="s">
        <v>67</v>
      </c>
      <c r="C55" s="1">
        <v>2011</v>
      </c>
      <c r="D55" s="1" t="s">
        <v>68</v>
      </c>
      <c r="E55" s="1" t="s">
        <v>342</v>
      </c>
      <c r="F55" s="1" t="s">
        <v>506</v>
      </c>
      <c r="G55" s="1" t="s">
        <v>343</v>
      </c>
      <c r="H55" s="1" t="s">
        <v>63</v>
      </c>
      <c r="I55" s="2" t="s">
        <v>64</v>
      </c>
      <c r="J55" s="1" t="s">
        <v>69</v>
      </c>
      <c r="K55" s="2" t="s">
        <v>372</v>
      </c>
      <c r="L55" s="2" t="s">
        <v>392</v>
      </c>
      <c r="M55" s="2" t="s">
        <v>387</v>
      </c>
      <c r="N55" s="1" t="s">
        <v>376</v>
      </c>
      <c r="O55" s="1" t="s">
        <v>426</v>
      </c>
      <c r="P55" s="1" t="s">
        <v>379</v>
      </c>
      <c r="Q55" s="1" t="s">
        <v>424</v>
      </c>
      <c r="R55" s="1" t="s">
        <v>209</v>
      </c>
      <c r="S55" s="1" t="s">
        <v>54</v>
      </c>
      <c r="T55" s="1" t="s">
        <v>38</v>
      </c>
      <c r="U55" s="1" t="s">
        <v>70</v>
      </c>
      <c r="V55" s="1" t="s">
        <v>40</v>
      </c>
      <c r="W55" s="1" t="s">
        <v>56</v>
      </c>
      <c r="X55" s="1" t="s">
        <v>42</v>
      </c>
      <c r="Y55" s="1" t="s">
        <v>56</v>
      </c>
      <c r="Z55" s="1" t="s">
        <v>41</v>
      </c>
      <c r="AA55" s="1" t="s">
        <v>42</v>
      </c>
      <c r="AB55" s="1" t="s">
        <v>41</v>
      </c>
      <c r="AC55" s="1" t="s">
        <v>56</v>
      </c>
      <c r="AD55" s="1" t="s">
        <v>42</v>
      </c>
      <c r="AE55" s="1" t="s">
        <v>56</v>
      </c>
      <c r="AF55" s="1" t="s">
        <v>41</v>
      </c>
      <c r="AG55" s="1" t="s">
        <v>42</v>
      </c>
      <c r="AH55" s="1" t="s">
        <v>41</v>
      </c>
      <c r="AI55" s="10">
        <v>79.3</v>
      </c>
      <c r="AJ55" s="3">
        <v>81.7</v>
      </c>
      <c r="AK55" s="3">
        <v>53.3</v>
      </c>
      <c r="AL55" s="3">
        <v>85.7</v>
      </c>
      <c r="AM55" s="1" t="s">
        <v>71</v>
      </c>
      <c r="AN55" s="1" t="s">
        <v>72</v>
      </c>
      <c r="AO55" s="1" t="s">
        <v>43</v>
      </c>
      <c r="AP55" s="1" t="s">
        <v>44</v>
      </c>
      <c r="AQ55" s="1" t="s">
        <v>45</v>
      </c>
      <c r="AR55" s="1" t="s">
        <v>60</v>
      </c>
      <c r="AS55" s="4"/>
      <c r="AT55" s="31">
        <v>29</v>
      </c>
      <c r="AU55" s="5">
        <v>29</v>
      </c>
      <c r="AV55" s="4"/>
      <c r="AW55" s="15">
        <f>AT55-AZ55</f>
        <v>2</v>
      </c>
      <c r="AX55" s="4">
        <f>AW55/AT55*100</f>
        <v>6.8965517241379306</v>
      </c>
      <c r="AY55" s="4">
        <v>-1.02</v>
      </c>
      <c r="AZ55" s="5">
        <v>27</v>
      </c>
      <c r="BA55" s="4">
        <f>SQRT(AZ55+AZ56)*(BC55-BB55)*0.5/TINV(1-0.95,AZ55+AZ56-1)</f>
        <v>1.8684914815768217</v>
      </c>
      <c r="BB55" s="4">
        <v>-1.53</v>
      </c>
      <c r="BC55" s="4">
        <v>-0.51</v>
      </c>
      <c r="BD55" s="4"/>
      <c r="BE55" s="1" t="s">
        <v>265</v>
      </c>
      <c r="BF55" s="1">
        <v>180</v>
      </c>
      <c r="BG55" s="1">
        <v>35</v>
      </c>
      <c r="BH55">
        <f>BF55-BG55</f>
        <v>145</v>
      </c>
      <c r="BI55" s="6"/>
    </row>
    <row r="56" spans="1:61" x14ac:dyDescent="0.2">
      <c r="A56" t="s">
        <v>338</v>
      </c>
      <c r="B56" s="1" t="s">
        <v>67</v>
      </c>
      <c r="C56" s="1">
        <v>2011</v>
      </c>
      <c r="D56" s="1" t="s">
        <v>68</v>
      </c>
      <c r="E56" s="1" t="s">
        <v>342</v>
      </c>
      <c r="F56" s="1" t="s">
        <v>506</v>
      </c>
      <c r="G56" s="1" t="s">
        <v>343</v>
      </c>
      <c r="H56" s="1" t="s">
        <v>63</v>
      </c>
      <c r="I56" s="2" t="s">
        <v>64</v>
      </c>
      <c r="J56" s="1" t="s">
        <v>69</v>
      </c>
      <c r="K56" s="2" t="s">
        <v>372</v>
      </c>
      <c r="L56" s="2" t="s">
        <v>392</v>
      </c>
      <c r="M56" s="2" t="s">
        <v>387</v>
      </c>
      <c r="N56" s="1" t="s">
        <v>376</v>
      </c>
      <c r="O56" s="1" t="s">
        <v>426</v>
      </c>
      <c r="P56" s="1" t="s">
        <v>379</v>
      </c>
      <c r="Q56" s="1" t="s">
        <v>424</v>
      </c>
      <c r="R56" s="1" t="s">
        <v>209</v>
      </c>
      <c r="S56" s="1" t="s">
        <v>54</v>
      </c>
      <c r="T56" s="1" t="s">
        <v>38</v>
      </c>
      <c r="U56" s="1" t="s">
        <v>70</v>
      </c>
      <c r="V56" s="1" t="s">
        <v>40</v>
      </c>
      <c r="W56" s="1" t="s">
        <v>56</v>
      </c>
      <c r="X56" s="1" t="s">
        <v>42</v>
      </c>
      <c r="Y56" s="1" t="s">
        <v>56</v>
      </c>
      <c r="Z56" s="1" t="s">
        <v>41</v>
      </c>
      <c r="AA56" s="1" t="s">
        <v>42</v>
      </c>
      <c r="AB56" s="1" t="s">
        <v>41</v>
      </c>
      <c r="AC56" s="1" t="s">
        <v>56</v>
      </c>
      <c r="AD56" s="1" t="s">
        <v>42</v>
      </c>
      <c r="AE56" s="1" t="s">
        <v>56</v>
      </c>
      <c r="AF56" s="1" t="s">
        <v>41</v>
      </c>
      <c r="AG56" s="1" t="s">
        <v>42</v>
      </c>
      <c r="AH56" s="1" t="s">
        <v>41</v>
      </c>
      <c r="AI56" s="10">
        <v>79.3</v>
      </c>
      <c r="AJ56" s="3">
        <v>81.7</v>
      </c>
      <c r="AK56" s="3">
        <v>53.3</v>
      </c>
      <c r="AL56" s="3">
        <v>85.7</v>
      </c>
      <c r="AM56" s="1" t="s">
        <v>71</v>
      </c>
      <c r="AN56" s="1" t="s">
        <v>72</v>
      </c>
      <c r="AO56" s="1" t="s">
        <v>43</v>
      </c>
      <c r="AP56" s="1" t="s">
        <v>73</v>
      </c>
      <c r="AQ56" s="1" t="s">
        <v>333</v>
      </c>
      <c r="AR56" s="1" t="s">
        <v>60</v>
      </c>
      <c r="AS56" s="4"/>
      <c r="AT56" s="31">
        <v>29</v>
      </c>
      <c r="AU56" s="5">
        <v>29</v>
      </c>
      <c r="AV56" s="4"/>
      <c r="AW56" s="15">
        <f>AT56-AZ56</f>
        <v>2</v>
      </c>
      <c r="AX56" s="4">
        <f>AW56/AT56*100</f>
        <v>6.8965517241379306</v>
      </c>
      <c r="AY56" s="4">
        <v>-0.09</v>
      </c>
      <c r="AZ56" s="5">
        <v>27</v>
      </c>
      <c r="BA56" s="4">
        <f>SQRT(AZ56+AZ57)*(BC56-BB56)*0.5/TINV(1-0.95,AZ56+AZ57-1)</f>
        <v>2.0516769209470982</v>
      </c>
      <c r="BB56" s="4">
        <v>-0.64</v>
      </c>
      <c r="BC56" s="4">
        <v>0.48</v>
      </c>
      <c r="BD56" s="4"/>
      <c r="BE56" s="1" t="s">
        <v>265</v>
      </c>
      <c r="BF56" s="1">
        <v>180</v>
      </c>
      <c r="BG56" s="1">
        <v>35</v>
      </c>
      <c r="BH56">
        <f>BF56-BG56</f>
        <v>145</v>
      </c>
      <c r="BI56" s="6"/>
    </row>
    <row r="57" spans="1:61" x14ac:dyDescent="0.2">
      <c r="A57" t="s">
        <v>338</v>
      </c>
      <c r="B57" s="1" t="s">
        <v>67</v>
      </c>
      <c r="C57" s="1">
        <v>2011</v>
      </c>
      <c r="D57" s="1" t="s">
        <v>68</v>
      </c>
      <c r="E57" s="1" t="s">
        <v>342</v>
      </c>
      <c r="F57" s="1" t="s">
        <v>506</v>
      </c>
      <c r="G57" s="1" t="s">
        <v>343</v>
      </c>
      <c r="H57" s="1" t="s">
        <v>63</v>
      </c>
      <c r="I57" s="2" t="s">
        <v>64</v>
      </c>
      <c r="J57" s="1" t="s">
        <v>69</v>
      </c>
      <c r="K57" s="2" t="s">
        <v>372</v>
      </c>
      <c r="L57" s="2" t="s">
        <v>392</v>
      </c>
      <c r="M57" s="2" t="s">
        <v>387</v>
      </c>
      <c r="N57" s="1" t="s">
        <v>376</v>
      </c>
      <c r="O57" s="1" t="s">
        <v>426</v>
      </c>
      <c r="P57" s="1" t="s">
        <v>379</v>
      </c>
      <c r="Q57" s="1" t="s">
        <v>424</v>
      </c>
      <c r="R57" s="1" t="s">
        <v>209</v>
      </c>
      <c r="S57" s="1" t="s">
        <v>54</v>
      </c>
      <c r="T57" s="1" t="s">
        <v>38</v>
      </c>
      <c r="U57" s="1" t="s">
        <v>70</v>
      </c>
      <c r="V57" s="1" t="s">
        <v>40</v>
      </c>
      <c r="W57" s="1" t="s">
        <v>56</v>
      </c>
      <c r="X57" s="1" t="s">
        <v>42</v>
      </c>
      <c r="Y57" s="1" t="s">
        <v>56</v>
      </c>
      <c r="Z57" s="1" t="s">
        <v>41</v>
      </c>
      <c r="AA57" s="1" t="s">
        <v>42</v>
      </c>
      <c r="AB57" s="1" t="s">
        <v>41</v>
      </c>
      <c r="AC57" s="1" t="s">
        <v>56</v>
      </c>
      <c r="AD57" s="1" t="s">
        <v>42</v>
      </c>
      <c r="AE57" s="1" t="s">
        <v>56</v>
      </c>
      <c r="AF57" s="1" t="s">
        <v>41</v>
      </c>
      <c r="AG57" s="1" t="s">
        <v>42</v>
      </c>
      <c r="AH57" s="1" t="s">
        <v>41</v>
      </c>
      <c r="AI57" s="10">
        <v>79.3</v>
      </c>
      <c r="AJ57" s="3">
        <v>81.7</v>
      </c>
      <c r="AK57" s="3">
        <v>53.3</v>
      </c>
      <c r="AL57" s="3">
        <v>85.7</v>
      </c>
      <c r="AM57" s="1" t="s">
        <v>71</v>
      </c>
      <c r="AN57" s="1" t="s">
        <v>72</v>
      </c>
      <c r="AO57" s="1" t="s">
        <v>43</v>
      </c>
      <c r="AP57" s="1" t="s">
        <v>77</v>
      </c>
      <c r="AQ57" s="1" t="s">
        <v>78</v>
      </c>
      <c r="AR57" s="1" t="s">
        <v>60</v>
      </c>
      <c r="AS57" s="4"/>
      <c r="AT57" s="31">
        <v>29</v>
      </c>
      <c r="AU57" s="5">
        <v>29</v>
      </c>
      <c r="AV57" s="4"/>
      <c r="AW57" s="15">
        <f>AT57-AZ57</f>
        <v>2</v>
      </c>
      <c r="AX57" s="4">
        <f>AW57/AT57*100</f>
        <v>6.8965517241379306</v>
      </c>
      <c r="AY57" s="4">
        <v>-0.22</v>
      </c>
      <c r="AZ57" s="5">
        <v>27</v>
      </c>
      <c r="BA57" s="4">
        <f>SQRT(AZ57+AZ58)*(BC57-BB57)*0.5/TINV(1-0.95,AZ57+AZ58-1)</f>
        <v>1.9234471133879045</v>
      </c>
      <c r="BB57" s="4">
        <v>-0.75</v>
      </c>
      <c r="BC57" s="4">
        <v>0.3</v>
      </c>
      <c r="BD57" s="4"/>
      <c r="BE57" s="1" t="s">
        <v>265</v>
      </c>
      <c r="BF57" s="1">
        <v>180</v>
      </c>
      <c r="BG57" s="1">
        <v>35</v>
      </c>
      <c r="BH57">
        <f>BF57-BG57</f>
        <v>145</v>
      </c>
      <c r="BI57" s="6"/>
    </row>
    <row r="58" spans="1:61" x14ac:dyDescent="0.2">
      <c r="A58" t="s">
        <v>338</v>
      </c>
      <c r="B58" s="1" t="s">
        <v>67</v>
      </c>
      <c r="C58" s="1">
        <v>2011</v>
      </c>
      <c r="D58" s="1" t="s">
        <v>68</v>
      </c>
      <c r="E58" s="1" t="s">
        <v>342</v>
      </c>
      <c r="F58" s="1" t="s">
        <v>506</v>
      </c>
      <c r="G58" s="1" t="s">
        <v>343</v>
      </c>
      <c r="H58" s="1" t="s">
        <v>63</v>
      </c>
      <c r="I58" s="2" t="s">
        <v>64</v>
      </c>
      <c r="J58" s="1" t="s">
        <v>69</v>
      </c>
      <c r="K58" s="2" t="s">
        <v>372</v>
      </c>
      <c r="L58" s="2" t="s">
        <v>392</v>
      </c>
      <c r="M58" s="2" t="s">
        <v>387</v>
      </c>
      <c r="N58" s="1" t="s">
        <v>376</v>
      </c>
      <c r="O58" s="1" t="s">
        <v>426</v>
      </c>
      <c r="P58" s="1" t="s">
        <v>379</v>
      </c>
      <c r="Q58" s="1" t="s">
        <v>424</v>
      </c>
      <c r="R58" s="1" t="s">
        <v>209</v>
      </c>
      <c r="S58" s="1" t="s">
        <v>54</v>
      </c>
      <c r="T58" s="1" t="s">
        <v>38</v>
      </c>
      <c r="U58" s="1" t="s">
        <v>70</v>
      </c>
      <c r="V58" s="1" t="s">
        <v>40</v>
      </c>
      <c r="W58" s="1" t="s">
        <v>56</v>
      </c>
      <c r="X58" s="1" t="s">
        <v>42</v>
      </c>
      <c r="Y58" s="1" t="s">
        <v>56</v>
      </c>
      <c r="Z58" s="1" t="s">
        <v>41</v>
      </c>
      <c r="AA58" s="1" t="s">
        <v>42</v>
      </c>
      <c r="AB58" s="1" t="s">
        <v>41</v>
      </c>
      <c r="AC58" s="1" t="s">
        <v>56</v>
      </c>
      <c r="AD58" s="1" t="s">
        <v>42</v>
      </c>
      <c r="AE58" s="1" t="s">
        <v>56</v>
      </c>
      <c r="AF58" s="1" t="s">
        <v>41</v>
      </c>
      <c r="AG58" s="1" t="s">
        <v>42</v>
      </c>
      <c r="AH58" s="1" t="s">
        <v>41</v>
      </c>
      <c r="AI58" s="10">
        <v>79.3</v>
      </c>
      <c r="AJ58" s="3">
        <v>81.7</v>
      </c>
      <c r="AK58" s="3">
        <v>53.3</v>
      </c>
      <c r="AL58" s="3">
        <v>85.7</v>
      </c>
      <c r="AM58" s="1" t="s">
        <v>71</v>
      </c>
      <c r="AN58" s="1" t="s">
        <v>72</v>
      </c>
      <c r="AO58" s="1" t="s">
        <v>43</v>
      </c>
      <c r="AP58" s="1" t="s">
        <v>79</v>
      </c>
      <c r="AQ58" s="1" t="s">
        <v>78</v>
      </c>
      <c r="AR58" s="1" t="s">
        <v>60</v>
      </c>
      <c r="AS58" s="4"/>
      <c r="AT58" s="31">
        <v>29</v>
      </c>
      <c r="AU58" s="5">
        <v>29</v>
      </c>
      <c r="AV58" s="4"/>
      <c r="AW58" s="15">
        <f>AT58-AZ58</f>
        <v>2</v>
      </c>
      <c r="AX58" s="4">
        <f>AW58/AT58*100</f>
        <v>6.8965517241379306</v>
      </c>
      <c r="AY58" s="4">
        <v>0.49</v>
      </c>
      <c r="AZ58" s="5">
        <v>27</v>
      </c>
      <c r="BA58" s="4">
        <f>SQRT(AZ58+AZ59)*(BC58-BB58)*0.5/TINV(1-0.95,AZ58+AZ59-1)</f>
        <v>1.8135358497657386</v>
      </c>
      <c r="BB58" s="4">
        <v>0</v>
      </c>
      <c r="BC58" s="4">
        <v>0.99</v>
      </c>
      <c r="BD58" s="4"/>
      <c r="BE58" s="1" t="s">
        <v>265</v>
      </c>
      <c r="BF58" s="1">
        <v>180</v>
      </c>
      <c r="BG58" s="1">
        <v>35</v>
      </c>
      <c r="BH58">
        <f>BF58-BG58</f>
        <v>145</v>
      </c>
      <c r="BI58" s="6"/>
    </row>
    <row r="59" spans="1:61" x14ac:dyDescent="0.2">
      <c r="A59" t="s">
        <v>338</v>
      </c>
      <c r="B59" s="1" t="s">
        <v>67</v>
      </c>
      <c r="C59" s="1">
        <v>2011</v>
      </c>
      <c r="D59" s="1" t="s">
        <v>68</v>
      </c>
      <c r="E59" s="1" t="s">
        <v>342</v>
      </c>
      <c r="F59" s="1" t="s">
        <v>506</v>
      </c>
      <c r="G59" s="1" t="s">
        <v>343</v>
      </c>
      <c r="H59" s="1" t="s">
        <v>63</v>
      </c>
      <c r="I59" s="2" t="s">
        <v>64</v>
      </c>
      <c r="J59" s="1" t="s">
        <v>69</v>
      </c>
      <c r="K59" s="2" t="s">
        <v>372</v>
      </c>
      <c r="L59" s="2" t="s">
        <v>392</v>
      </c>
      <c r="M59" s="2" t="s">
        <v>387</v>
      </c>
      <c r="N59" s="1" t="s">
        <v>376</v>
      </c>
      <c r="O59" s="1" t="s">
        <v>426</v>
      </c>
      <c r="P59" s="1" t="s">
        <v>379</v>
      </c>
      <c r="Q59" s="1" t="s">
        <v>424</v>
      </c>
      <c r="R59" s="1" t="s">
        <v>209</v>
      </c>
      <c r="S59" s="1" t="s">
        <v>54</v>
      </c>
      <c r="T59" s="1" t="s">
        <v>38</v>
      </c>
      <c r="U59" s="1" t="s">
        <v>70</v>
      </c>
      <c r="V59" s="1" t="s">
        <v>40</v>
      </c>
      <c r="W59" s="1" t="s">
        <v>56</v>
      </c>
      <c r="X59" s="1" t="s">
        <v>42</v>
      </c>
      <c r="Y59" s="1" t="s">
        <v>56</v>
      </c>
      <c r="Z59" s="1" t="s">
        <v>41</v>
      </c>
      <c r="AA59" s="1" t="s">
        <v>42</v>
      </c>
      <c r="AB59" s="1" t="s">
        <v>41</v>
      </c>
      <c r="AC59" s="1" t="s">
        <v>56</v>
      </c>
      <c r="AD59" s="1" t="s">
        <v>42</v>
      </c>
      <c r="AE59" s="1" t="s">
        <v>56</v>
      </c>
      <c r="AF59" s="1" t="s">
        <v>41</v>
      </c>
      <c r="AG59" s="1" t="s">
        <v>42</v>
      </c>
      <c r="AH59" s="1" t="s">
        <v>41</v>
      </c>
      <c r="AI59" s="10">
        <v>79.3</v>
      </c>
      <c r="AJ59" s="3">
        <v>81.7</v>
      </c>
      <c r="AK59" s="3">
        <v>53.3</v>
      </c>
      <c r="AL59" s="3">
        <v>85.7</v>
      </c>
      <c r="AM59" s="1" t="s">
        <v>71</v>
      </c>
      <c r="AN59" s="1" t="s">
        <v>72</v>
      </c>
      <c r="AO59" s="1" t="s">
        <v>43</v>
      </c>
      <c r="AP59" s="1" t="s">
        <v>425</v>
      </c>
      <c r="AQ59" s="1" t="s">
        <v>80</v>
      </c>
      <c r="AR59" s="1" t="s">
        <v>60</v>
      </c>
      <c r="AS59" s="4"/>
      <c r="AT59" s="31">
        <v>29</v>
      </c>
      <c r="AU59" s="5">
        <v>29</v>
      </c>
      <c r="AV59" s="4"/>
      <c r="AW59" s="15">
        <f>AT59-AZ59</f>
        <v>2</v>
      </c>
      <c r="AX59" s="4">
        <f>AW59/AT59*100</f>
        <v>6.8965517241379306</v>
      </c>
      <c r="AY59" s="4">
        <v>-0.14000000000000001</v>
      </c>
      <c r="AZ59" s="5">
        <v>27</v>
      </c>
      <c r="BA59" s="4">
        <f>SQRT(AZ59+AZ60)*(BC59-BB59)*0.5/TINV(1-0.95,AZ59+AZ60-1)</f>
        <v>1.9417656573249322</v>
      </c>
      <c r="BB59" s="4">
        <v>-0.66</v>
      </c>
      <c r="BC59" s="4">
        <v>0.4</v>
      </c>
      <c r="BD59" s="4"/>
      <c r="BE59" s="1" t="s">
        <v>265</v>
      </c>
      <c r="BF59" s="1">
        <v>180</v>
      </c>
      <c r="BG59" s="1">
        <v>35</v>
      </c>
      <c r="BH59">
        <f>BF59-BG59</f>
        <v>145</v>
      </c>
      <c r="BI59" s="6"/>
    </row>
    <row r="60" spans="1:61" x14ac:dyDescent="0.2">
      <c r="A60" t="s">
        <v>338</v>
      </c>
      <c r="B60" s="1" t="s">
        <v>67</v>
      </c>
      <c r="C60" s="1">
        <v>2011</v>
      </c>
      <c r="D60" s="1" t="s">
        <v>68</v>
      </c>
      <c r="E60" s="1" t="s">
        <v>342</v>
      </c>
      <c r="F60" s="1" t="s">
        <v>506</v>
      </c>
      <c r="G60" s="1" t="s">
        <v>343</v>
      </c>
      <c r="H60" s="1" t="s">
        <v>63</v>
      </c>
      <c r="I60" s="2" t="s">
        <v>64</v>
      </c>
      <c r="J60" s="1" t="s">
        <v>69</v>
      </c>
      <c r="K60" s="2" t="s">
        <v>372</v>
      </c>
      <c r="L60" s="2" t="s">
        <v>392</v>
      </c>
      <c r="M60" s="2" t="s">
        <v>387</v>
      </c>
      <c r="N60" s="1" t="s">
        <v>376</v>
      </c>
      <c r="O60" s="1" t="s">
        <v>426</v>
      </c>
      <c r="P60" s="1" t="s">
        <v>379</v>
      </c>
      <c r="Q60" s="1" t="s">
        <v>424</v>
      </c>
      <c r="R60" s="1" t="s">
        <v>209</v>
      </c>
      <c r="S60" s="1" t="s">
        <v>54</v>
      </c>
      <c r="T60" s="1" t="s">
        <v>38</v>
      </c>
      <c r="U60" s="1" t="s">
        <v>70</v>
      </c>
      <c r="V60" s="1" t="s">
        <v>40</v>
      </c>
      <c r="W60" s="1" t="s">
        <v>56</v>
      </c>
      <c r="X60" s="1" t="s">
        <v>42</v>
      </c>
      <c r="Y60" s="1" t="s">
        <v>56</v>
      </c>
      <c r="Z60" s="1" t="s">
        <v>41</v>
      </c>
      <c r="AA60" s="1" t="s">
        <v>42</v>
      </c>
      <c r="AB60" s="1" t="s">
        <v>41</v>
      </c>
      <c r="AC60" s="1" t="s">
        <v>56</v>
      </c>
      <c r="AD60" s="1" t="s">
        <v>42</v>
      </c>
      <c r="AE60" s="1" t="s">
        <v>56</v>
      </c>
      <c r="AF60" s="1" t="s">
        <v>41</v>
      </c>
      <c r="AG60" s="1" t="s">
        <v>42</v>
      </c>
      <c r="AH60" s="1" t="s">
        <v>41</v>
      </c>
      <c r="AI60" s="10">
        <v>79.3</v>
      </c>
      <c r="AJ60" s="3">
        <v>81.7</v>
      </c>
      <c r="AK60" s="3">
        <v>53.3</v>
      </c>
      <c r="AL60" s="3">
        <v>85.7</v>
      </c>
      <c r="AM60" s="1" t="s">
        <v>71</v>
      </c>
      <c r="AN60" s="1" t="s">
        <v>72</v>
      </c>
      <c r="AO60" s="1" t="s">
        <v>43</v>
      </c>
      <c r="AP60" s="1" t="s">
        <v>369</v>
      </c>
      <c r="AQ60" s="1" t="s">
        <v>78</v>
      </c>
      <c r="AR60" s="1" t="s">
        <v>60</v>
      </c>
      <c r="AS60" s="4"/>
      <c r="AT60" s="31">
        <v>29</v>
      </c>
      <c r="AU60" s="5">
        <v>29</v>
      </c>
      <c r="AV60" s="4"/>
      <c r="AW60" s="15">
        <f>AT60-AZ60</f>
        <v>2</v>
      </c>
      <c r="AX60" s="4">
        <f>AW60/AT60*100</f>
        <v>6.8965517241379306</v>
      </c>
      <c r="AY60" s="4">
        <v>0.1</v>
      </c>
      <c r="AZ60" s="5">
        <v>27</v>
      </c>
      <c r="BA60" s="4">
        <f>SQRT(AZ60+AZ61)*(BC60-BB60)*0.5/TINV(1-0.95,AZ60+AZ61-1)</f>
        <v>2.1066325527581808</v>
      </c>
      <c r="BB60" s="4">
        <v>-0.47</v>
      </c>
      <c r="BC60" s="4">
        <v>0.68</v>
      </c>
      <c r="BD60" s="4"/>
      <c r="BE60" s="1" t="s">
        <v>265</v>
      </c>
      <c r="BF60" s="1">
        <v>180</v>
      </c>
      <c r="BG60" s="1">
        <v>35</v>
      </c>
      <c r="BH60">
        <f>BF60-BG60</f>
        <v>145</v>
      </c>
      <c r="BI60" s="6"/>
    </row>
    <row r="61" spans="1:61" x14ac:dyDescent="0.2">
      <c r="A61" t="s">
        <v>338</v>
      </c>
      <c r="B61" s="1" t="s">
        <v>67</v>
      </c>
      <c r="C61" s="1">
        <v>2011</v>
      </c>
      <c r="D61" s="1" t="s">
        <v>68</v>
      </c>
      <c r="E61" s="1" t="s">
        <v>342</v>
      </c>
      <c r="F61" s="1" t="s">
        <v>506</v>
      </c>
      <c r="G61" s="1" t="s">
        <v>343</v>
      </c>
      <c r="H61" s="1" t="s">
        <v>63</v>
      </c>
      <c r="I61" s="2" t="s">
        <v>64</v>
      </c>
      <c r="J61" s="1" t="s">
        <v>69</v>
      </c>
      <c r="K61" s="2" t="s">
        <v>372</v>
      </c>
      <c r="L61" s="2" t="s">
        <v>392</v>
      </c>
      <c r="M61" s="2" t="s">
        <v>387</v>
      </c>
      <c r="N61" s="1" t="s">
        <v>376</v>
      </c>
      <c r="O61" s="1" t="s">
        <v>426</v>
      </c>
      <c r="P61" s="1" t="s">
        <v>379</v>
      </c>
      <c r="Q61" s="1" t="s">
        <v>424</v>
      </c>
      <c r="R61" s="1" t="s">
        <v>209</v>
      </c>
      <c r="S61" s="1" t="s">
        <v>54</v>
      </c>
      <c r="T61" s="1" t="s">
        <v>38</v>
      </c>
      <c r="U61" s="1" t="s">
        <v>70</v>
      </c>
      <c r="V61" s="1" t="s">
        <v>40</v>
      </c>
      <c r="W61" s="1" t="s">
        <v>56</v>
      </c>
      <c r="X61" s="1" t="s">
        <v>42</v>
      </c>
      <c r="Y61" s="1" t="s">
        <v>56</v>
      </c>
      <c r="Z61" s="1" t="s">
        <v>41</v>
      </c>
      <c r="AA61" s="1" t="s">
        <v>42</v>
      </c>
      <c r="AB61" s="1" t="s">
        <v>41</v>
      </c>
      <c r="AC61" s="1" t="s">
        <v>56</v>
      </c>
      <c r="AD61" s="1" t="s">
        <v>42</v>
      </c>
      <c r="AE61" s="1" t="s">
        <v>56</v>
      </c>
      <c r="AF61" s="1" t="s">
        <v>41</v>
      </c>
      <c r="AG61" s="1" t="s">
        <v>42</v>
      </c>
      <c r="AH61" s="1" t="s">
        <v>41</v>
      </c>
      <c r="AI61" s="10">
        <v>79.3</v>
      </c>
      <c r="AJ61" s="3">
        <v>81.7</v>
      </c>
      <c r="AK61" s="3">
        <v>53.3</v>
      </c>
      <c r="AL61" s="3">
        <v>85.7</v>
      </c>
      <c r="AM61" s="1" t="s">
        <v>71</v>
      </c>
      <c r="AN61" s="1" t="s">
        <v>72</v>
      </c>
      <c r="AO61" s="1" t="s">
        <v>43</v>
      </c>
      <c r="AP61" s="1" t="s">
        <v>179</v>
      </c>
      <c r="AQ61" s="1" t="s">
        <v>78</v>
      </c>
      <c r="AR61" s="1" t="s">
        <v>60</v>
      </c>
      <c r="AS61" s="4"/>
      <c r="AT61" s="31">
        <v>29</v>
      </c>
      <c r="AU61" s="5">
        <v>29</v>
      </c>
      <c r="AV61" s="4"/>
      <c r="AW61" s="15">
        <f>AT61-AZ61</f>
        <v>2</v>
      </c>
      <c r="AX61" s="4">
        <f>AW61/AT61*100</f>
        <v>6.8965517241379306</v>
      </c>
      <c r="AY61" s="4">
        <v>0.39</v>
      </c>
      <c r="AZ61" s="5">
        <v>27</v>
      </c>
      <c r="BA61" s="4">
        <f>SQRT(AZ61+AZ62)*(BC61-BB61)*0.5/TINV(1-0.95,AZ61+AZ62-1)</f>
        <v>1.9784027451989876</v>
      </c>
      <c r="BB61" s="4">
        <v>-0.15</v>
      </c>
      <c r="BC61" s="4">
        <v>0.93</v>
      </c>
      <c r="BD61" s="4"/>
      <c r="BE61" s="1" t="s">
        <v>265</v>
      </c>
      <c r="BF61" s="1">
        <v>180</v>
      </c>
      <c r="BG61" s="1">
        <v>35</v>
      </c>
      <c r="BH61">
        <f>BF61-BG61</f>
        <v>145</v>
      </c>
      <c r="BI61" s="6"/>
    </row>
    <row r="62" spans="1:61" x14ac:dyDescent="0.2">
      <c r="A62" t="s">
        <v>338</v>
      </c>
      <c r="B62" s="1" t="s">
        <v>67</v>
      </c>
      <c r="C62" s="1">
        <v>2011</v>
      </c>
      <c r="D62" s="1" t="s">
        <v>68</v>
      </c>
      <c r="E62" s="1" t="s">
        <v>342</v>
      </c>
      <c r="F62" s="1" t="s">
        <v>506</v>
      </c>
      <c r="G62" s="1" t="s">
        <v>343</v>
      </c>
      <c r="H62" s="1" t="s">
        <v>63</v>
      </c>
      <c r="I62" s="2" t="s">
        <v>64</v>
      </c>
      <c r="J62" s="1" t="s">
        <v>69</v>
      </c>
      <c r="K62" s="2" t="s">
        <v>372</v>
      </c>
      <c r="L62" s="2" t="s">
        <v>392</v>
      </c>
      <c r="M62" s="2" t="s">
        <v>387</v>
      </c>
      <c r="N62" s="1" t="s">
        <v>376</v>
      </c>
      <c r="O62" s="1" t="s">
        <v>426</v>
      </c>
      <c r="P62" s="1" t="s">
        <v>379</v>
      </c>
      <c r="Q62" s="1" t="s">
        <v>424</v>
      </c>
      <c r="R62" s="1" t="s">
        <v>209</v>
      </c>
      <c r="S62" s="1" t="s">
        <v>54</v>
      </c>
      <c r="T62" s="1" t="s">
        <v>38</v>
      </c>
      <c r="U62" s="1" t="s">
        <v>70</v>
      </c>
      <c r="V62" s="1" t="s">
        <v>40</v>
      </c>
      <c r="W62" s="1" t="s">
        <v>56</v>
      </c>
      <c r="X62" s="1" t="s">
        <v>42</v>
      </c>
      <c r="Y62" s="1" t="s">
        <v>56</v>
      </c>
      <c r="Z62" s="1" t="s">
        <v>41</v>
      </c>
      <c r="AA62" s="1" t="s">
        <v>42</v>
      </c>
      <c r="AB62" s="1" t="s">
        <v>41</v>
      </c>
      <c r="AC62" s="1" t="s">
        <v>56</v>
      </c>
      <c r="AD62" s="1" t="s">
        <v>42</v>
      </c>
      <c r="AE62" s="1" t="s">
        <v>56</v>
      </c>
      <c r="AF62" s="1" t="s">
        <v>41</v>
      </c>
      <c r="AG62" s="1" t="s">
        <v>42</v>
      </c>
      <c r="AH62" s="1" t="s">
        <v>41</v>
      </c>
      <c r="AI62" s="10">
        <v>79.3</v>
      </c>
      <c r="AJ62" s="3">
        <v>82</v>
      </c>
      <c r="AK62" s="3">
        <v>53.3</v>
      </c>
      <c r="AL62" s="3">
        <v>85.7</v>
      </c>
      <c r="AM62" s="1" t="s">
        <v>71</v>
      </c>
      <c r="AN62" s="1" t="s">
        <v>72</v>
      </c>
      <c r="AO62" s="1" t="s">
        <v>43</v>
      </c>
      <c r="AP62" s="1" t="s">
        <v>316</v>
      </c>
      <c r="AQ62" s="1" t="s">
        <v>81</v>
      </c>
      <c r="AR62" s="1" t="s">
        <v>60</v>
      </c>
      <c r="AS62" s="4"/>
      <c r="AT62" s="31">
        <v>29</v>
      </c>
      <c r="AU62" s="5">
        <v>29</v>
      </c>
      <c r="AV62" s="4"/>
      <c r="AW62" s="15">
        <f>AT62-AZ62</f>
        <v>2</v>
      </c>
      <c r="AX62" s="4">
        <f>AW62/AT62*100</f>
        <v>6.8965517241379306</v>
      </c>
      <c r="AY62" s="4">
        <v>-0.1</v>
      </c>
      <c r="AZ62" s="5">
        <v>27</v>
      </c>
      <c r="BA62" s="4">
        <f>SQRT(AZ62+AZ63)*(BC62-BB62)*0.5/TINV(1-0.95,AZ62+AZ63-1)</f>
        <v>2.088314008821154</v>
      </c>
      <c r="BB62" s="4">
        <v>-0.66</v>
      </c>
      <c r="BC62" s="4">
        <v>0.48</v>
      </c>
      <c r="BD62" s="4"/>
      <c r="BE62" s="1" t="s">
        <v>265</v>
      </c>
      <c r="BF62" s="1">
        <v>180</v>
      </c>
      <c r="BG62" s="1">
        <v>35</v>
      </c>
      <c r="BH62">
        <f>BF62-BG62</f>
        <v>145</v>
      </c>
      <c r="BI62" s="6"/>
    </row>
    <row r="63" spans="1:61" x14ac:dyDescent="0.2">
      <c r="A63" t="s">
        <v>338</v>
      </c>
      <c r="B63" s="1" t="s">
        <v>67</v>
      </c>
      <c r="C63" s="1">
        <v>2011</v>
      </c>
      <c r="D63" s="1" t="s">
        <v>68</v>
      </c>
      <c r="E63" s="1" t="s">
        <v>342</v>
      </c>
      <c r="F63" s="1" t="s">
        <v>506</v>
      </c>
      <c r="G63" s="1" t="s">
        <v>343</v>
      </c>
      <c r="H63" s="1" t="s">
        <v>63</v>
      </c>
      <c r="I63" s="2" t="s">
        <v>64</v>
      </c>
      <c r="J63" s="1" t="s">
        <v>69</v>
      </c>
      <c r="K63" s="2" t="s">
        <v>372</v>
      </c>
      <c r="L63" s="2" t="s">
        <v>392</v>
      </c>
      <c r="M63" s="2" t="s">
        <v>387</v>
      </c>
      <c r="N63" s="1" t="s">
        <v>376</v>
      </c>
      <c r="O63" s="1" t="s">
        <v>426</v>
      </c>
      <c r="P63" s="1" t="s">
        <v>379</v>
      </c>
      <c r="Q63" s="1" t="s">
        <v>424</v>
      </c>
      <c r="R63" s="1" t="s">
        <v>209</v>
      </c>
      <c r="S63" s="1" t="s">
        <v>54</v>
      </c>
      <c r="T63" s="1" t="s">
        <v>38</v>
      </c>
      <c r="U63" s="1" t="s">
        <v>70</v>
      </c>
      <c r="V63" s="1" t="s">
        <v>40</v>
      </c>
      <c r="W63" s="1" t="s">
        <v>56</v>
      </c>
      <c r="X63" s="1" t="s">
        <v>42</v>
      </c>
      <c r="Y63" s="1" t="s">
        <v>56</v>
      </c>
      <c r="Z63" s="1" t="s">
        <v>41</v>
      </c>
      <c r="AA63" s="1" t="s">
        <v>42</v>
      </c>
      <c r="AB63" s="1" t="s">
        <v>41</v>
      </c>
      <c r="AC63" s="1" t="s">
        <v>56</v>
      </c>
      <c r="AD63" s="1" t="s">
        <v>42</v>
      </c>
      <c r="AE63" s="1" t="s">
        <v>56</v>
      </c>
      <c r="AF63" s="1" t="s">
        <v>41</v>
      </c>
      <c r="AG63" s="1" t="s">
        <v>42</v>
      </c>
      <c r="AH63" s="1" t="s">
        <v>41</v>
      </c>
      <c r="AI63" s="10">
        <v>79.3</v>
      </c>
      <c r="AJ63" s="3">
        <v>81.7</v>
      </c>
      <c r="AK63" s="3">
        <v>53.3</v>
      </c>
      <c r="AL63" s="3">
        <v>85.7</v>
      </c>
      <c r="AM63" s="1" t="s">
        <v>71</v>
      </c>
      <c r="AN63" s="1" t="s">
        <v>72</v>
      </c>
      <c r="AO63" s="1" t="s">
        <v>43</v>
      </c>
      <c r="AP63" s="1" t="s">
        <v>82</v>
      </c>
      <c r="AQ63" s="1" t="s">
        <v>83</v>
      </c>
      <c r="AR63" s="1" t="s">
        <v>60</v>
      </c>
      <c r="AS63" s="4"/>
      <c r="AT63" s="31">
        <v>29</v>
      </c>
      <c r="AU63" s="5">
        <v>29</v>
      </c>
      <c r="AV63" s="4"/>
      <c r="AW63" s="15">
        <f>AT63-AZ63</f>
        <v>2</v>
      </c>
      <c r="AX63" s="4">
        <f>AW63/AT63*100</f>
        <v>6.8965517241379306</v>
      </c>
      <c r="AY63" s="4">
        <v>0.32</v>
      </c>
      <c r="AZ63" s="5">
        <v>27</v>
      </c>
      <c r="BA63" s="4">
        <f>SQRT(AZ63+AZ64)*(BC63-BB63)*0.5/TINV(1-0.95,AZ63+AZ64-1)</f>
        <v>4.1666400589403469</v>
      </c>
      <c r="BB63" s="4">
        <v>-0.84</v>
      </c>
      <c r="BC63" s="4">
        <v>1.48</v>
      </c>
      <c r="BD63" s="4"/>
      <c r="BE63" s="1" t="s">
        <v>265</v>
      </c>
      <c r="BF63" s="1">
        <v>180</v>
      </c>
      <c r="BG63" s="1">
        <v>35</v>
      </c>
      <c r="BH63">
        <f>BF63-BG63</f>
        <v>145</v>
      </c>
      <c r="BI63" s="6"/>
    </row>
    <row r="64" spans="1:61" x14ac:dyDescent="0.2">
      <c r="A64" t="s">
        <v>337</v>
      </c>
      <c r="B64" s="2" t="s">
        <v>266</v>
      </c>
      <c r="C64" s="2">
        <v>2020</v>
      </c>
      <c r="D64" s="2" t="s">
        <v>267</v>
      </c>
      <c r="E64" s="1" t="s">
        <v>342</v>
      </c>
      <c r="F64" s="1" t="s">
        <v>506</v>
      </c>
      <c r="G64" s="1" t="s">
        <v>344</v>
      </c>
      <c r="H64" s="2" t="s">
        <v>63</v>
      </c>
      <c r="I64" s="2" t="s">
        <v>64</v>
      </c>
      <c r="J64" s="2" t="s">
        <v>310</v>
      </c>
      <c r="K64" s="2" t="s">
        <v>372</v>
      </c>
      <c r="L64" s="2" t="s">
        <v>393</v>
      </c>
      <c r="M64" s="2" t="s">
        <v>388</v>
      </c>
      <c r="N64" s="2" t="s">
        <v>268</v>
      </c>
      <c r="O64" s="2" t="s">
        <v>429</v>
      </c>
      <c r="P64" s="2" t="s">
        <v>379</v>
      </c>
      <c r="Q64" s="2" t="s">
        <v>428</v>
      </c>
      <c r="R64" s="2" t="s">
        <v>209</v>
      </c>
      <c r="S64" s="2" t="s">
        <v>269</v>
      </c>
      <c r="T64" s="2" t="s">
        <v>270</v>
      </c>
      <c r="U64" s="2" t="s">
        <v>271</v>
      </c>
      <c r="V64" s="2" t="s">
        <v>40</v>
      </c>
      <c r="W64" s="2" t="s">
        <v>56</v>
      </c>
      <c r="X64" s="2" t="s">
        <v>56</v>
      </c>
      <c r="Y64" s="2" t="s">
        <v>56</v>
      </c>
      <c r="Z64" s="2" t="s">
        <v>56</v>
      </c>
      <c r="AA64" s="2" t="s">
        <v>56</v>
      </c>
      <c r="AB64" s="2" t="s">
        <v>56</v>
      </c>
      <c r="AC64" s="2" t="s">
        <v>56</v>
      </c>
      <c r="AD64" s="2" t="s">
        <v>42</v>
      </c>
      <c r="AE64" s="2" t="s">
        <v>56</v>
      </c>
      <c r="AF64" s="2" t="s">
        <v>42</v>
      </c>
      <c r="AG64" s="2" t="s">
        <v>56</v>
      </c>
      <c r="AH64" s="2" t="s">
        <v>56</v>
      </c>
      <c r="AI64" s="7">
        <v>76</v>
      </c>
      <c r="AJ64" s="7">
        <v>83.7</v>
      </c>
      <c r="AK64" s="7">
        <v>59</v>
      </c>
      <c r="AL64" s="7">
        <v>92</v>
      </c>
      <c r="AM64" s="2" t="s">
        <v>297</v>
      </c>
      <c r="AN64" s="2"/>
      <c r="AO64" s="2"/>
      <c r="AP64" s="2" t="s">
        <v>44</v>
      </c>
      <c r="AQ64" s="2" t="s">
        <v>45</v>
      </c>
      <c r="AR64" s="2" t="s">
        <v>46</v>
      </c>
      <c r="AS64" s="8">
        <v>6.7</v>
      </c>
      <c r="AT64" s="33">
        <v>30</v>
      </c>
      <c r="AU64" s="9">
        <v>25</v>
      </c>
      <c r="AV64" s="8">
        <v>2.1</v>
      </c>
      <c r="AW64" s="15">
        <f>AT64-AZ64</f>
        <v>5</v>
      </c>
      <c r="AX64" s="4">
        <f>AW64/AT64*100</f>
        <v>16.666666666666664</v>
      </c>
      <c r="AY64" s="8">
        <v>2.9</v>
      </c>
      <c r="AZ64" s="9">
        <v>25</v>
      </c>
      <c r="BA64" s="8">
        <v>2.4</v>
      </c>
      <c r="BB64" s="8"/>
      <c r="BC64" s="8"/>
      <c r="BD64" s="8"/>
      <c r="BE64" s="2" t="s">
        <v>430</v>
      </c>
      <c r="BF64" s="2">
        <v>90</v>
      </c>
      <c r="BG64" s="2">
        <v>35</v>
      </c>
      <c r="BH64">
        <f>BF64-BG64</f>
        <v>55</v>
      </c>
      <c r="BI64" s="6"/>
    </row>
    <row r="65" spans="1:61" x14ac:dyDescent="0.2">
      <c r="A65" t="s">
        <v>337</v>
      </c>
      <c r="B65" s="2" t="s">
        <v>266</v>
      </c>
      <c r="C65" s="2">
        <v>2020</v>
      </c>
      <c r="D65" s="2" t="s">
        <v>267</v>
      </c>
      <c r="E65" s="1" t="s">
        <v>342</v>
      </c>
      <c r="F65" s="1" t="s">
        <v>506</v>
      </c>
      <c r="G65" s="1" t="s">
        <v>344</v>
      </c>
      <c r="H65" s="2" t="s">
        <v>63</v>
      </c>
      <c r="I65" s="2" t="s">
        <v>64</v>
      </c>
      <c r="J65" s="2" t="s">
        <v>310</v>
      </c>
      <c r="K65" s="2" t="s">
        <v>372</v>
      </c>
      <c r="L65" s="2" t="s">
        <v>393</v>
      </c>
      <c r="M65" s="2" t="s">
        <v>388</v>
      </c>
      <c r="N65" s="2" t="s">
        <v>268</v>
      </c>
      <c r="O65" s="2" t="s">
        <v>429</v>
      </c>
      <c r="P65" s="2" t="s">
        <v>379</v>
      </c>
      <c r="Q65" s="2" t="s">
        <v>428</v>
      </c>
      <c r="R65" s="2" t="s">
        <v>209</v>
      </c>
      <c r="S65" s="2" t="s">
        <v>269</v>
      </c>
      <c r="T65" s="2" t="s">
        <v>270</v>
      </c>
      <c r="U65" s="2" t="s">
        <v>271</v>
      </c>
      <c r="V65" s="2" t="s">
        <v>40</v>
      </c>
      <c r="W65" s="2" t="s">
        <v>56</v>
      </c>
      <c r="X65" s="2" t="s">
        <v>56</v>
      </c>
      <c r="Y65" s="2" t="s">
        <v>56</v>
      </c>
      <c r="Z65" s="2" t="s">
        <v>56</v>
      </c>
      <c r="AA65" s="2" t="s">
        <v>56</v>
      </c>
      <c r="AB65" s="2" t="s">
        <v>56</v>
      </c>
      <c r="AC65" s="2" t="s">
        <v>56</v>
      </c>
      <c r="AD65" s="2" t="s">
        <v>42</v>
      </c>
      <c r="AE65" s="2" t="s">
        <v>56</v>
      </c>
      <c r="AF65" s="2" t="s">
        <v>42</v>
      </c>
      <c r="AG65" s="2" t="s">
        <v>56</v>
      </c>
      <c r="AH65" s="2" t="s">
        <v>56</v>
      </c>
      <c r="AI65" s="7">
        <v>76</v>
      </c>
      <c r="AJ65" s="7">
        <v>83.7</v>
      </c>
      <c r="AK65" s="7">
        <v>59</v>
      </c>
      <c r="AL65" s="7">
        <v>92</v>
      </c>
      <c r="AM65" s="2" t="s">
        <v>297</v>
      </c>
      <c r="AN65" s="2"/>
      <c r="AO65" s="2"/>
      <c r="AP65" s="2" t="s">
        <v>314</v>
      </c>
      <c r="AQ65" s="1" t="s">
        <v>313</v>
      </c>
      <c r="AR65" s="1" t="s">
        <v>46</v>
      </c>
      <c r="AS65" s="4">
        <v>4.0999999999999996</v>
      </c>
      <c r="AT65" s="34">
        <v>30</v>
      </c>
      <c r="AU65" s="5">
        <v>25</v>
      </c>
      <c r="AV65" s="4">
        <v>3</v>
      </c>
      <c r="AW65" s="15">
        <f>AT65-AZ65</f>
        <v>5</v>
      </c>
      <c r="AX65" s="4">
        <f>AW65/AT65*100</f>
        <v>16.666666666666664</v>
      </c>
      <c r="AY65" s="4">
        <v>0.9</v>
      </c>
      <c r="AZ65" s="5">
        <v>25</v>
      </c>
      <c r="BA65" s="4">
        <v>1</v>
      </c>
      <c r="BB65" s="4"/>
      <c r="BC65" s="8"/>
      <c r="BD65" s="8"/>
      <c r="BE65" s="2" t="s">
        <v>430</v>
      </c>
      <c r="BF65" s="2">
        <v>90</v>
      </c>
      <c r="BG65" s="2">
        <v>35</v>
      </c>
      <c r="BH65">
        <f>BF65-BG65</f>
        <v>55</v>
      </c>
      <c r="BI65" s="6"/>
    </row>
    <row r="66" spans="1:61" x14ac:dyDescent="0.2">
      <c r="A66" t="s">
        <v>338</v>
      </c>
      <c r="B66" s="1" t="s">
        <v>135</v>
      </c>
      <c r="C66" s="1">
        <v>2018</v>
      </c>
      <c r="D66" s="1" t="s">
        <v>136</v>
      </c>
      <c r="E66" s="1" t="s">
        <v>342</v>
      </c>
      <c r="F66" s="1" t="s">
        <v>506</v>
      </c>
      <c r="G66" s="2" t="s">
        <v>343</v>
      </c>
      <c r="H66" s="1" t="s">
        <v>35</v>
      </c>
      <c r="I66" s="1" t="s">
        <v>48</v>
      </c>
      <c r="J66" s="1" t="s">
        <v>137</v>
      </c>
      <c r="K66" s="2" t="s">
        <v>372</v>
      </c>
      <c r="L66" s="2"/>
      <c r="M66" s="2"/>
      <c r="N66" s="1" t="s">
        <v>138</v>
      </c>
      <c r="O66" s="1" t="s">
        <v>461</v>
      </c>
      <c r="P66" s="2" t="s">
        <v>379</v>
      </c>
      <c r="Q66" s="2" t="s">
        <v>460</v>
      </c>
      <c r="R66" s="1" t="s">
        <v>373</v>
      </c>
      <c r="S66" s="1" t="s">
        <v>54</v>
      </c>
      <c r="T66" s="1" t="s">
        <v>38</v>
      </c>
      <c r="U66" s="1" t="s">
        <v>55</v>
      </c>
      <c r="V66" s="1" t="s">
        <v>40</v>
      </c>
      <c r="W66" s="1" t="s">
        <v>42</v>
      </c>
      <c r="X66" s="1" t="s">
        <v>42</v>
      </c>
      <c r="Y66" s="1" t="s">
        <v>56</v>
      </c>
      <c r="Z66" s="1" t="s">
        <v>41</v>
      </c>
      <c r="AA66" s="1" t="s">
        <v>42</v>
      </c>
      <c r="AB66" s="1" t="s">
        <v>41</v>
      </c>
      <c r="AC66" s="1" t="s">
        <v>42</v>
      </c>
      <c r="AD66" s="1" t="s">
        <v>42</v>
      </c>
      <c r="AE66" s="1" t="s">
        <v>56</v>
      </c>
      <c r="AF66" s="1" t="s">
        <v>41</v>
      </c>
      <c r="AG66" s="1" t="s">
        <v>42</v>
      </c>
      <c r="AH66" s="1" t="s">
        <v>41</v>
      </c>
      <c r="AI66" s="3"/>
      <c r="AJ66" s="3"/>
      <c r="AK66" s="3">
        <v>55.11</v>
      </c>
      <c r="AL66" s="3">
        <v>83.3</v>
      </c>
      <c r="AM66" s="1" t="s">
        <v>139</v>
      </c>
      <c r="AN66" s="1" t="s">
        <v>140</v>
      </c>
      <c r="AO66" s="1" t="s">
        <v>43</v>
      </c>
      <c r="AP66" s="16" t="s">
        <v>332</v>
      </c>
      <c r="AQ66" s="16" t="s">
        <v>255</v>
      </c>
      <c r="AR66" s="16" t="s">
        <v>46</v>
      </c>
      <c r="AS66" s="18">
        <v>37.11</v>
      </c>
      <c r="AT66" s="36">
        <v>40</v>
      </c>
      <c r="AU66" s="19">
        <v>36</v>
      </c>
      <c r="AV66" s="18">
        <v>5.8</v>
      </c>
      <c r="AW66" s="15">
        <f>AT66-AZ66</f>
        <v>4</v>
      </c>
      <c r="AX66" s="4">
        <f>AW66/AT66*100</f>
        <v>10</v>
      </c>
      <c r="AY66" s="18">
        <v>42.58</v>
      </c>
      <c r="AZ66" s="19">
        <v>36</v>
      </c>
      <c r="BA66" s="18">
        <v>3.2</v>
      </c>
      <c r="BB66" s="4"/>
      <c r="BC66" s="4"/>
      <c r="BD66" s="4"/>
      <c r="BE66" s="1" t="s">
        <v>47</v>
      </c>
      <c r="BF66" s="1">
        <v>56</v>
      </c>
      <c r="BG66" s="1">
        <v>35</v>
      </c>
      <c r="BH66">
        <f>BF66-BG66</f>
        <v>21</v>
      </c>
      <c r="BI66" s="6"/>
    </row>
    <row r="67" spans="1:61" x14ac:dyDescent="0.2">
      <c r="A67" t="s">
        <v>338</v>
      </c>
      <c r="B67" s="1" t="s">
        <v>135</v>
      </c>
      <c r="C67" s="1">
        <v>2018</v>
      </c>
      <c r="D67" s="1" t="s">
        <v>136</v>
      </c>
      <c r="E67" s="1" t="s">
        <v>342</v>
      </c>
      <c r="F67" s="1" t="s">
        <v>506</v>
      </c>
      <c r="G67" s="2" t="s">
        <v>343</v>
      </c>
      <c r="H67" s="1" t="s">
        <v>35</v>
      </c>
      <c r="I67" s="1" t="s">
        <v>48</v>
      </c>
      <c r="J67" s="1" t="s">
        <v>137</v>
      </c>
      <c r="K67" s="2" t="s">
        <v>372</v>
      </c>
      <c r="L67" s="2"/>
      <c r="M67" s="2"/>
      <c r="N67" s="1" t="s">
        <v>138</v>
      </c>
      <c r="O67" s="1" t="s">
        <v>461</v>
      </c>
      <c r="P67" s="2" t="s">
        <v>379</v>
      </c>
      <c r="Q67" s="2" t="s">
        <v>460</v>
      </c>
      <c r="R67" s="1" t="s">
        <v>373</v>
      </c>
      <c r="S67" s="1" t="s">
        <v>54</v>
      </c>
      <c r="T67" s="1" t="s">
        <v>38</v>
      </c>
      <c r="U67" s="1" t="s">
        <v>55</v>
      </c>
      <c r="V67" s="1" t="s">
        <v>40</v>
      </c>
      <c r="W67" s="1" t="s">
        <v>42</v>
      </c>
      <c r="X67" s="1" t="s">
        <v>42</v>
      </c>
      <c r="Y67" s="1" t="s">
        <v>56</v>
      </c>
      <c r="Z67" s="1" t="s">
        <v>41</v>
      </c>
      <c r="AA67" s="1" t="s">
        <v>42</v>
      </c>
      <c r="AB67" s="1" t="s">
        <v>41</v>
      </c>
      <c r="AC67" s="1" t="s">
        <v>42</v>
      </c>
      <c r="AD67" s="1" t="s">
        <v>42</v>
      </c>
      <c r="AE67" s="1" t="s">
        <v>56</v>
      </c>
      <c r="AF67" s="1" t="s">
        <v>41</v>
      </c>
      <c r="AG67" s="1" t="s">
        <v>42</v>
      </c>
      <c r="AH67" s="1" t="s">
        <v>41</v>
      </c>
      <c r="AI67" s="3"/>
      <c r="AJ67" s="3"/>
      <c r="AK67" s="3">
        <v>55.11</v>
      </c>
      <c r="AL67" s="3">
        <v>83.3</v>
      </c>
      <c r="AM67" s="1" t="s">
        <v>139</v>
      </c>
      <c r="AN67" s="1" t="s">
        <v>140</v>
      </c>
      <c r="AO67" s="1" t="s">
        <v>43</v>
      </c>
      <c r="AP67" s="16" t="s">
        <v>332</v>
      </c>
      <c r="AQ67" s="16" t="s">
        <v>255</v>
      </c>
      <c r="AR67" s="16" t="s">
        <v>46</v>
      </c>
      <c r="AS67" s="18">
        <v>37.11</v>
      </c>
      <c r="AT67" s="36">
        <v>40</v>
      </c>
      <c r="AU67" s="19">
        <v>36</v>
      </c>
      <c r="AV67" s="18">
        <v>5.8</v>
      </c>
      <c r="AW67" s="15">
        <f>AT67-AZ67</f>
        <v>4</v>
      </c>
      <c r="AX67" s="4">
        <f>AW67/AT67*100</f>
        <v>10</v>
      </c>
      <c r="AY67" s="18">
        <v>43.27</v>
      </c>
      <c r="AZ67" s="19">
        <v>36</v>
      </c>
      <c r="BA67" s="18">
        <v>2.4700000000000002</v>
      </c>
      <c r="BB67" s="4"/>
      <c r="BC67" s="4"/>
      <c r="BD67" s="4"/>
      <c r="BE67" s="1" t="s">
        <v>141</v>
      </c>
      <c r="BF67" s="1">
        <f>12*7</f>
        <v>84</v>
      </c>
      <c r="BG67" s="1">
        <v>35</v>
      </c>
      <c r="BH67">
        <f>BF67-BG67</f>
        <v>49</v>
      </c>
      <c r="BI67" s="6"/>
    </row>
    <row r="68" spans="1:61" x14ac:dyDescent="0.2">
      <c r="A68" t="s">
        <v>338</v>
      </c>
      <c r="B68" s="1" t="s">
        <v>135</v>
      </c>
      <c r="C68" s="1">
        <v>2018</v>
      </c>
      <c r="D68" s="1" t="s">
        <v>136</v>
      </c>
      <c r="E68" s="1" t="s">
        <v>342</v>
      </c>
      <c r="F68" s="1" t="s">
        <v>506</v>
      </c>
      <c r="G68" s="2" t="s">
        <v>343</v>
      </c>
      <c r="H68" s="1" t="s">
        <v>35</v>
      </c>
      <c r="I68" s="1" t="s">
        <v>48</v>
      </c>
      <c r="J68" s="1" t="s">
        <v>137</v>
      </c>
      <c r="K68" s="2" t="s">
        <v>372</v>
      </c>
      <c r="L68" s="2"/>
      <c r="M68" s="2"/>
      <c r="N68" s="1" t="s">
        <v>138</v>
      </c>
      <c r="O68" s="1" t="s">
        <v>461</v>
      </c>
      <c r="P68" s="2" t="s">
        <v>379</v>
      </c>
      <c r="Q68" s="2" t="s">
        <v>460</v>
      </c>
      <c r="R68" s="1" t="s">
        <v>373</v>
      </c>
      <c r="S68" s="1" t="s">
        <v>54</v>
      </c>
      <c r="T68" s="1" t="s">
        <v>38</v>
      </c>
      <c r="U68" s="1" t="s">
        <v>55</v>
      </c>
      <c r="V68" s="1" t="s">
        <v>40</v>
      </c>
      <c r="W68" s="1" t="s">
        <v>42</v>
      </c>
      <c r="X68" s="1" t="s">
        <v>42</v>
      </c>
      <c r="Y68" s="1" t="s">
        <v>56</v>
      </c>
      <c r="Z68" s="1" t="s">
        <v>41</v>
      </c>
      <c r="AA68" s="1" t="s">
        <v>42</v>
      </c>
      <c r="AB68" s="1" t="s">
        <v>41</v>
      </c>
      <c r="AC68" s="1" t="s">
        <v>42</v>
      </c>
      <c r="AD68" s="1" t="s">
        <v>42</v>
      </c>
      <c r="AE68" s="1" t="s">
        <v>56</v>
      </c>
      <c r="AF68" s="1" t="s">
        <v>41</v>
      </c>
      <c r="AG68" s="1" t="s">
        <v>42</v>
      </c>
      <c r="AH68" s="1" t="s">
        <v>41</v>
      </c>
      <c r="AI68" s="3"/>
      <c r="AJ68" s="3"/>
      <c r="AK68" s="3">
        <v>55.11</v>
      </c>
      <c r="AL68" s="3">
        <v>83.3</v>
      </c>
      <c r="AM68" s="1" t="s">
        <v>139</v>
      </c>
      <c r="AN68" s="1" t="s">
        <v>140</v>
      </c>
      <c r="AO68" s="1" t="s">
        <v>43</v>
      </c>
      <c r="AP68" s="16" t="s">
        <v>332</v>
      </c>
      <c r="AQ68" s="16" t="s">
        <v>255</v>
      </c>
      <c r="AR68" s="16" t="s">
        <v>46</v>
      </c>
      <c r="AS68" s="18">
        <v>37.11</v>
      </c>
      <c r="AT68" s="36">
        <v>40</v>
      </c>
      <c r="AU68" s="19">
        <v>36</v>
      </c>
      <c r="AV68" s="18">
        <v>5.8</v>
      </c>
      <c r="AW68" s="15">
        <f>AT68-AZ68</f>
        <v>4</v>
      </c>
      <c r="AX68" s="4">
        <f>AW68/AT68*100</f>
        <v>10</v>
      </c>
      <c r="AY68" s="18">
        <v>44.08</v>
      </c>
      <c r="AZ68" s="19">
        <v>36</v>
      </c>
      <c r="BA68" s="18">
        <v>1.1299999999999899</v>
      </c>
      <c r="BB68" s="4"/>
      <c r="BC68" s="4"/>
      <c r="BD68" s="4"/>
      <c r="BE68" s="1" t="s">
        <v>145</v>
      </c>
      <c r="BF68" s="1">
        <v>140</v>
      </c>
      <c r="BG68" s="1">
        <v>35</v>
      </c>
      <c r="BH68">
        <f>BF68-BG68</f>
        <v>105</v>
      </c>
      <c r="BI68" s="6"/>
    </row>
    <row r="69" spans="1:61" x14ac:dyDescent="0.2">
      <c r="A69" t="s">
        <v>338</v>
      </c>
      <c r="B69" s="1" t="s">
        <v>135</v>
      </c>
      <c r="C69" s="1">
        <v>2018</v>
      </c>
      <c r="D69" s="1" t="s">
        <v>136</v>
      </c>
      <c r="E69" s="1" t="s">
        <v>342</v>
      </c>
      <c r="F69" s="1" t="s">
        <v>506</v>
      </c>
      <c r="G69" s="2" t="s">
        <v>343</v>
      </c>
      <c r="H69" s="1" t="s">
        <v>35</v>
      </c>
      <c r="I69" s="1" t="s">
        <v>48</v>
      </c>
      <c r="J69" s="1" t="s">
        <v>137</v>
      </c>
      <c r="K69" s="2" t="s">
        <v>372</v>
      </c>
      <c r="L69" s="2"/>
      <c r="M69" s="2"/>
      <c r="N69" s="1" t="s">
        <v>138</v>
      </c>
      <c r="O69" s="1" t="s">
        <v>461</v>
      </c>
      <c r="P69" s="2" t="s">
        <v>379</v>
      </c>
      <c r="Q69" s="2" t="s">
        <v>460</v>
      </c>
      <c r="R69" s="1" t="s">
        <v>373</v>
      </c>
      <c r="S69" s="1" t="s">
        <v>54</v>
      </c>
      <c r="T69" s="1" t="s">
        <v>38</v>
      </c>
      <c r="U69" s="1" t="s">
        <v>55</v>
      </c>
      <c r="V69" s="1" t="s">
        <v>40</v>
      </c>
      <c r="W69" s="1" t="s">
        <v>42</v>
      </c>
      <c r="X69" s="1" t="s">
        <v>42</v>
      </c>
      <c r="Y69" s="1" t="s">
        <v>56</v>
      </c>
      <c r="Z69" s="1" t="s">
        <v>41</v>
      </c>
      <c r="AA69" s="1" t="s">
        <v>42</v>
      </c>
      <c r="AB69" s="1" t="s">
        <v>41</v>
      </c>
      <c r="AC69" s="1" t="s">
        <v>42</v>
      </c>
      <c r="AD69" s="1" t="s">
        <v>42</v>
      </c>
      <c r="AE69" s="1" t="s">
        <v>56</v>
      </c>
      <c r="AF69" s="1" t="s">
        <v>41</v>
      </c>
      <c r="AG69" s="1" t="s">
        <v>42</v>
      </c>
      <c r="AH69" s="1" t="s">
        <v>41</v>
      </c>
      <c r="AI69" s="3"/>
      <c r="AJ69" s="3"/>
      <c r="AK69" s="3">
        <v>55.11</v>
      </c>
      <c r="AL69" s="3">
        <v>83.3</v>
      </c>
      <c r="AM69" s="1" t="s">
        <v>139</v>
      </c>
      <c r="AN69" s="1" t="s">
        <v>140</v>
      </c>
      <c r="AO69" s="1" t="s">
        <v>43</v>
      </c>
      <c r="AP69" s="16" t="s">
        <v>339</v>
      </c>
      <c r="AQ69" s="16" t="s">
        <v>340</v>
      </c>
      <c r="AR69" s="16" t="s">
        <v>46</v>
      </c>
      <c r="AS69" s="18">
        <v>79.44</v>
      </c>
      <c r="AT69" s="36">
        <v>40</v>
      </c>
      <c r="AU69" s="19">
        <v>36</v>
      </c>
      <c r="AV69" s="18">
        <v>11.19</v>
      </c>
      <c r="AW69" s="15">
        <f>AT69-AZ69</f>
        <v>4</v>
      </c>
      <c r="AX69" s="4">
        <f>AW69/AT69*100</f>
        <v>10</v>
      </c>
      <c r="AY69" s="18">
        <v>98.61</v>
      </c>
      <c r="AZ69" s="19">
        <v>36</v>
      </c>
      <c r="BA69" s="18">
        <v>10.8</v>
      </c>
      <c r="BB69" s="4"/>
      <c r="BC69" s="4"/>
      <c r="BD69" s="4"/>
      <c r="BE69" s="1" t="s">
        <v>47</v>
      </c>
      <c r="BF69" s="1">
        <v>56</v>
      </c>
      <c r="BG69" s="1">
        <v>35</v>
      </c>
      <c r="BH69">
        <f>BF69-BG69</f>
        <v>21</v>
      </c>
      <c r="BI69" s="6"/>
    </row>
    <row r="70" spans="1:61" x14ac:dyDescent="0.2">
      <c r="A70" t="s">
        <v>338</v>
      </c>
      <c r="B70" s="1" t="s">
        <v>135</v>
      </c>
      <c r="C70" s="1">
        <v>2018</v>
      </c>
      <c r="D70" s="1" t="s">
        <v>136</v>
      </c>
      <c r="E70" s="1" t="s">
        <v>342</v>
      </c>
      <c r="F70" s="1" t="s">
        <v>506</v>
      </c>
      <c r="G70" s="2" t="s">
        <v>343</v>
      </c>
      <c r="H70" s="1" t="s">
        <v>35</v>
      </c>
      <c r="I70" s="1" t="s">
        <v>48</v>
      </c>
      <c r="J70" s="1" t="s">
        <v>137</v>
      </c>
      <c r="K70" s="2" t="s">
        <v>372</v>
      </c>
      <c r="L70" s="2"/>
      <c r="M70" s="2"/>
      <c r="N70" s="1" t="s">
        <v>138</v>
      </c>
      <c r="O70" s="1" t="s">
        <v>461</v>
      </c>
      <c r="P70" s="2" t="s">
        <v>379</v>
      </c>
      <c r="Q70" s="2" t="s">
        <v>460</v>
      </c>
      <c r="R70" s="1" t="s">
        <v>373</v>
      </c>
      <c r="S70" s="1" t="s">
        <v>54</v>
      </c>
      <c r="T70" s="1" t="s">
        <v>38</v>
      </c>
      <c r="U70" s="1" t="s">
        <v>55</v>
      </c>
      <c r="V70" s="1" t="s">
        <v>40</v>
      </c>
      <c r="W70" s="1" t="s">
        <v>42</v>
      </c>
      <c r="X70" s="1" t="s">
        <v>42</v>
      </c>
      <c r="Y70" s="1" t="s">
        <v>56</v>
      </c>
      <c r="Z70" s="1" t="s">
        <v>41</v>
      </c>
      <c r="AA70" s="1" t="s">
        <v>42</v>
      </c>
      <c r="AB70" s="1" t="s">
        <v>41</v>
      </c>
      <c r="AC70" s="1" t="s">
        <v>42</v>
      </c>
      <c r="AD70" s="1" t="s">
        <v>42</v>
      </c>
      <c r="AE70" s="1" t="s">
        <v>56</v>
      </c>
      <c r="AF70" s="1" t="s">
        <v>41</v>
      </c>
      <c r="AG70" s="1" t="s">
        <v>42</v>
      </c>
      <c r="AH70" s="1" t="s">
        <v>41</v>
      </c>
      <c r="AI70" s="3"/>
      <c r="AJ70" s="3"/>
      <c r="AK70" s="3">
        <v>55.11</v>
      </c>
      <c r="AL70" s="3">
        <v>83.3</v>
      </c>
      <c r="AM70" s="1" t="s">
        <v>139</v>
      </c>
      <c r="AN70" s="1" t="s">
        <v>140</v>
      </c>
      <c r="AO70" s="1" t="s">
        <v>43</v>
      </c>
      <c r="AP70" s="16" t="s">
        <v>339</v>
      </c>
      <c r="AQ70" s="16" t="s">
        <v>340</v>
      </c>
      <c r="AR70" s="16" t="s">
        <v>46</v>
      </c>
      <c r="AS70" s="18">
        <v>79.44</v>
      </c>
      <c r="AT70" s="36">
        <v>40</v>
      </c>
      <c r="AU70" s="19">
        <v>36</v>
      </c>
      <c r="AV70" s="18">
        <v>11.19</v>
      </c>
      <c r="AW70" s="15">
        <f>AT70-AZ70</f>
        <v>4</v>
      </c>
      <c r="AX70" s="4">
        <f>AW70/AT70*100</f>
        <v>10</v>
      </c>
      <c r="AY70" s="18">
        <v>100.27</v>
      </c>
      <c r="AZ70" s="19">
        <v>36</v>
      </c>
      <c r="BA70" s="18">
        <v>9.56</v>
      </c>
      <c r="BB70" s="4"/>
      <c r="BC70" s="4"/>
      <c r="BD70" s="4"/>
      <c r="BE70" s="1" t="s">
        <v>145</v>
      </c>
      <c r="BF70" s="1">
        <v>140</v>
      </c>
      <c r="BG70" s="1">
        <v>35</v>
      </c>
      <c r="BH70">
        <f>BF70-BG70</f>
        <v>105</v>
      </c>
      <c r="BI70" s="6"/>
    </row>
    <row r="71" spans="1:61" x14ac:dyDescent="0.2">
      <c r="A71" t="s">
        <v>338</v>
      </c>
      <c r="B71" s="1" t="s">
        <v>135</v>
      </c>
      <c r="C71" s="1">
        <v>2018</v>
      </c>
      <c r="D71" s="1" t="s">
        <v>136</v>
      </c>
      <c r="E71" s="1" t="s">
        <v>342</v>
      </c>
      <c r="F71" s="1" t="s">
        <v>506</v>
      </c>
      <c r="G71" s="2" t="s">
        <v>343</v>
      </c>
      <c r="H71" s="1" t="s">
        <v>35</v>
      </c>
      <c r="I71" s="1" t="s">
        <v>48</v>
      </c>
      <c r="J71" s="1" t="s">
        <v>137</v>
      </c>
      <c r="K71" s="2" t="s">
        <v>372</v>
      </c>
      <c r="L71" s="2"/>
      <c r="M71" s="2"/>
      <c r="N71" s="1" t="s">
        <v>138</v>
      </c>
      <c r="O71" s="1" t="s">
        <v>461</v>
      </c>
      <c r="P71" s="2" t="s">
        <v>379</v>
      </c>
      <c r="Q71" s="2" t="s">
        <v>460</v>
      </c>
      <c r="R71" s="1" t="s">
        <v>373</v>
      </c>
      <c r="S71" s="1" t="s">
        <v>54</v>
      </c>
      <c r="T71" s="1" t="s">
        <v>38</v>
      </c>
      <c r="U71" s="1" t="s">
        <v>55</v>
      </c>
      <c r="V71" s="1" t="s">
        <v>40</v>
      </c>
      <c r="W71" s="1" t="s">
        <v>42</v>
      </c>
      <c r="X71" s="1" t="s">
        <v>42</v>
      </c>
      <c r="Y71" s="1" t="s">
        <v>56</v>
      </c>
      <c r="Z71" s="1" t="s">
        <v>41</v>
      </c>
      <c r="AA71" s="1" t="s">
        <v>42</v>
      </c>
      <c r="AB71" s="1" t="s">
        <v>41</v>
      </c>
      <c r="AC71" s="1" t="s">
        <v>42</v>
      </c>
      <c r="AD71" s="1" t="s">
        <v>42</v>
      </c>
      <c r="AE71" s="1" t="s">
        <v>56</v>
      </c>
      <c r="AF71" s="1" t="s">
        <v>41</v>
      </c>
      <c r="AG71" s="1" t="s">
        <v>42</v>
      </c>
      <c r="AH71" s="1" t="s">
        <v>41</v>
      </c>
      <c r="AI71" s="3"/>
      <c r="AJ71" s="3"/>
      <c r="AK71" s="3">
        <v>55.11</v>
      </c>
      <c r="AL71" s="3">
        <v>83.3</v>
      </c>
      <c r="AM71" s="1" t="s">
        <v>139</v>
      </c>
      <c r="AN71" s="1" t="s">
        <v>140</v>
      </c>
      <c r="AO71" s="1" t="s">
        <v>43</v>
      </c>
      <c r="AP71" s="16" t="s">
        <v>339</v>
      </c>
      <c r="AQ71" s="16" t="s">
        <v>340</v>
      </c>
      <c r="AR71" s="16" t="s">
        <v>46</v>
      </c>
      <c r="AS71" s="18">
        <v>79.44</v>
      </c>
      <c r="AT71" s="36">
        <v>40</v>
      </c>
      <c r="AU71" s="19">
        <v>36</v>
      </c>
      <c r="AV71" s="18">
        <v>11.19</v>
      </c>
      <c r="AW71" s="15">
        <f>AT71-AZ71</f>
        <v>4</v>
      </c>
      <c r="AX71" s="4">
        <f>AW71/AT71*100</f>
        <v>10</v>
      </c>
      <c r="AY71" s="18">
        <v>98.91</v>
      </c>
      <c r="AZ71" s="19">
        <v>36</v>
      </c>
      <c r="BA71" s="18">
        <v>10.050000000000001</v>
      </c>
      <c r="BB71" s="4"/>
      <c r="BC71" s="4"/>
      <c r="BD71" s="4"/>
      <c r="BE71" s="1" t="s">
        <v>141</v>
      </c>
      <c r="BF71" s="1">
        <f>12*7</f>
        <v>84</v>
      </c>
      <c r="BG71" s="1">
        <v>35</v>
      </c>
      <c r="BH71">
        <f>BF71-BG71</f>
        <v>49</v>
      </c>
      <c r="BI71" s="6"/>
    </row>
    <row r="72" spans="1:61" x14ac:dyDescent="0.2">
      <c r="A72" t="s">
        <v>338</v>
      </c>
      <c r="B72" s="1" t="s">
        <v>161</v>
      </c>
      <c r="C72" s="1">
        <v>2017</v>
      </c>
      <c r="D72" s="1" t="s">
        <v>166</v>
      </c>
      <c r="E72" s="1" t="s">
        <v>342</v>
      </c>
      <c r="F72" s="1" t="s">
        <v>506</v>
      </c>
      <c r="G72" s="1" t="s">
        <v>346</v>
      </c>
      <c r="H72" s="1" t="s">
        <v>35</v>
      </c>
      <c r="I72" s="1" t="s">
        <v>36</v>
      </c>
      <c r="J72" s="1" t="s">
        <v>163</v>
      </c>
      <c r="K72" s="2" t="s">
        <v>372</v>
      </c>
      <c r="L72" s="2" t="s">
        <v>380</v>
      </c>
      <c r="M72" s="2" t="s">
        <v>380</v>
      </c>
      <c r="N72" s="1" t="s">
        <v>164</v>
      </c>
      <c r="O72" s="1" t="s">
        <v>471</v>
      </c>
      <c r="P72" s="2" t="s">
        <v>379</v>
      </c>
      <c r="Q72" s="2" t="s">
        <v>470</v>
      </c>
      <c r="R72" s="1" t="s">
        <v>373</v>
      </c>
      <c r="S72" s="1" t="s">
        <v>54</v>
      </c>
      <c r="T72" s="1" t="s">
        <v>38</v>
      </c>
      <c r="U72" s="1" t="s">
        <v>115</v>
      </c>
      <c r="V72" s="1" t="s">
        <v>40</v>
      </c>
      <c r="W72" s="1" t="s">
        <v>56</v>
      </c>
      <c r="X72" s="1" t="s">
        <v>41</v>
      </c>
      <c r="Y72" s="1" t="s">
        <v>41</v>
      </c>
      <c r="Z72" s="1" t="s">
        <v>41</v>
      </c>
      <c r="AA72" s="1" t="s">
        <v>42</v>
      </c>
      <c r="AB72" s="1" t="s">
        <v>41</v>
      </c>
      <c r="AC72" s="1" t="s">
        <v>56</v>
      </c>
      <c r="AD72" s="1" t="s">
        <v>41</v>
      </c>
      <c r="AE72" s="1" t="s">
        <v>41</v>
      </c>
      <c r="AF72" s="1" t="s">
        <v>41</v>
      </c>
      <c r="AG72" s="1" t="s">
        <v>42</v>
      </c>
      <c r="AH72" s="1" t="s">
        <v>41</v>
      </c>
      <c r="AI72" s="13">
        <v>67.5</v>
      </c>
      <c r="AJ72" s="3">
        <v>69.290000000000006</v>
      </c>
      <c r="AK72" s="3">
        <v>49.35</v>
      </c>
      <c r="AL72" s="3">
        <v>61.8</v>
      </c>
      <c r="AM72" s="1" t="s">
        <v>167</v>
      </c>
      <c r="AN72" s="1" t="s">
        <v>168</v>
      </c>
      <c r="AO72" s="1" t="s">
        <v>43</v>
      </c>
      <c r="AP72" s="1" t="s">
        <v>324</v>
      </c>
      <c r="AQ72" s="1" t="s">
        <v>473</v>
      </c>
      <c r="AR72" s="1" t="s">
        <v>472</v>
      </c>
      <c r="AS72" s="4"/>
      <c r="AT72" s="35">
        <v>60</v>
      </c>
      <c r="AU72" s="5">
        <v>55</v>
      </c>
      <c r="AV72" s="4"/>
      <c r="AW72" s="15">
        <f>AT72-AZ72</f>
        <v>5</v>
      </c>
      <c r="AX72" s="4">
        <f>AW72/AT72*100</f>
        <v>8.3333333333333321</v>
      </c>
      <c r="AY72" s="4">
        <v>-14.72</v>
      </c>
      <c r="AZ72" s="5">
        <v>55</v>
      </c>
      <c r="BA72" s="4">
        <v>5.68</v>
      </c>
      <c r="BB72" s="4"/>
      <c r="BC72" s="4"/>
      <c r="BD72" s="38">
        <v>-9.25</v>
      </c>
      <c r="BE72" s="1" t="s">
        <v>165</v>
      </c>
      <c r="BF72" s="1">
        <f>56+90</f>
        <v>146</v>
      </c>
      <c r="BG72" s="1">
        <v>56</v>
      </c>
      <c r="BH72">
        <f>BF72-BG72</f>
        <v>90</v>
      </c>
      <c r="BI72" s="6"/>
    </row>
    <row r="73" spans="1:61" x14ac:dyDescent="0.2">
      <c r="A73" t="s">
        <v>338</v>
      </c>
      <c r="B73" s="1" t="s">
        <v>161</v>
      </c>
      <c r="C73" s="1">
        <v>2017</v>
      </c>
      <c r="D73" s="1" t="s">
        <v>166</v>
      </c>
      <c r="E73" s="1" t="s">
        <v>342</v>
      </c>
      <c r="F73" s="1" t="s">
        <v>506</v>
      </c>
      <c r="G73" s="1" t="s">
        <v>346</v>
      </c>
      <c r="H73" s="1" t="s">
        <v>35</v>
      </c>
      <c r="I73" s="1" t="s">
        <v>36</v>
      </c>
      <c r="J73" s="1" t="s">
        <v>163</v>
      </c>
      <c r="K73" s="2" t="s">
        <v>372</v>
      </c>
      <c r="L73" s="2" t="s">
        <v>380</v>
      </c>
      <c r="M73" s="2" t="s">
        <v>380</v>
      </c>
      <c r="N73" s="1" t="s">
        <v>164</v>
      </c>
      <c r="O73" s="1" t="s">
        <v>471</v>
      </c>
      <c r="P73" s="2" t="s">
        <v>379</v>
      </c>
      <c r="Q73" s="2" t="s">
        <v>470</v>
      </c>
      <c r="R73" s="1" t="s">
        <v>373</v>
      </c>
      <c r="S73" s="1" t="s">
        <v>54</v>
      </c>
      <c r="T73" s="1" t="s">
        <v>38</v>
      </c>
      <c r="U73" s="1" t="s">
        <v>115</v>
      </c>
      <c r="V73" s="1" t="s">
        <v>40</v>
      </c>
      <c r="W73" s="1" t="s">
        <v>56</v>
      </c>
      <c r="X73" s="1" t="s">
        <v>41</v>
      </c>
      <c r="Y73" s="1" t="s">
        <v>41</v>
      </c>
      <c r="Z73" s="1" t="s">
        <v>41</v>
      </c>
      <c r="AA73" s="1" t="s">
        <v>42</v>
      </c>
      <c r="AB73" s="1" t="s">
        <v>41</v>
      </c>
      <c r="AC73" s="1" t="s">
        <v>56</v>
      </c>
      <c r="AD73" s="1" t="s">
        <v>41</v>
      </c>
      <c r="AE73" s="1" t="s">
        <v>41</v>
      </c>
      <c r="AF73" s="1" t="s">
        <v>41</v>
      </c>
      <c r="AG73" s="1" t="s">
        <v>42</v>
      </c>
      <c r="AH73" s="1" t="s">
        <v>41</v>
      </c>
      <c r="AI73" s="13">
        <v>67.5</v>
      </c>
      <c r="AJ73" s="3">
        <v>69.290000000000006</v>
      </c>
      <c r="AK73" s="3">
        <v>49.35</v>
      </c>
      <c r="AL73" s="3">
        <v>61.8</v>
      </c>
      <c r="AM73" s="1" t="s">
        <v>167</v>
      </c>
      <c r="AN73" s="1" t="s">
        <v>168</v>
      </c>
      <c r="AO73" s="1" t="s">
        <v>43</v>
      </c>
      <c r="AP73" s="1" t="s">
        <v>324</v>
      </c>
      <c r="AQ73" s="1" t="s">
        <v>473</v>
      </c>
      <c r="AR73" s="1" t="s">
        <v>472</v>
      </c>
      <c r="AS73" s="4"/>
      <c r="AT73" s="35">
        <v>60</v>
      </c>
      <c r="AU73" s="5">
        <v>55</v>
      </c>
      <c r="AV73" s="4"/>
      <c r="AW73" s="15">
        <f>AT73-AZ73</f>
        <v>5</v>
      </c>
      <c r="AX73" s="4">
        <f>AW73/AT73*100</f>
        <v>8.3333333333333321</v>
      </c>
      <c r="AY73" s="4">
        <v>-14.21</v>
      </c>
      <c r="AZ73" s="5">
        <v>55</v>
      </c>
      <c r="BA73" s="4">
        <v>5.51</v>
      </c>
      <c r="BB73" s="4"/>
      <c r="BC73" s="4"/>
      <c r="BD73" s="38">
        <v>-9.36</v>
      </c>
      <c r="BE73" s="1" t="s">
        <v>259</v>
      </c>
      <c r="BF73" s="1">
        <v>56</v>
      </c>
      <c r="BG73" s="1">
        <v>56</v>
      </c>
      <c r="BH73">
        <f>BF73-BG73</f>
        <v>0</v>
      </c>
      <c r="BI73" s="6"/>
    </row>
    <row r="74" spans="1:61" x14ac:dyDescent="0.2">
      <c r="A74" t="s">
        <v>338</v>
      </c>
      <c r="B74" s="1" t="s">
        <v>161</v>
      </c>
      <c r="C74" s="1">
        <v>2017</v>
      </c>
      <c r="D74" s="1" t="s">
        <v>166</v>
      </c>
      <c r="E74" s="1" t="s">
        <v>342</v>
      </c>
      <c r="F74" s="1" t="s">
        <v>506</v>
      </c>
      <c r="G74" s="1" t="s">
        <v>346</v>
      </c>
      <c r="H74" s="1" t="s">
        <v>35</v>
      </c>
      <c r="I74" s="1" t="s">
        <v>36</v>
      </c>
      <c r="J74" s="1" t="s">
        <v>163</v>
      </c>
      <c r="K74" s="2" t="s">
        <v>372</v>
      </c>
      <c r="L74" s="2" t="s">
        <v>380</v>
      </c>
      <c r="M74" s="2" t="s">
        <v>380</v>
      </c>
      <c r="N74" s="1" t="s">
        <v>164</v>
      </c>
      <c r="O74" s="1" t="s">
        <v>471</v>
      </c>
      <c r="P74" s="2" t="s">
        <v>379</v>
      </c>
      <c r="Q74" s="2" t="s">
        <v>470</v>
      </c>
      <c r="R74" s="1" t="s">
        <v>373</v>
      </c>
      <c r="S74" s="1" t="s">
        <v>54</v>
      </c>
      <c r="T74" s="1" t="s">
        <v>38</v>
      </c>
      <c r="U74" s="1" t="s">
        <v>115</v>
      </c>
      <c r="V74" s="1" t="s">
        <v>40</v>
      </c>
      <c r="W74" s="1" t="s">
        <v>56</v>
      </c>
      <c r="X74" s="1" t="s">
        <v>41</v>
      </c>
      <c r="Y74" s="1" t="s">
        <v>41</v>
      </c>
      <c r="Z74" s="1" t="s">
        <v>41</v>
      </c>
      <c r="AA74" s="1" t="s">
        <v>42</v>
      </c>
      <c r="AB74" s="1" t="s">
        <v>41</v>
      </c>
      <c r="AC74" s="1" t="s">
        <v>56</v>
      </c>
      <c r="AD74" s="1" t="s">
        <v>41</v>
      </c>
      <c r="AE74" s="1" t="s">
        <v>41</v>
      </c>
      <c r="AF74" s="1" t="s">
        <v>41</v>
      </c>
      <c r="AG74" s="1" t="s">
        <v>42</v>
      </c>
      <c r="AH74" s="1" t="s">
        <v>41</v>
      </c>
      <c r="AI74" s="13">
        <v>67.5</v>
      </c>
      <c r="AJ74" s="3">
        <v>69.290000000000006</v>
      </c>
      <c r="AK74" s="3">
        <v>49.35</v>
      </c>
      <c r="AL74" s="3">
        <v>61.8</v>
      </c>
      <c r="AM74" s="1" t="s">
        <v>167</v>
      </c>
      <c r="AN74" s="1" t="s">
        <v>168</v>
      </c>
      <c r="AO74" s="1" t="s">
        <v>43</v>
      </c>
      <c r="AP74" s="1" t="s">
        <v>44</v>
      </c>
      <c r="AQ74" s="1" t="s">
        <v>45</v>
      </c>
      <c r="AR74" s="1" t="s">
        <v>472</v>
      </c>
      <c r="AS74" s="4"/>
      <c r="AT74" s="35">
        <v>60</v>
      </c>
      <c r="AU74" s="5">
        <v>55</v>
      </c>
      <c r="AV74" s="4"/>
      <c r="AW74" s="15">
        <f>AT74-AZ74</f>
        <v>5</v>
      </c>
      <c r="AX74" s="4">
        <f>AW74/AT74*100</f>
        <v>8.3333333333333321</v>
      </c>
      <c r="AY74" s="4">
        <v>-17.399999999999999</v>
      </c>
      <c r="AZ74" s="5">
        <v>55</v>
      </c>
      <c r="BA74" s="4">
        <v>8.3800000000000008</v>
      </c>
      <c r="BB74" s="4"/>
      <c r="BC74" s="4"/>
      <c r="BD74" s="38">
        <v>-9.08</v>
      </c>
      <c r="BE74" s="1" t="s">
        <v>165</v>
      </c>
      <c r="BF74" s="1">
        <f>56+90</f>
        <v>146</v>
      </c>
      <c r="BG74" s="1">
        <v>56</v>
      </c>
      <c r="BH74">
        <f>BF74-BG74</f>
        <v>90</v>
      </c>
      <c r="BI74" s="6"/>
    </row>
    <row r="75" spans="1:61" x14ac:dyDescent="0.2">
      <c r="A75" t="s">
        <v>338</v>
      </c>
      <c r="B75" s="1" t="s">
        <v>161</v>
      </c>
      <c r="C75" s="1">
        <v>2017</v>
      </c>
      <c r="D75" s="1" t="s">
        <v>166</v>
      </c>
      <c r="E75" s="1" t="s">
        <v>342</v>
      </c>
      <c r="F75" s="1" t="s">
        <v>506</v>
      </c>
      <c r="G75" s="1" t="s">
        <v>346</v>
      </c>
      <c r="H75" s="1" t="s">
        <v>35</v>
      </c>
      <c r="I75" s="1" t="s">
        <v>36</v>
      </c>
      <c r="J75" s="1" t="s">
        <v>163</v>
      </c>
      <c r="K75" s="2" t="s">
        <v>372</v>
      </c>
      <c r="L75" s="2" t="s">
        <v>380</v>
      </c>
      <c r="M75" s="2" t="s">
        <v>380</v>
      </c>
      <c r="N75" s="1" t="s">
        <v>164</v>
      </c>
      <c r="O75" s="1" t="s">
        <v>471</v>
      </c>
      <c r="P75" s="2" t="s">
        <v>379</v>
      </c>
      <c r="Q75" s="2" t="s">
        <v>470</v>
      </c>
      <c r="R75" s="1" t="s">
        <v>373</v>
      </c>
      <c r="S75" s="1" t="s">
        <v>54</v>
      </c>
      <c r="T75" s="1" t="s">
        <v>38</v>
      </c>
      <c r="U75" s="1" t="s">
        <v>115</v>
      </c>
      <c r="V75" s="1" t="s">
        <v>40</v>
      </c>
      <c r="W75" s="1" t="s">
        <v>56</v>
      </c>
      <c r="X75" s="1" t="s">
        <v>41</v>
      </c>
      <c r="Y75" s="1" t="s">
        <v>41</v>
      </c>
      <c r="Z75" s="1" t="s">
        <v>41</v>
      </c>
      <c r="AA75" s="1" t="s">
        <v>42</v>
      </c>
      <c r="AB75" s="1" t="s">
        <v>41</v>
      </c>
      <c r="AC75" s="1" t="s">
        <v>56</v>
      </c>
      <c r="AD75" s="1" t="s">
        <v>41</v>
      </c>
      <c r="AE75" s="1" t="s">
        <v>41</v>
      </c>
      <c r="AF75" s="1" t="s">
        <v>41</v>
      </c>
      <c r="AG75" s="1" t="s">
        <v>42</v>
      </c>
      <c r="AH75" s="1" t="s">
        <v>41</v>
      </c>
      <c r="AI75" s="13">
        <v>67.5</v>
      </c>
      <c r="AJ75" s="3">
        <v>69.290000000000006</v>
      </c>
      <c r="AK75" s="3">
        <v>49.35</v>
      </c>
      <c r="AL75" s="3">
        <v>61.8</v>
      </c>
      <c r="AM75" s="1" t="s">
        <v>167</v>
      </c>
      <c r="AN75" s="1" t="s">
        <v>168</v>
      </c>
      <c r="AO75" s="1" t="s">
        <v>43</v>
      </c>
      <c r="AP75" s="1" t="s">
        <v>44</v>
      </c>
      <c r="AQ75" s="1" t="s">
        <v>45</v>
      </c>
      <c r="AR75" s="1" t="s">
        <v>472</v>
      </c>
      <c r="AS75" s="4"/>
      <c r="AT75" s="35">
        <v>60</v>
      </c>
      <c r="AU75" s="5">
        <v>55</v>
      </c>
      <c r="AV75" s="4"/>
      <c r="AW75" s="15">
        <f>AT75-AZ75</f>
        <v>5</v>
      </c>
      <c r="AX75" s="4">
        <f>AW75/AT75*100</f>
        <v>8.3333333333333321</v>
      </c>
      <c r="AY75" s="4">
        <v>-17.36</v>
      </c>
      <c r="AZ75" s="5">
        <v>55</v>
      </c>
      <c r="BA75" s="4">
        <v>8.34</v>
      </c>
      <c r="BB75" s="4"/>
      <c r="BC75" s="4"/>
      <c r="BD75" s="38">
        <v>-9.52</v>
      </c>
      <c r="BE75" s="1" t="s">
        <v>259</v>
      </c>
      <c r="BF75" s="1">
        <v>56</v>
      </c>
      <c r="BG75" s="1">
        <v>56</v>
      </c>
      <c r="BH75">
        <f>BF75-BG75</f>
        <v>0</v>
      </c>
      <c r="BI75" s="6"/>
    </row>
    <row r="76" spans="1:61" x14ac:dyDescent="0.2">
      <c r="A76" t="s">
        <v>338</v>
      </c>
      <c r="B76" s="1" t="s">
        <v>161</v>
      </c>
      <c r="C76" s="1">
        <v>2017</v>
      </c>
      <c r="D76" s="1" t="s">
        <v>166</v>
      </c>
      <c r="E76" s="1" t="s">
        <v>342</v>
      </c>
      <c r="F76" s="1" t="s">
        <v>506</v>
      </c>
      <c r="G76" s="1" t="s">
        <v>346</v>
      </c>
      <c r="H76" s="1" t="s">
        <v>35</v>
      </c>
      <c r="I76" s="1" t="s">
        <v>36</v>
      </c>
      <c r="J76" s="1" t="s">
        <v>163</v>
      </c>
      <c r="K76" s="2" t="s">
        <v>372</v>
      </c>
      <c r="L76" s="2" t="s">
        <v>380</v>
      </c>
      <c r="M76" s="2" t="s">
        <v>380</v>
      </c>
      <c r="N76" s="1" t="s">
        <v>164</v>
      </c>
      <c r="O76" s="1" t="s">
        <v>471</v>
      </c>
      <c r="P76" s="2" t="s">
        <v>379</v>
      </c>
      <c r="Q76" s="2" t="s">
        <v>470</v>
      </c>
      <c r="R76" s="1" t="s">
        <v>373</v>
      </c>
      <c r="S76" s="1" t="s">
        <v>54</v>
      </c>
      <c r="T76" s="1" t="s">
        <v>38</v>
      </c>
      <c r="U76" s="1" t="s">
        <v>115</v>
      </c>
      <c r="V76" s="1" t="s">
        <v>40</v>
      </c>
      <c r="W76" s="1" t="s">
        <v>56</v>
      </c>
      <c r="X76" s="1" t="s">
        <v>41</v>
      </c>
      <c r="Y76" s="1" t="s">
        <v>41</v>
      </c>
      <c r="Z76" s="1" t="s">
        <v>41</v>
      </c>
      <c r="AA76" s="1" t="s">
        <v>42</v>
      </c>
      <c r="AB76" s="1" t="s">
        <v>41</v>
      </c>
      <c r="AC76" s="1" t="s">
        <v>56</v>
      </c>
      <c r="AD76" s="1" t="s">
        <v>41</v>
      </c>
      <c r="AE76" s="1" t="s">
        <v>41</v>
      </c>
      <c r="AF76" s="1" t="s">
        <v>41</v>
      </c>
      <c r="AG76" s="1" t="s">
        <v>42</v>
      </c>
      <c r="AH76" s="1" t="s">
        <v>41</v>
      </c>
      <c r="AI76" s="13">
        <v>67.5</v>
      </c>
      <c r="AJ76" s="3">
        <v>69.290000000000006</v>
      </c>
      <c r="AK76" s="3">
        <v>49.35</v>
      </c>
      <c r="AL76" s="3">
        <v>61.8</v>
      </c>
      <c r="AM76" s="1" t="s">
        <v>167</v>
      </c>
      <c r="AN76" s="1" t="s">
        <v>168</v>
      </c>
      <c r="AO76" s="1" t="s">
        <v>43</v>
      </c>
      <c r="AP76" s="1" t="s">
        <v>134</v>
      </c>
      <c r="AQ76" s="1" t="s">
        <v>257</v>
      </c>
      <c r="AR76" s="1" t="s">
        <v>472</v>
      </c>
      <c r="AS76" s="4"/>
      <c r="AT76" s="35">
        <v>60</v>
      </c>
      <c r="AU76" s="5">
        <v>55</v>
      </c>
      <c r="AV76" s="4"/>
      <c r="AW76" s="15">
        <f>AT76-AZ76</f>
        <v>5</v>
      </c>
      <c r="AX76" s="4">
        <f>AW76/AT76*100</f>
        <v>8.3333333333333321</v>
      </c>
      <c r="AY76" s="4">
        <v>-9.8699999999999992</v>
      </c>
      <c r="AZ76" s="5">
        <v>55</v>
      </c>
      <c r="BA76" s="4">
        <v>4.05</v>
      </c>
      <c r="BB76" s="4"/>
      <c r="BC76" s="4"/>
      <c r="BD76" s="38">
        <v>-9.43</v>
      </c>
      <c r="BE76" s="1" t="s">
        <v>165</v>
      </c>
      <c r="BF76" s="1">
        <f>56+90</f>
        <v>146</v>
      </c>
      <c r="BG76" s="1">
        <v>56</v>
      </c>
      <c r="BH76">
        <f>BF76-BG76</f>
        <v>90</v>
      </c>
      <c r="BI76" s="6"/>
    </row>
    <row r="77" spans="1:61" x14ac:dyDescent="0.2">
      <c r="A77" t="s">
        <v>338</v>
      </c>
      <c r="B77" s="1" t="s">
        <v>161</v>
      </c>
      <c r="C77" s="1">
        <v>2017</v>
      </c>
      <c r="D77" s="1" t="s">
        <v>166</v>
      </c>
      <c r="E77" s="1" t="s">
        <v>342</v>
      </c>
      <c r="F77" s="1" t="s">
        <v>506</v>
      </c>
      <c r="G77" s="1" t="s">
        <v>346</v>
      </c>
      <c r="H77" s="1" t="s">
        <v>35</v>
      </c>
      <c r="I77" s="1" t="s">
        <v>36</v>
      </c>
      <c r="J77" s="1" t="s">
        <v>163</v>
      </c>
      <c r="K77" s="2" t="s">
        <v>372</v>
      </c>
      <c r="L77" s="2" t="s">
        <v>380</v>
      </c>
      <c r="M77" s="2" t="s">
        <v>380</v>
      </c>
      <c r="N77" s="1" t="s">
        <v>164</v>
      </c>
      <c r="O77" s="1" t="s">
        <v>471</v>
      </c>
      <c r="P77" s="2" t="s">
        <v>379</v>
      </c>
      <c r="Q77" s="2" t="s">
        <v>470</v>
      </c>
      <c r="R77" s="1" t="s">
        <v>373</v>
      </c>
      <c r="S77" s="1" t="s">
        <v>54</v>
      </c>
      <c r="T77" s="1" t="s">
        <v>38</v>
      </c>
      <c r="U77" s="1" t="s">
        <v>115</v>
      </c>
      <c r="V77" s="1" t="s">
        <v>40</v>
      </c>
      <c r="W77" s="1" t="s">
        <v>56</v>
      </c>
      <c r="X77" s="1" t="s">
        <v>41</v>
      </c>
      <c r="Y77" s="1" t="s">
        <v>41</v>
      </c>
      <c r="Z77" s="1" t="s">
        <v>41</v>
      </c>
      <c r="AA77" s="1" t="s">
        <v>42</v>
      </c>
      <c r="AB77" s="1" t="s">
        <v>41</v>
      </c>
      <c r="AC77" s="1" t="s">
        <v>56</v>
      </c>
      <c r="AD77" s="1" t="s">
        <v>41</v>
      </c>
      <c r="AE77" s="1" t="s">
        <v>41</v>
      </c>
      <c r="AF77" s="1" t="s">
        <v>41</v>
      </c>
      <c r="AG77" s="1" t="s">
        <v>42</v>
      </c>
      <c r="AH77" s="1" t="s">
        <v>41</v>
      </c>
      <c r="AI77" s="13">
        <v>67.5</v>
      </c>
      <c r="AJ77" s="3">
        <v>69.290000000000006</v>
      </c>
      <c r="AK77" s="3">
        <v>49.35</v>
      </c>
      <c r="AL77" s="3">
        <v>61.8</v>
      </c>
      <c r="AM77" s="1" t="s">
        <v>167</v>
      </c>
      <c r="AN77" s="1" t="s">
        <v>168</v>
      </c>
      <c r="AO77" s="1" t="s">
        <v>43</v>
      </c>
      <c r="AP77" s="1" t="s">
        <v>134</v>
      </c>
      <c r="AQ77" s="1" t="s">
        <v>257</v>
      </c>
      <c r="AR77" s="1" t="s">
        <v>472</v>
      </c>
      <c r="AS77" s="4"/>
      <c r="AT77" s="35">
        <v>60</v>
      </c>
      <c r="AU77" s="5">
        <v>55</v>
      </c>
      <c r="AV77" s="4"/>
      <c r="AW77" s="15">
        <f>AT77-AZ77</f>
        <v>5</v>
      </c>
      <c r="AX77" s="4">
        <f>AW77/AT77*100</f>
        <v>8.3333333333333321</v>
      </c>
      <c r="AY77" s="4">
        <v>-9.76</v>
      </c>
      <c r="AZ77" s="5">
        <v>55</v>
      </c>
      <c r="BA77" s="4">
        <v>4.0199999999999996</v>
      </c>
      <c r="BB77" s="4"/>
      <c r="BC77" s="4"/>
      <c r="BD77" s="38">
        <v>-9.73</v>
      </c>
      <c r="BE77" s="1" t="s">
        <v>259</v>
      </c>
      <c r="BF77" s="1">
        <v>56</v>
      </c>
      <c r="BG77" s="1">
        <v>56</v>
      </c>
      <c r="BH77">
        <f>BF77-BG77</f>
        <v>0</v>
      </c>
      <c r="BI77" s="6"/>
    </row>
    <row r="78" spans="1:61" x14ac:dyDescent="0.2">
      <c r="A78" t="s">
        <v>337</v>
      </c>
      <c r="B78" s="2" t="s">
        <v>279</v>
      </c>
      <c r="C78" s="2">
        <v>2019</v>
      </c>
      <c r="D78" s="2" t="s">
        <v>68</v>
      </c>
      <c r="E78" s="1" t="s">
        <v>342</v>
      </c>
      <c r="F78" s="1" t="s">
        <v>506</v>
      </c>
      <c r="G78" s="2" t="s">
        <v>348</v>
      </c>
      <c r="H78" s="2" t="s">
        <v>96</v>
      </c>
      <c r="I78" s="2" t="s">
        <v>97</v>
      </c>
      <c r="J78" s="2" t="s">
        <v>113</v>
      </c>
      <c r="K78" s="2" t="s">
        <v>372</v>
      </c>
      <c r="L78" s="2"/>
      <c r="M78" s="2"/>
      <c r="N78" s="2" t="s">
        <v>280</v>
      </c>
      <c r="O78" s="2" t="s">
        <v>483</v>
      </c>
      <c r="P78" s="1" t="s">
        <v>408</v>
      </c>
      <c r="Q78" s="1" t="s">
        <v>484</v>
      </c>
      <c r="R78" s="2" t="s">
        <v>373</v>
      </c>
      <c r="S78" s="2" t="s">
        <v>281</v>
      </c>
      <c r="T78" s="2" t="s">
        <v>281</v>
      </c>
      <c r="U78" s="2" t="s">
        <v>282</v>
      </c>
      <c r="V78" s="2" t="s">
        <v>40</v>
      </c>
      <c r="W78" s="2" t="s">
        <v>41</v>
      </c>
      <c r="X78" s="2" t="s">
        <v>41</v>
      </c>
      <c r="Y78" s="2" t="s">
        <v>56</v>
      </c>
      <c r="Z78" s="2" t="s">
        <v>41</v>
      </c>
      <c r="AA78" s="2" t="s">
        <v>41</v>
      </c>
      <c r="AB78" s="2" t="s">
        <v>41</v>
      </c>
      <c r="AC78" s="2" t="s">
        <v>56</v>
      </c>
      <c r="AD78" s="2" t="s">
        <v>41</v>
      </c>
      <c r="AE78" s="2" t="s">
        <v>56</v>
      </c>
      <c r="AF78" s="2" t="s">
        <v>42</v>
      </c>
      <c r="AG78" s="2" t="s">
        <v>42</v>
      </c>
      <c r="AH78" s="2" t="s">
        <v>41</v>
      </c>
      <c r="AI78" s="7">
        <v>76.67</v>
      </c>
      <c r="AJ78" s="7">
        <v>76.7</v>
      </c>
      <c r="AK78" s="7">
        <v>53.6</v>
      </c>
      <c r="AL78" s="7">
        <v>83.33</v>
      </c>
      <c r="AM78" s="2" t="s">
        <v>300</v>
      </c>
      <c r="AN78" s="2"/>
      <c r="AO78" s="2"/>
      <c r="AP78" s="1" t="s">
        <v>82</v>
      </c>
      <c r="AQ78" s="1" t="s">
        <v>325</v>
      </c>
      <c r="AR78" s="1" t="s">
        <v>46</v>
      </c>
      <c r="AS78" s="4">
        <v>31.18</v>
      </c>
      <c r="AT78" s="31">
        <v>22</v>
      </c>
      <c r="AU78" s="5">
        <v>22</v>
      </c>
      <c r="AV78" s="4">
        <v>6.14</v>
      </c>
      <c r="AW78" s="15">
        <f>AT78-AZ78</f>
        <v>5</v>
      </c>
      <c r="AX78" s="4">
        <f>AW78/AT78*100</f>
        <v>22.727272727272727</v>
      </c>
      <c r="AY78" s="4">
        <v>31.79</v>
      </c>
      <c r="AZ78" s="5">
        <v>17</v>
      </c>
      <c r="BA78" s="4">
        <v>5.41</v>
      </c>
      <c r="BB78" s="4"/>
      <c r="BC78" s="8"/>
      <c r="BD78" s="8"/>
      <c r="BE78" s="2" t="s">
        <v>311</v>
      </c>
      <c r="BF78" s="2">
        <v>112</v>
      </c>
      <c r="BG78" s="2">
        <v>112</v>
      </c>
      <c r="BH78">
        <f>BF78-BG78</f>
        <v>0</v>
      </c>
      <c r="BI78" s="6"/>
    </row>
    <row r="79" spans="1:61" x14ac:dyDescent="0.2">
      <c r="A79" t="s">
        <v>337</v>
      </c>
      <c r="B79" s="2" t="s">
        <v>279</v>
      </c>
      <c r="C79" s="2">
        <v>2019</v>
      </c>
      <c r="D79" s="2" t="s">
        <v>68</v>
      </c>
      <c r="E79" s="1" t="s">
        <v>342</v>
      </c>
      <c r="F79" s="1" t="s">
        <v>506</v>
      </c>
      <c r="G79" s="2" t="s">
        <v>348</v>
      </c>
      <c r="H79" s="2" t="s">
        <v>96</v>
      </c>
      <c r="I79" s="2" t="s">
        <v>97</v>
      </c>
      <c r="J79" s="2" t="s">
        <v>113</v>
      </c>
      <c r="K79" s="2" t="s">
        <v>372</v>
      </c>
      <c r="L79" s="2"/>
      <c r="M79" s="2"/>
      <c r="N79" s="2" t="s">
        <v>280</v>
      </c>
      <c r="O79" s="2" t="s">
        <v>483</v>
      </c>
      <c r="P79" s="1" t="s">
        <v>408</v>
      </c>
      <c r="Q79" s="1" t="s">
        <v>484</v>
      </c>
      <c r="R79" s="2" t="s">
        <v>373</v>
      </c>
      <c r="S79" s="2" t="s">
        <v>281</v>
      </c>
      <c r="T79" s="2" t="s">
        <v>281</v>
      </c>
      <c r="U79" s="2" t="s">
        <v>282</v>
      </c>
      <c r="V79" s="2" t="s">
        <v>40</v>
      </c>
      <c r="W79" s="2" t="s">
        <v>41</v>
      </c>
      <c r="X79" s="2" t="s">
        <v>41</v>
      </c>
      <c r="Y79" s="2" t="s">
        <v>56</v>
      </c>
      <c r="Z79" s="2" t="s">
        <v>41</v>
      </c>
      <c r="AA79" s="2" t="s">
        <v>41</v>
      </c>
      <c r="AB79" s="2" t="s">
        <v>41</v>
      </c>
      <c r="AC79" s="2" t="s">
        <v>56</v>
      </c>
      <c r="AD79" s="2" t="s">
        <v>41</v>
      </c>
      <c r="AE79" s="2" t="s">
        <v>56</v>
      </c>
      <c r="AF79" s="2" t="s">
        <v>42</v>
      </c>
      <c r="AG79" s="2" t="s">
        <v>42</v>
      </c>
      <c r="AH79" s="2" t="s">
        <v>41</v>
      </c>
      <c r="AI79" s="7">
        <v>76.67</v>
      </c>
      <c r="AJ79" s="7">
        <v>76.7</v>
      </c>
      <c r="AK79" s="7">
        <v>53.6</v>
      </c>
      <c r="AL79" s="7">
        <v>83.33</v>
      </c>
      <c r="AM79" s="2" t="s">
        <v>300</v>
      </c>
      <c r="AN79" s="2"/>
      <c r="AO79" s="2"/>
      <c r="AP79" s="1" t="s">
        <v>324</v>
      </c>
      <c r="AQ79" s="1" t="s">
        <v>322</v>
      </c>
      <c r="AR79" s="1" t="s">
        <v>46</v>
      </c>
      <c r="AS79" s="4">
        <v>10.06</v>
      </c>
      <c r="AT79" s="31">
        <v>30</v>
      </c>
      <c r="AU79" s="5">
        <v>30</v>
      </c>
      <c r="AV79" s="4">
        <v>8.89</v>
      </c>
      <c r="AW79" s="15">
        <f>AT79-AZ79</f>
        <v>4</v>
      </c>
      <c r="AX79" s="4">
        <f>AW79/AT79*100</f>
        <v>13.333333333333334</v>
      </c>
      <c r="AY79" s="4">
        <v>6.18</v>
      </c>
      <c r="AZ79" s="5">
        <v>26</v>
      </c>
      <c r="BA79" s="4">
        <v>7.26</v>
      </c>
      <c r="BB79" s="4"/>
      <c r="BC79" s="8"/>
      <c r="BD79" s="8"/>
      <c r="BE79" s="2" t="s">
        <v>311</v>
      </c>
      <c r="BF79" s="2">
        <v>112</v>
      </c>
      <c r="BG79" s="2">
        <v>112</v>
      </c>
      <c r="BH79">
        <f>BF79-BG79</f>
        <v>0</v>
      </c>
      <c r="BI79" s="6"/>
    </row>
    <row r="80" spans="1:61" x14ac:dyDescent="0.2">
      <c r="A80" t="s">
        <v>337</v>
      </c>
      <c r="B80" s="2" t="s">
        <v>279</v>
      </c>
      <c r="C80" s="2">
        <v>2019</v>
      </c>
      <c r="D80" s="2" t="s">
        <v>68</v>
      </c>
      <c r="E80" s="1" t="s">
        <v>342</v>
      </c>
      <c r="F80" s="1" t="s">
        <v>506</v>
      </c>
      <c r="G80" s="2" t="s">
        <v>348</v>
      </c>
      <c r="H80" s="2" t="s">
        <v>96</v>
      </c>
      <c r="I80" s="2" t="s">
        <v>97</v>
      </c>
      <c r="J80" s="2" t="s">
        <v>113</v>
      </c>
      <c r="K80" s="2" t="s">
        <v>372</v>
      </c>
      <c r="L80" s="2"/>
      <c r="M80" s="2"/>
      <c r="N80" s="2" t="s">
        <v>280</v>
      </c>
      <c r="O80" s="2" t="s">
        <v>483</v>
      </c>
      <c r="P80" s="1" t="s">
        <v>408</v>
      </c>
      <c r="Q80" s="1" t="s">
        <v>484</v>
      </c>
      <c r="R80" s="2" t="s">
        <v>373</v>
      </c>
      <c r="S80" s="2" t="s">
        <v>281</v>
      </c>
      <c r="T80" s="2" t="s">
        <v>281</v>
      </c>
      <c r="U80" s="2" t="s">
        <v>282</v>
      </c>
      <c r="V80" s="2" t="s">
        <v>40</v>
      </c>
      <c r="W80" s="2" t="s">
        <v>41</v>
      </c>
      <c r="X80" s="2" t="s">
        <v>41</v>
      </c>
      <c r="Y80" s="2" t="s">
        <v>56</v>
      </c>
      <c r="Z80" s="2" t="s">
        <v>41</v>
      </c>
      <c r="AA80" s="2" t="s">
        <v>41</v>
      </c>
      <c r="AB80" s="2" t="s">
        <v>41</v>
      </c>
      <c r="AC80" s="2" t="s">
        <v>56</v>
      </c>
      <c r="AD80" s="2" t="s">
        <v>41</v>
      </c>
      <c r="AE80" s="2" t="s">
        <v>56</v>
      </c>
      <c r="AF80" s="2" t="s">
        <v>42</v>
      </c>
      <c r="AG80" s="2" t="s">
        <v>42</v>
      </c>
      <c r="AH80" s="2" t="s">
        <v>41</v>
      </c>
      <c r="AI80" s="7">
        <v>76.67</v>
      </c>
      <c r="AJ80" s="7">
        <v>76.7</v>
      </c>
      <c r="AK80" s="7">
        <v>53.6</v>
      </c>
      <c r="AL80" s="7">
        <v>83.33</v>
      </c>
      <c r="AM80" s="2" t="s">
        <v>300</v>
      </c>
      <c r="AN80" s="2"/>
      <c r="AO80" s="2"/>
      <c r="AP80" s="2" t="s">
        <v>44</v>
      </c>
      <c r="AQ80" s="2" t="s">
        <v>45</v>
      </c>
      <c r="AR80" s="2" t="s">
        <v>46</v>
      </c>
      <c r="AS80" s="8">
        <v>31.43</v>
      </c>
      <c r="AT80" s="32">
        <v>30</v>
      </c>
      <c r="AU80" s="9">
        <v>30</v>
      </c>
      <c r="AV80" s="8">
        <v>18.18</v>
      </c>
      <c r="AW80" s="15">
        <f>AT80-AZ80</f>
        <v>4</v>
      </c>
      <c r="AX80" s="4">
        <f>AW80/AT80*100</f>
        <v>13.333333333333334</v>
      </c>
      <c r="AY80" s="8">
        <v>27.87</v>
      </c>
      <c r="AZ80" s="9">
        <v>26</v>
      </c>
      <c r="BA80" s="8">
        <v>18.39</v>
      </c>
      <c r="BB80" s="8"/>
      <c r="BC80" s="8"/>
      <c r="BD80" s="8"/>
      <c r="BE80" s="2" t="s">
        <v>311</v>
      </c>
      <c r="BF80" s="2">
        <v>112</v>
      </c>
      <c r="BG80" s="2">
        <v>112</v>
      </c>
      <c r="BH80">
        <f>BF80-BG80</f>
        <v>0</v>
      </c>
      <c r="BI80" s="6"/>
    </row>
    <row r="81" spans="1:61" x14ac:dyDescent="0.2">
      <c r="A81" t="s">
        <v>337</v>
      </c>
      <c r="B81" s="2" t="s">
        <v>279</v>
      </c>
      <c r="C81" s="2">
        <v>2019</v>
      </c>
      <c r="D81" s="2" t="s">
        <v>68</v>
      </c>
      <c r="E81" s="1" t="s">
        <v>342</v>
      </c>
      <c r="F81" s="1" t="s">
        <v>506</v>
      </c>
      <c r="G81" s="2" t="s">
        <v>348</v>
      </c>
      <c r="H81" s="2" t="s">
        <v>96</v>
      </c>
      <c r="I81" s="2" t="s">
        <v>97</v>
      </c>
      <c r="J81" s="2" t="s">
        <v>113</v>
      </c>
      <c r="K81" s="2" t="s">
        <v>372</v>
      </c>
      <c r="L81" s="2"/>
      <c r="M81" s="2"/>
      <c r="N81" s="2" t="s">
        <v>280</v>
      </c>
      <c r="O81" s="2" t="s">
        <v>483</v>
      </c>
      <c r="P81" s="1" t="s">
        <v>408</v>
      </c>
      <c r="Q81" s="1" t="s">
        <v>484</v>
      </c>
      <c r="R81" s="2" t="s">
        <v>373</v>
      </c>
      <c r="S81" s="2" t="s">
        <v>281</v>
      </c>
      <c r="T81" s="2" t="s">
        <v>281</v>
      </c>
      <c r="U81" s="2" t="s">
        <v>282</v>
      </c>
      <c r="V81" s="2" t="s">
        <v>40</v>
      </c>
      <c r="W81" s="2" t="s">
        <v>41</v>
      </c>
      <c r="X81" s="2" t="s">
        <v>41</v>
      </c>
      <c r="Y81" s="2" t="s">
        <v>56</v>
      </c>
      <c r="Z81" s="2" t="s">
        <v>41</v>
      </c>
      <c r="AA81" s="2" t="s">
        <v>41</v>
      </c>
      <c r="AB81" s="2" t="s">
        <v>41</v>
      </c>
      <c r="AC81" s="2" t="s">
        <v>56</v>
      </c>
      <c r="AD81" s="2" t="s">
        <v>41</v>
      </c>
      <c r="AE81" s="2" t="s">
        <v>56</v>
      </c>
      <c r="AF81" s="2" t="s">
        <v>42</v>
      </c>
      <c r="AG81" s="2" t="s">
        <v>42</v>
      </c>
      <c r="AH81" s="2" t="s">
        <v>41</v>
      </c>
      <c r="AI81" s="7">
        <v>76.67</v>
      </c>
      <c r="AJ81" s="7">
        <v>76.7</v>
      </c>
      <c r="AK81" s="7">
        <v>53.6</v>
      </c>
      <c r="AL81" s="7">
        <v>83.33</v>
      </c>
      <c r="AM81" s="2" t="s">
        <v>300</v>
      </c>
      <c r="AN81" s="2"/>
      <c r="AO81" s="2"/>
      <c r="AP81" s="1" t="s">
        <v>134</v>
      </c>
      <c r="AQ81" s="1" t="s">
        <v>321</v>
      </c>
      <c r="AR81" s="1" t="s">
        <v>46</v>
      </c>
      <c r="AS81" s="4">
        <v>11.62</v>
      </c>
      <c r="AT81" s="31">
        <v>30</v>
      </c>
      <c r="AU81" s="5">
        <v>30</v>
      </c>
      <c r="AV81" s="4">
        <v>8.34</v>
      </c>
      <c r="AW81" s="15">
        <f>AT81-AZ81</f>
        <v>4</v>
      </c>
      <c r="AX81" s="4">
        <f>AW81/AT81*100</f>
        <v>13.333333333333334</v>
      </c>
      <c r="AY81" s="4">
        <v>9.68</v>
      </c>
      <c r="AZ81" s="5">
        <v>26</v>
      </c>
      <c r="BA81" s="4">
        <v>8.4499999999999993</v>
      </c>
      <c r="BB81" s="4"/>
      <c r="BC81" s="8"/>
      <c r="BD81" s="8"/>
      <c r="BE81" s="2" t="s">
        <v>311</v>
      </c>
      <c r="BF81" s="2">
        <v>112</v>
      </c>
      <c r="BG81" s="2">
        <v>112</v>
      </c>
      <c r="BH81">
        <f>BF81-BG81</f>
        <v>0</v>
      </c>
      <c r="BI81" s="6"/>
    </row>
    <row r="82" spans="1:61" x14ac:dyDescent="0.2">
      <c r="A82" t="s">
        <v>337</v>
      </c>
      <c r="B82" s="2" t="s">
        <v>279</v>
      </c>
      <c r="C82" s="2">
        <v>2019</v>
      </c>
      <c r="D82" s="2" t="s">
        <v>68</v>
      </c>
      <c r="E82" s="1" t="s">
        <v>342</v>
      </c>
      <c r="F82" s="1" t="s">
        <v>506</v>
      </c>
      <c r="G82" s="2" t="s">
        <v>348</v>
      </c>
      <c r="H82" s="2" t="s">
        <v>96</v>
      </c>
      <c r="I82" s="2" t="s">
        <v>97</v>
      </c>
      <c r="J82" s="2" t="s">
        <v>113</v>
      </c>
      <c r="K82" s="2" t="s">
        <v>372</v>
      </c>
      <c r="L82" s="2"/>
      <c r="M82" s="2"/>
      <c r="N82" s="2" t="s">
        <v>280</v>
      </c>
      <c r="O82" s="2" t="s">
        <v>483</v>
      </c>
      <c r="P82" s="1" t="s">
        <v>408</v>
      </c>
      <c r="Q82" s="1" t="s">
        <v>484</v>
      </c>
      <c r="R82" s="2" t="s">
        <v>373</v>
      </c>
      <c r="S82" s="2" t="s">
        <v>281</v>
      </c>
      <c r="T82" s="2" t="s">
        <v>281</v>
      </c>
      <c r="U82" s="2" t="s">
        <v>282</v>
      </c>
      <c r="V82" s="2" t="s">
        <v>40</v>
      </c>
      <c r="W82" s="2" t="s">
        <v>41</v>
      </c>
      <c r="X82" s="2" t="s">
        <v>41</v>
      </c>
      <c r="Y82" s="2" t="s">
        <v>56</v>
      </c>
      <c r="Z82" s="2" t="s">
        <v>41</v>
      </c>
      <c r="AA82" s="2" t="s">
        <v>41</v>
      </c>
      <c r="AB82" s="2" t="s">
        <v>41</v>
      </c>
      <c r="AC82" s="2" t="s">
        <v>56</v>
      </c>
      <c r="AD82" s="2" t="s">
        <v>41</v>
      </c>
      <c r="AE82" s="2" t="s">
        <v>56</v>
      </c>
      <c r="AF82" s="2" t="s">
        <v>42</v>
      </c>
      <c r="AG82" s="2" t="s">
        <v>42</v>
      </c>
      <c r="AH82" s="2" t="s">
        <v>41</v>
      </c>
      <c r="AI82" s="7">
        <v>76.67</v>
      </c>
      <c r="AJ82" s="7">
        <v>76.7</v>
      </c>
      <c r="AK82" s="7">
        <v>53.6</v>
      </c>
      <c r="AL82" s="7">
        <v>83.33</v>
      </c>
      <c r="AM82" s="2" t="s">
        <v>300</v>
      </c>
      <c r="AN82" s="2"/>
      <c r="AO82" s="2"/>
      <c r="AP82" s="1" t="s">
        <v>73</v>
      </c>
      <c r="AQ82" s="1" t="s">
        <v>333</v>
      </c>
      <c r="AR82" s="1" t="s">
        <v>46</v>
      </c>
      <c r="AS82" s="4">
        <v>11.87</v>
      </c>
      <c r="AT82" s="31">
        <v>30</v>
      </c>
      <c r="AU82" s="5">
        <v>30</v>
      </c>
      <c r="AV82" s="4">
        <v>9.73</v>
      </c>
      <c r="AW82" s="15">
        <f>AT82-AZ82</f>
        <v>4</v>
      </c>
      <c r="AX82" s="4">
        <f>AW82/AT82*100</f>
        <v>13.333333333333334</v>
      </c>
      <c r="AY82" s="4">
        <v>10.5</v>
      </c>
      <c r="AZ82" s="5">
        <v>26</v>
      </c>
      <c r="BA82" s="4">
        <v>8.6999999999999993</v>
      </c>
      <c r="BB82" s="4"/>
      <c r="BC82" s="8"/>
      <c r="BD82" s="8"/>
      <c r="BE82" s="2" t="s">
        <v>311</v>
      </c>
      <c r="BF82" s="2">
        <v>112</v>
      </c>
      <c r="BG82" s="2">
        <v>112</v>
      </c>
      <c r="BH82">
        <f>BF82-BG82</f>
        <v>0</v>
      </c>
      <c r="BI82" s="6"/>
    </row>
    <row r="83" spans="1:61" x14ac:dyDescent="0.2">
      <c r="A83" t="s">
        <v>337</v>
      </c>
      <c r="B83" s="2" t="s">
        <v>279</v>
      </c>
      <c r="C83" s="2">
        <v>2019</v>
      </c>
      <c r="D83" s="2" t="s">
        <v>68</v>
      </c>
      <c r="E83" s="1" t="s">
        <v>342</v>
      </c>
      <c r="F83" s="1" t="s">
        <v>506</v>
      </c>
      <c r="G83" s="2" t="s">
        <v>348</v>
      </c>
      <c r="H83" s="2" t="s">
        <v>96</v>
      </c>
      <c r="I83" s="2" t="s">
        <v>97</v>
      </c>
      <c r="J83" s="2" t="s">
        <v>113</v>
      </c>
      <c r="K83" s="2" t="s">
        <v>372</v>
      </c>
      <c r="L83" s="2"/>
      <c r="M83" s="2"/>
      <c r="N83" s="2" t="s">
        <v>280</v>
      </c>
      <c r="O83" s="2" t="s">
        <v>483</v>
      </c>
      <c r="P83" s="1" t="s">
        <v>408</v>
      </c>
      <c r="Q83" s="1" t="s">
        <v>484</v>
      </c>
      <c r="R83" s="2" t="s">
        <v>373</v>
      </c>
      <c r="S83" s="2" t="s">
        <v>281</v>
      </c>
      <c r="T83" s="2" t="s">
        <v>281</v>
      </c>
      <c r="U83" s="2" t="s">
        <v>282</v>
      </c>
      <c r="V83" s="2" t="s">
        <v>40</v>
      </c>
      <c r="W83" s="2" t="s">
        <v>41</v>
      </c>
      <c r="X83" s="2" t="s">
        <v>41</v>
      </c>
      <c r="Y83" s="2" t="s">
        <v>56</v>
      </c>
      <c r="Z83" s="2" t="s">
        <v>41</v>
      </c>
      <c r="AA83" s="2" t="s">
        <v>41</v>
      </c>
      <c r="AB83" s="2" t="s">
        <v>41</v>
      </c>
      <c r="AC83" s="2" t="s">
        <v>56</v>
      </c>
      <c r="AD83" s="2" t="s">
        <v>41</v>
      </c>
      <c r="AE83" s="2" t="s">
        <v>56</v>
      </c>
      <c r="AF83" s="2" t="s">
        <v>42</v>
      </c>
      <c r="AG83" s="2" t="s">
        <v>42</v>
      </c>
      <c r="AH83" s="2" t="s">
        <v>41</v>
      </c>
      <c r="AI83" s="7">
        <v>76.67</v>
      </c>
      <c r="AJ83" s="7">
        <v>76.7</v>
      </c>
      <c r="AK83" s="7">
        <v>53.6</v>
      </c>
      <c r="AL83" s="7">
        <v>83.33</v>
      </c>
      <c r="AM83" s="2" t="s">
        <v>300</v>
      </c>
      <c r="AN83" s="2"/>
      <c r="AO83" s="2"/>
      <c r="AP83" s="1" t="s">
        <v>79</v>
      </c>
      <c r="AQ83" s="1" t="s">
        <v>320</v>
      </c>
      <c r="AR83" s="1" t="s">
        <v>46</v>
      </c>
      <c r="AS83" s="4">
        <v>41.75</v>
      </c>
      <c r="AT83" s="31">
        <v>30</v>
      </c>
      <c r="AU83" s="5">
        <v>30</v>
      </c>
      <c r="AV83" s="4">
        <v>10</v>
      </c>
      <c r="AW83" s="15">
        <f>AT83-AZ83</f>
        <v>4</v>
      </c>
      <c r="AX83" s="4">
        <f>AW83/AT83*100</f>
        <v>13.333333333333334</v>
      </c>
      <c r="AY83" s="4">
        <v>45.41</v>
      </c>
      <c r="AZ83" s="5">
        <v>26</v>
      </c>
      <c r="BA83" s="4">
        <v>7.94</v>
      </c>
      <c r="BB83" s="4"/>
      <c r="BC83" s="8"/>
      <c r="BD83" s="8"/>
      <c r="BE83" s="2" t="s">
        <v>311</v>
      </c>
      <c r="BF83" s="2">
        <v>112</v>
      </c>
      <c r="BG83" s="2">
        <v>112</v>
      </c>
      <c r="BH83">
        <f>BF83-BG83</f>
        <v>0</v>
      </c>
      <c r="BI83" s="6"/>
    </row>
    <row r="84" spans="1:61" x14ac:dyDescent="0.2">
      <c r="A84" t="s">
        <v>337</v>
      </c>
      <c r="B84" s="2" t="s">
        <v>279</v>
      </c>
      <c r="C84" s="2">
        <v>2019</v>
      </c>
      <c r="D84" s="2" t="s">
        <v>68</v>
      </c>
      <c r="E84" s="1" t="s">
        <v>342</v>
      </c>
      <c r="F84" s="1" t="s">
        <v>506</v>
      </c>
      <c r="G84" s="2" t="s">
        <v>348</v>
      </c>
      <c r="H84" s="2" t="s">
        <v>96</v>
      </c>
      <c r="I84" s="2" t="s">
        <v>97</v>
      </c>
      <c r="J84" s="2" t="s">
        <v>113</v>
      </c>
      <c r="K84" s="2" t="s">
        <v>372</v>
      </c>
      <c r="L84" s="2"/>
      <c r="M84" s="2"/>
      <c r="N84" s="2" t="s">
        <v>280</v>
      </c>
      <c r="O84" s="2" t="s">
        <v>483</v>
      </c>
      <c r="P84" s="1" t="s">
        <v>408</v>
      </c>
      <c r="Q84" s="1" t="s">
        <v>484</v>
      </c>
      <c r="R84" s="2" t="s">
        <v>373</v>
      </c>
      <c r="S84" s="2" t="s">
        <v>281</v>
      </c>
      <c r="T84" s="2" t="s">
        <v>281</v>
      </c>
      <c r="U84" s="2" t="s">
        <v>282</v>
      </c>
      <c r="V84" s="2" t="s">
        <v>40</v>
      </c>
      <c r="W84" s="2" t="s">
        <v>41</v>
      </c>
      <c r="X84" s="2" t="s">
        <v>41</v>
      </c>
      <c r="Y84" s="2" t="s">
        <v>56</v>
      </c>
      <c r="Z84" s="2" t="s">
        <v>41</v>
      </c>
      <c r="AA84" s="2" t="s">
        <v>41</v>
      </c>
      <c r="AB84" s="2" t="s">
        <v>41</v>
      </c>
      <c r="AC84" s="2" t="s">
        <v>56</v>
      </c>
      <c r="AD84" s="2" t="s">
        <v>41</v>
      </c>
      <c r="AE84" s="2" t="s">
        <v>56</v>
      </c>
      <c r="AF84" s="2" t="s">
        <v>42</v>
      </c>
      <c r="AG84" s="2" t="s">
        <v>42</v>
      </c>
      <c r="AH84" s="2" t="s">
        <v>41</v>
      </c>
      <c r="AI84" s="7">
        <v>76.67</v>
      </c>
      <c r="AJ84" s="7">
        <v>76.7</v>
      </c>
      <c r="AK84" s="7">
        <v>53.6</v>
      </c>
      <c r="AL84" s="7">
        <v>83.33</v>
      </c>
      <c r="AM84" s="2" t="s">
        <v>300</v>
      </c>
      <c r="AN84" s="2"/>
      <c r="AO84" s="2"/>
      <c r="AP84" s="1" t="s">
        <v>369</v>
      </c>
      <c r="AQ84" s="1" t="s">
        <v>335</v>
      </c>
      <c r="AR84" s="1" t="s">
        <v>46</v>
      </c>
      <c r="AS84" s="4">
        <v>41.79</v>
      </c>
      <c r="AT84" s="31">
        <v>30</v>
      </c>
      <c r="AU84" s="5">
        <v>30</v>
      </c>
      <c r="AV84" s="4">
        <v>9.0239999999999991</v>
      </c>
      <c r="AW84" s="15">
        <f>AT84-AZ84</f>
        <v>4</v>
      </c>
      <c r="AX84" s="4">
        <f>AW84/AT84*100</f>
        <v>13.333333333333334</v>
      </c>
      <c r="AY84" s="4">
        <v>44.87</v>
      </c>
      <c r="AZ84" s="5">
        <v>26</v>
      </c>
      <c r="BA84" s="4">
        <v>8.94</v>
      </c>
      <c r="BB84" s="4"/>
      <c r="BC84" s="8"/>
      <c r="BD84" s="8"/>
      <c r="BE84" s="2" t="s">
        <v>311</v>
      </c>
      <c r="BF84" s="2">
        <v>112</v>
      </c>
      <c r="BG84" s="2">
        <v>112</v>
      </c>
      <c r="BH84">
        <f>BF84-BG84</f>
        <v>0</v>
      </c>
      <c r="BI84" s="6"/>
    </row>
    <row r="85" spans="1:61" x14ac:dyDescent="0.2">
      <c r="A85" t="s">
        <v>337</v>
      </c>
      <c r="B85" s="2" t="s">
        <v>279</v>
      </c>
      <c r="C85" s="2">
        <v>2019</v>
      </c>
      <c r="D85" s="2" t="s">
        <v>68</v>
      </c>
      <c r="E85" s="1" t="s">
        <v>342</v>
      </c>
      <c r="F85" s="1" t="s">
        <v>506</v>
      </c>
      <c r="G85" s="2" t="s">
        <v>348</v>
      </c>
      <c r="H85" s="2" t="s">
        <v>96</v>
      </c>
      <c r="I85" s="2" t="s">
        <v>97</v>
      </c>
      <c r="J85" s="2" t="s">
        <v>113</v>
      </c>
      <c r="K85" s="2" t="s">
        <v>372</v>
      </c>
      <c r="L85" s="2"/>
      <c r="M85" s="2"/>
      <c r="N85" s="2" t="s">
        <v>280</v>
      </c>
      <c r="O85" s="2" t="s">
        <v>483</v>
      </c>
      <c r="P85" s="1" t="s">
        <v>408</v>
      </c>
      <c r="Q85" s="1" t="s">
        <v>484</v>
      </c>
      <c r="R85" s="2" t="s">
        <v>373</v>
      </c>
      <c r="S85" s="2" t="s">
        <v>281</v>
      </c>
      <c r="T85" s="2" t="s">
        <v>281</v>
      </c>
      <c r="U85" s="2" t="s">
        <v>282</v>
      </c>
      <c r="V85" s="2" t="s">
        <v>40</v>
      </c>
      <c r="W85" s="2" t="s">
        <v>41</v>
      </c>
      <c r="X85" s="2" t="s">
        <v>41</v>
      </c>
      <c r="Y85" s="2" t="s">
        <v>56</v>
      </c>
      <c r="Z85" s="2" t="s">
        <v>41</v>
      </c>
      <c r="AA85" s="2" t="s">
        <v>41</v>
      </c>
      <c r="AB85" s="2" t="s">
        <v>41</v>
      </c>
      <c r="AC85" s="2" t="s">
        <v>56</v>
      </c>
      <c r="AD85" s="2" t="s">
        <v>41</v>
      </c>
      <c r="AE85" s="2" t="s">
        <v>56</v>
      </c>
      <c r="AF85" s="2" t="s">
        <v>42</v>
      </c>
      <c r="AG85" s="2" t="s">
        <v>42</v>
      </c>
      <c r="AH85" s="2" t="s">
        <v>41</v>
      </c>
      <c r="AI85" s="7">
        <v>76.67</v>
      </c>
      <c r="AJ85" s="7">
        <v>76.7</v>
      </c>
      <c r="AK85" s="7">
        <v>53.6</v>
      </c>
      <c r="AL85" s="7">
        <v>83.33</v>
      </c>
      <c r="AM85" s="2" t="s">
        <v>300</v>
      </c>
      <c r="AN85" s="2"/>
      <c r="AO85" s="2"/>
      <c r="AP85" s="1" t="s">
        <v>316</v>
      </c>
      <c r="AQ85" s="1" t="s">
        <v>81</v>
      </c>
      <c r="AR85" s="1" t="s">
        <v>46</v>
      </c>
      <c r="AS85" s="4">
        <v>31.18</v>
      </c>
      <c r="AT85" s="31">
        <v>30</v>
      </c>
      <c r="AU85" s="5">
        <v>30</v>
      </c>
      <c r="AV85" s="4">
        <v>23.79</v>
      </c>
      <c r="AW85" s="15">
        <f>AT85-AZ85</f>
        <v>4</v>
      </c>
      <c r="AX85" s="4">
        <f>AW85/AT85*100</f>
        <v>13.333333333333334</v>
      </c>
      <c r="AY85" s="4">
        <v>26.5</v>
      </c>
      <c r="AZ85" s="5">
        <v>26</v>
      </c>
      <c r="BA85" s="4">
        <v>21.99</v>
      </c>
      <c r="BB85" s="4"/>
      <c r="BC85" s="8"/>
      <c r="BD85" s="8"/>
      <c r="BE85" s="2" t="s">
        <v>311</v>
      </c>
      <c r="BF85" s="2">
        <v>112</v>
      </c>
      <c r="BG85" s="2">
        <v>112</v>
      </c>
      <c r="BH85">
        <f>BF85-BG85</f>
        <v>0</v>
      </c>
      <c r="BI85" s="6"/>
    </row>
    <row r="86" spans="1:61" x14ac:dyDescent="0.2">
      <c r="A86" t="s">
        <v>338</v>
      </c>
      <c r="B86" s="1" t="s">
        <v>49</v>
      </c>
      <c r="C86" s="1">
        <v>2008</v>
      </c>
      <c r="D86" s="1" t="s">
        <v>50</v>
      </c>
      <c r="E86" s="1" t="s">
        <v>51</v>
      </c>
      <c r="F86" s="1" t="s">
        <v>356</v>
      </c>
      <c r="G86" s="2" t="s">
        <v>356</v>
      </c>
      <c r="H86" s="1" t="s">
        <v>51</v>
      </c>
      <c r="I86" s="1" t="s">
        <v>51</v>
      </c>
      <c r="J86" s="1" t="s">
        <v>52</v>
      </c>
      <c r="K86" s="2" t="s">
        <v>372</v>
      </c>
      <c r="L86" s="2" t="s">
        <v>386</v>
      </c>
      <c r="M86" s="2" t="s">
        <v>387</v>
      </c>
      <c r="N86" s="1" t="s">
        <v>53</v>
      </c>
      <c r="O86" s="1" t="s">
        <v>415</v>
      </c>
      <c r="P86" s="16" t="s">
        <v>404</v>
      </c>
      <c r="Q86" s="1" t="s">
        <v>417</v>
      </c>
      <c r="R86" s="16" t="s">
        <v>209</v>
      </c>
      <c r="S86" s="1" t="s">
        <v>54</v>
      </c>
      <c r="T86" s="1" t="s">
        <v>38</v>
      </c>
      <c r="U86" s="1" t="s">
        <v>55</v>
      </c>
      <c r="V86" s="1" t="s">
        <v>40</v>
      </c>
      <c r="W86" s="26" t="s">
        <v>56</v>
      </c>
      <c r="X86" s="26" t="s">
        <v>42</v>
      </c>
      <c r="Y86" s="26" t="s">
        <v>56</v>
      </c>
      <c r="Z86" s="26" t="s">
        <v>41</v>
      </c>
      <c r="AA86" s="26" t="s">
        <v>42</v>
      </c>
      <c r="AB86" s="26" t="s">
        <v>41</v>
      </c>
      <c r="AC86" s="28" t="s">
        <v>56</v>
      </c>
      <c r="AD86" s="28" t="s">
        <v>42</v>
      </c>
      <c r="AE86" s="28" t="s">
        <v>56</v>
      </c>
      <c r="AF86" s="28" t="s">
        <v>41</v>
      </c>
      <c r="AG86" s="28" t="s">
        <v>42</v>
      </c>
      <c r="AH86" s="28" t="s">
        <v>41</v>
      </c>
      <c r="AI86" s="3">
        <v>32.5</v>
      </c>
      <c r="AJ86" s="3">
        <v>77.3</v>
      </c>
      <c r="AK86" s="3">
        <v>53.8</v>
      </c>
      <c r="AL86" s="3">
        <v>85</v>
      </c>
      <c r="AM86" s="1" t="s">
        <v>57</v>
      </c>
      <c r="AN86" s="1" t="s">
        <v>58</v>
      </c>
      <c r="AO86" s="1"/>
      <c r="AP86" s="1" t="s">
        <v>44</v>
      </c>
      <c r="AQ86" s="1" t="s">
        <v>45</v>
      </c>
      <c r="AR86" s="1" t="s">
        <v>361</v>
      </c>
      <c r="AS86" s="4"/>
      <c r="AT86" s="31">
        <v>40</v>
      </c>
      <c r="AU86" s="5"/>
      <c r="AV86" s="4"/>
      <c r="AW86" s="15">
        <f>AT86-AZ86</f>
        <v>14</v>
      </c>
      <c r="AX86" s="4">
        <f>AW86/AT86*100</f>
        <v>35</v>
      </c>
      <c r="AY86" s="4"/>
      <c r="AZ86" s="5">
        <v>26</v>
      </c>
      <c r="BA86" s="4"/>
      <c r="BB86" s="4"/>
      <c r="BC86" s="4"/>
      <c r="BD86" s="4"/>
      <c r="BE86" s="1" t="s">
        <v>61</v>
      </c>
      <c r="BF86" s="1">
        <v>180</v>
      </c>
      <c r="BG86" s="1">
        <v>180</v>
      </c>
      <c r="BH86">
        <f>BF86-BG86</f>
        <v>0</v>
      </c>
      <c r="BI86" s="6"/>
    </row>
    <row r="87" spans="1:61" x14ac:dyDescent="0.2">
      <c r="A87" t="s">
        <v>338</v>
      </c>
      <c r="B87" s="1" t="s">
        <v>49</v>
      </c>
      <c r="C87" s="1">
        <v>2008</v>
      </c>
      <c r="D87" s="1" t="s">
        <v>50</v>
      </c>
      <c r="E87" s="1" t="s">
        <v>51</v>
      </c>
      <c r="F87" s="1" t="s">
        <v>356</v>
      </c>
      <c r="G87" s="2" t="s">
        <v>356</v>
      </c>
      <c r="H87" s="1" t="s">
        <v>51</v>
      </c>
      <c r="I87" s="1" t="s">
        <v>51</v>
      </c>
      <c r="J87" s="1" t="s">
        <v>52</v>
      </c>
      <c r="K87" s="2" t="s">
        <v>372</v>
      </c>
      <c r="L87" s="2" t="s">
        <v>386</v>
      </c>
      <c r="M87" s="2" t="s">
        <v>387</v>
      </c>
      <c r="N87" s="1" t="s">
        <v>53</v>
      </c>
      <c r="O87" s="1" t="s">
        <v>415</v>
      </c>
      <c r="P87" s="16" t="s">
        <v>404</v>
      </c>
      <c r="Q87" s="1" t="s">
        <v>417</v>
      </c>
      <c r="R87" s="16" t="s">
        <v>209</v>
      </c>
      <c r="S87" s="1" t="s">
        <v>54</v>
      </c>
      <c r="T87" s="1" t="s">
        <v>38</v>
      </c>
      <c r="U87" s="1" t="s">
        <v>55</v>
      </c>
      <c r="V87" s="1" t="s">
        <v>40</v>
      </c>
      <c r="W87" s="26" t="s">
        <v>56</v>
      </c>
      <c r="X87" s="26" t="s">
        <v>42</v>
      </c>
      <c r="Y87" s="26" t="s">
        <v>56</v>
      </c>
      <c r="Z87" s="26" t="s">
        <v>41</v>
      </c>
      <c r="AA87" s="26" t="s">
        <v>42</v>
      </c>
      <c r="AB87" s="26" t="s">
        <v>41</v>
      </c>
      <c r="AC87" s="28" t="s">
        <v>56</v>
      </c>
      <c r="AD87" s="28" t="s">
        <v>42</v>
      </c>
      <c r="AE87" s="28" t="s">
        <v>56</v>
      </c>
      <c r="AF87" s="28" t="s">
        <v>41</v>
      </c>
      <c r="AG87" s="28" t="s">
        <v>42</v>
      </c>
      <c r="AH87" s="28" t="s">
        <v>41</v>
      </c>
      <c r="AI87" s="3">
        <v>32.5</v>
      </c>
      <c r="AJ87" s="3">
        <v>77.3</v>
      </c>
      <c r="AK87" s="3">
        <v>53.8</v>
      </c>
      <c r="AL87" s="3">
        <v>85</v>
      </c>
      <c r="AM87" s="1" t="s">
        <v>57</v>
      </c>
      <c r="AN87" s="1" t="s">
        <v>58</v>
      </c>
      <c r="AO87" s="1"/>
      <c r="AP87" s="1" t="s">
        <v>314</v>
      </c>
      <c r="AQ87" s="1" t="s">
        <v>413</v>
      </c>
      <c r="AR87" s="1" t="s">
        <v>361</v>
      </c>
      <c r="AS87" s="4"/>
      <c r="AT87" s="31">
        <v>40</v>
      </c>
      <c r="AU87" s="5"/>
      <c r="AV87" s="4"/>
      <c r="AW87" s="15">
        <f>AT87-AZ87</f>
        <v>14</v>
      </c>
      <c r="AX87" s="4">
        <f>AW87/AT87*100</f>
        <v>35</v>
      </c>
      <c r="AY87" s="4"/>
      <c r="AZ87" s="5">
        <v>26</v>
      </c>
      <c r="BA87" s="4"/>
      <c r="BB87" s="4"/>
      <c r="BC87" s="4"/>
      <c r="BD87" s="4"/>
      <c r="BE87" s="1" t="s">
        <v>61</v>
      </c>
      <c r="BF87" s="1">
        <v>180</v>
      </c>
      <c r="BG87" s="1">
        <v>180</v>
      </c>
      <c r="BH87">
        <f>BF87-BG87</f>
        <v>0</v>
      </c>
      <c r="BI87" s="6"/>
    </row>
    <row r="88" spans="1:61" x14ac:dyDescent="0.2">
      <c r="A88" t="s">
        <v>338</v>
      </c>
      <c r="B88" s="1" t="s">
        <v>49</v>
      </c>
      <c r="C88" s="1">
        <v>2008</v>
      </c>
      <c r="D88" s="1" t="s">
        <v>50</v>
      </c>
      <c r="E88" s="1" t="s">
        <v>51</v>
      </c>
      <c r="F88" s="1" t="s">
        <v>356</v>
      </c>
      <c r="G88" s="2" t="s">
        <v>356</v>
      </c>
      <c r="H88" s="1" t="s">
        <v>51</v>
      </c>
      <c r="I88" s="1" t="s">
        <v>51</v>
      </c>
      <c r="J88" s="1" t="s">
        <v>52</v>
      </c>
      <c r="K88" s="2" t="s">
        <v>372</v>
      </c>
      <c r="L88" s="2" t="s">
        <v>386</v>
      </c>
      <c r="M88" s="2" t="s">
        <v>387</v>
      </c>
      <c r="N88" s="1" t="s">
        <v>53</v>
      </c>
      <c r="O88" s="1" t="s">
        <v>415</v>
      </c>
      <c r="P88" s="16" t="s">
        <v>404</v>
      </c>
      <c r="Q88" s="1" t="s">
        <v>417</v>
      </c>
      <c r="R88" s="16" t="s">
        <v>209</v>
      </c>
      <c r="S88" s="1" t="s">
        <v>54</v>
      </c>
      <c r="T88" s="1" t="s">
        <v>38</v>
      </c>
      <c r="U88" s="1" t="s">
        <v>55</v>
      </c>
      <c r="V88" s="1" t="s">
        <v>40</v>
      </c>
      <c r="W88" s="26" t="s">
        <v>56</v>
      </c>
      <c r="X88" s="26" t="s">
        <v>42</v>
      </c>
      <c r="Y88" s="26" t="s">
        <v>56</v>
      </c>
      <c r="Z88" s="26" t="s">
        <v>41</v>
      </c>
      <c r="AA88" s="26" t="s">
        <v>42</v>
      </c>
      <c r="AB88" s="26" t="s">
        <v>41</v>
      </c>
      <c r="AC88" s="28" t="s">
        <v>56</v>
      </c>
      <c r="AD88" s="28" t="s">
        <v>42</v>
      </c>
      <c r="AE88" s="28" t="s">
        <v>56</v>
      </c>
      <c r="AF88" s="28" t="s">
        <v>41</v>
      </c>
      <c r="AG88" s="28" t="s">
        <v>42</v>
      </c>
      <c r="AH88" s="28" t="s">
        <v>41</v>
      </c>
      <c r="AI88" s="3">
        <v>32.5</v>
      </c>
      <c r="AJ88" s="3">
        <v>77.3</v>
      </c>
      <c r="AK88" s="3">
        <v>53.8</v>
      </c>
      <c r="AL88" s="3">
        <v>85</v>
      </c>
      <c r="AM88" s="1" t="s">
        <v>57</v>
      </c>
      <c r="AN88" s="1" t="s">
        <v>58</v>
      </c>
      <c r="AO88" s="1"/>
      <c r="AP88" s="1" t="s">
        <v>252</v>
      </c>
      <c r="AQ88" s="1" t="s">
        <v>414</v>
      </c>
      <c r="AR88" s="1" t="s">
        <v>361</v>
      </c>
      <c r="AS88" s="4"/>
      <c r="AT88" s="31">
        <v>40</v>
      </c>
      <c r="AU88" s="5"/>
      <c r="AV88" s="4"/>
      <c r="AW88" s="15">
        <f>AT88-AZ88</f>
        <v>14</v>
      </c>
      <c r="AX88" s="4">
        <f>AW88/AT88*100</f>
        <v>35</v>
      </c>
      <c r="AY88" s="4"/>
      <c r="AZ88" s="5">
        <v>26</v>
      </c>
      <c r="BA88" s="4"/>
      <c r="BB88" s="4"/>
      <c r="BC88" s="4"/>
      <c r="BD88" s="4"/>
      <c r="BE88" s="1" t="s">
        <v>61</v>
      </c>
      <c r="BF88" s="1">
        <v>180</v>
      </c>
      <c r="BG88" s="1">
        <v>180</v>
      </c>
      <c r="BH88">
        <f>BF88-BG88</f>
        <v>0</v>
      </c>
      <c r="BI88" s="6"/>
    </row>
    <row r="89" spans="1:61" x14ac:dyDescent="0.2">
      <c r="A89" t="s">
        <v>338</v>
      </c>
      <c r="B89" s="1" t="s">
        <v>49</v>
      </c>
      <c r="C89" s="1">
        <v>2008</v>
      </c>
      <c r="D89" s="1" t="s">
        <v>50</v>
      </c>
      <c r="E89" s="1" t="s">
        <v>51</v>
      </c>
      <c r="F89" s="1" t="s">
        <v>356</v>
      </c>
      <c r="G89" s="2" t="s">
        <v>356</v>
      </c>
      <c r="H89" s="1" t="s">
        <v>51</v>
      </c>
      <c r="I89" s="1" t="s">
        <v>51</v>
      </c>
      <c r="J89" s="1" t="s">
        <v>52</v>
      </c>
      <c r="K89" s="2" t="s">
        <v>372</v>
      </c>
      <c r="L89" s="2" t="s">
        <v>386</v>
      </c>
      <c r="M89" s="2" t="s">
        <v>387</v>
      </c>
      <c r="N89" s="1" t="s">
        <v>53</v>
      </c>
      <c r="O89" s="1" t="s">
        <v>415</v>
      </c>
      <c r="P89" s="16" t="s">
        <v>404</v>
      </c>
      <c r="Q89" s="1" t="s">
        <v>417</v>
      </c>
      <c r="R89" s="16" t="s">
        <v>209</v>
      </c>
      <c r="S89" s="1" t="s">
        <v>54</v>
      </c>
      <c r="T89" s="1" t="s">
        <v>38</v>
      </c>
      <c r="U89" s="1" t="s">
        <v>55</v>
      </c>
      <c r="V89" s="1" t="s">
        <v>40</v>
      </c>
      <c r="W89" s="26" t="s">
        <v>56</v>
      </c>
      <c r="X89" s="26" t="s">
        <v>42</v>
      </c>
      <c r="Y89" s="26" t="s">
        <v>56</v>
      </c>
      <c r="Z89" s="26" t="s">
        <v>41</v>
      </c>
      <c r="AA89" s="26" t="s">
        <v>42</v>
      </c>
      <c r="AB89" s="26" t="s">
        <v>41</v>
      </c>
      <c r="AC89" s="28" t="s">
        <v>56</v>
      </c>
      <c r="AD89" s="28" t="s">
        <v>42</v>
      </c>
      <c r="AE89" s="28" t="s">
        <v>56</v>
      </c>
      <c r="AF89" s="28" t="s">
        <v>41</v>
      </c>
      <c r="AG89" s="28" t="s">
        <v>42</v>
      </c>
      <c r="AH89" s="28" t="s">
        <v>41</v>
      </c>
      <c r="AI89" s="3">
        <v>32.5</v>
      </c>
      <c r="AJ89" s="3">
        <v>77.3</v>
      </c>
      <c r="AK89" s="3">
        <v>53.8</v>
      </c>
      <c r="AL89" s="3">
        <v>85</v>
      </c>
      <c r="AM89" s="1" t="s">
        <v>57</v>
      </c>
      <c r="AN89" s="1" t="s">
        <v>58</v>
      </c>
      <c r="AO89" s="1"/>
      <c r="AP89" s="1" t="s">
        <v>316</v>
      </c>
      <c r="AQ89" s="1" t="s">
        <v>81</v>
      </c>
      <c r="AR89" s="1" t="s">
        <v>361</v>
      </c>
      <c r="AS89" s="4"/>
      <c r="AT89" s="31">
        <v>40</v>
      </c>
      <c r="AU89" s="5"/>
      <c r="AV89" s="4"/>
      <c r="AW89" s="15">
        <f>AT89-AZ89</f>
        <v>14</v>
      </c>
      <c r="AX89" s="4">
        <f>AW89/AT89*100</f>
        <v>35</v>
      </c>
      <c r="AY89" s="4"/>
      <c r="AZ89" s="5">
        <v>26</v>
      </c>
      <c r="BA89" s="4"/>
      <c r="BB89" s="4"/>
      <c r="BC89" s="4"/>
      <c r="BD89" s="4"/>
      <c r="BE89" s="1" t="s">
        <v>61</v>
      </c>
      <c r="BF89" s="1">
        <v>180</v>
      </c>
      <c r="BG89" s="1">
        <v>180</v>
      </c>
      <c r="BH89">
        <f>BF89-BG89</f>
        <v>0</v>
      </c>
      <c r="BI89" s="6"/>
    </row>
    <row r="90" spans="1:61" x14ac:dyDescent="0.2">
      <c r="A90" t="s">
        <v>338</v>
      </c>
      <c r="B90" s="1" t="s">
        <v>49</v>
      </c>
      <c r="C90" s="1">
        <v>2008</v>
      </c>
      <c r="D90" s="1" t="s">
        <v>50</v>
      </c>
      <c r="E90" s="1" t="s">
        <v>51</v>
      </c>
      <c r="F90" s="1" t="s">
        <v>356</v>
      </c>
      <c r="G90" s="2" t="s">
        <v>356</v>
      </c>
      <c r="H90" s="1" t="s">
        <v>51</v>
      </c>
      <c r="I90" s="1" t="s">
        <v>51</v>
      </c>
      <c r="J90" s="1" t="s">
        <v>52</v>
      </c>
      <c r="K90" s="2" t="s">
        <v>372</v>
      </c>
      <c r="L90" s="2" t="s">
        <v>386</v>
      </c>
      <c r="M90" s="2" t="s">
        <v>387</v>
      </c>
      <c r="N90" s="1" t="s">
        <v>53</v>
      </c>
      <c r="O90" s="1" t="s">
        <v>415</v>
      </c>
      <c r="P90" s="16" t="s">
        <v>404</v>
      </c>
      <c r="Q90" s="1" t="s">
        <v>417</v>
      </c>
      <c r="R90" s="16" t="s">
        <v>209</v>
      </c>
      <c r="S90" s="1" t="s">
        <v>54</v>
      </c>
      <c r="T90" s="1" t="s">
        <v>38</v>
      </c>
      <c r="U90" s="1" t="s">
        <v>55</v>
      </c>
      <c r="V90" s="1" t="s">
        <v>40</v>
      </c>
      <c r="W90" s="26" t="s">
        <v>56</v>
      </c>
      <c r="X90" s="26" t="s">
        <v>42</v>
      </c>
      <c r="Y90" s="26" t="s">
        <v>56</v>
      </c>
      <c r="Z90" s="26" t="s">
        <v>41</v>
      </c>
      <c r="AA90" s="26" t="s">
        <v>42</v>
      </c>
      <c r="AB90" s="26" t="s">
        <v>41</v>
      </c>
      <c r="AC90" s="28" t="s">
        <v>56</v>
      </c>
      <c r="AD90" s="28" t="s">
        <v>42</v>
      </c>
      <c r="AE90" s="28" t="s">
        <v>56</v>
      </c>
      <c r="AF90" s="28" t="s">
        <v>41</v>
      </c>
      <c r="AG90" s="28" t="s">
        <v>42</v>
      </c>
      <c r="AH90" s="28" t="s">
        <v>41</v>
      </c>
      <c r="AI90" s="3">
        <v>32.5</v>
      </c>
      <c r="AJ90" s="3">
        <v>77.3</v>
      </c>
      <c r="AK90" s="3">
        <v>53.8</v>
      </c>
      <c r="AL90" s="3">
        <v>85</v>
      </c>
      <c r="AM90" s="1" t="s">
        <v>57</v>
      </c>
      <c r="AN90" s="1" t="s">
        <v>58</v>
      </c>
      <c r="AO90" s="1"/>
      <c r="AP90" s="1" t="s">
        <v>73</v>
      </c>
      <c r="AQ90" s="1" t="s">
        <v>333</v>
      </c>
      <c r="AR90" s="1" t="s">
        <v>361</v>
      </c>
      <c r="AS90" s="4"/>
      <c r="AT90" s="31">
        <v>40</v>
      </c>
      <c r="AU90" s="5"/>
      <c r="AV90" s="4"/>
      <c r="AW90" s="15">
        <f>AT90-AZ90</f>
        <v>14</v>
      </c>
      <c r="AX90" s="4">
        <f>AW90/AT90*100</f>
        <v>35</v>
      </c>
      <c r="AY90" s="4"/>
      <c r="AZ90" s="5">
        <v>26</v>
      </c>
      <c r="BA90" s="4"/>
      <c r="BB90" s="4"/>
      <c r="BC90" s="4"/>
      <c r="BD90" s="4"/>
      <c r="BE90" s="1" t="s">
        <v>61</v>
      </c>
      <c r="BF90" s="1">
        <v>180</v>
      </c>
      <c r="BG90" s="1">
        <v>180</v>
      </c>
      <c r="BH90">
        <f>BF90-BG90</f>
        <v>0</v>
      </c>
      <c r="BI90" s="6"/>
    </row>
    <row r="91" spans="1:61" x14ac:dyDescent="0.2">
      <c r="A91" t="s">
        <v>337</v>
      </c>
      <c r="B91" s="2" t="s">
        <v>283</v>
      </c>
      <c r="C91" s="2">
        <v>2020</v>
      </c>
      <c r="D91" s="2" t="s">
        <v>50</v>
      </c>
      <c r="E91" s="2" t="s">
        <v>51</v>
      </c>
      <c r="F91" s="1" t="s">
        <v>356</v>
      </c>
      <c r="G91" s="2" t="s">
        <v>356</v>
      </c>
      <c r="H91" s="2" t="s">
        <v>51</v>
      </c>
      <c r="I91" s="2" t="s">
        <v>51</v>
      </c>
      <c r="J91" s="2" t="s">
        <v>52</v>
      </c>
      <c r="K91" s="2" t="s">
        <v>372</v>
      </c>
      <c r="L91" s="2" t="s">
        <v>380</v>
      </c>
      <c r="M91" s="2" t="s">
        <v>380</v>
      </c>
      <c r="N91" s="2" t="s">
        <v>284</v>
      </c>
      <c r="O91" s="2" t="s">
        <v>302</v>
      </c>
      <c r="P91" s="2" t="s">
        <v>381</v>
      </c>
      <c r="Q91" s="2" t="s">
        <v>423</v>
      </c>
      <c r="R91" s="2" t="s">
        <v>209</v>
      </c>
      <c r="S91" s="2" t="s">
        <v>285</v>
      </c>
      <c r="T91" s="2" t="s">
        <v>286</v>
      </c>
      <c r="U91" s="2" t="s">
        <v>172</v>
      </c>
      <c r="V91" s="2" t="s">
        <v>40</v>
      </c>
      <c r="W91" s="2" t="s">
        <v>287</v>
      </c>
      <c r="X91" s="2" t="s">
        <v>41</v>
      </c>
      <c r="Y91" s="2" t="s">
        <v>41</v>
      </c>
      <c r="Z91" s="2" t="s">
        <v>41</v>
      </c>
      <c r="AA91" s="2" t="s">
        <v>42</v>
      </c>
      <c r="AB91" s="2" t="s">
        <v>41</v>
      </c>
      <c r="AC91" s="2" t="s">
        <v>287</v>
      </c>
      <c r="AD91" s="2" t="s">
        <v>287</v>
      </c>
      <c r="AE91" s="2" t="s">
        <v>41</v>
      </c>
      <c r="AF91" s="2" t="s">
        <v>41</v>
      </c>
      <c r="AG91" s="2" t="s">
        <v>41</v>
      </c>
      <c r="AH91" s="2" t="s">
        <v>41</v>
      </c>
      <c r="AI91" s="7"/>
      <c r="AJ91" s="7"/>
      <c r="AK91" s="7"/>
      <c r="AL91" s="7"/>
      <c r="AM91" s="2" t="s">
        <v>303</v>
      </c>
      <c r="AN91" s="2"/>
      <c r="AO91" s="2"/>
      <c r="AP91" s="2" t="s">
        <v>44</v>
      </c>
      <c r="AQ91" s="2" t="s">
        <v>357</v>
      </c>
      <c r="AR91" s="2" t="s">
        <v>46</v>
      </c>
      <c r="AS91" s="8">
        <v>55.36</v>
      </c>
      <c r="AT91" s="32">
        <v>157</v>
      </c>
      <c r="AU91" s="9">
        <v>157</v>
      </c>
      <c r="AV91" s="8">
        <f>0.45*SQRT(AU91)</f>
        <v>5.6384838387637508</v>
      </c>
      <c r="AW91" s="15">
        <f>AT91-AZ91</f>
        <v>0</v>
      </c>
      <c r="AX91" s="4">
        <f>AW91/AT91*100</f>
        <v>0</v>
      </c>
      <c r="AY91" s="8">
        <v>53.87</v>
      </c>
      <c r="AZ91" s="9">
        <v>157</v>
      </c>
      <c r="BA91" s="8">
        <f>0.49*SQRT(AZ91)</f>
        <v>6.1396824022094174</v>
      </c>
      <c r="BB91" s="8"/>
      <c r="BC91" s="8"/>
      <c r="BD91" s="8"/>
      <c r="BE91" s="2" t="s">
        <v>312</v>
      </c>
      <c r="BF91" s="2">
        <v>30</v>
      </c>
      <c r="BG91" s="2">
        <v>30</v>
      </c>
      <c r="BH91">
        <f>BF91-BG91</f>
        <v>0</v>
      </c>
      <c r="BI91" s="6"/>
    </row>
    <row r="92" spans="1:61" x14ac:dyDescent="0.2">
      <c r="A92" t="s">
        <v>500</v>
      </c>
      <c r="B92" s="2" t="s">
        <v>283</v>
      </c>
      <c r="C92" s="2">
        <v>2020</v>
      </c>
      <c r="D92" s="2" t="s">
        <v>50</v>
      </c>
      <c r="E92" s="2" t="s">
        <v>51</v>
      </c>
      <c r="F92" s="1" t="s">
        <v>356</v>
      </c>
      <c r="G92" s="2" t="s">
        <v>356</v>
      </c>
      <c r="H92" s="2" t="s">
        <v>51</v>
      </c>
      <c r="I92" s="2" t="s">
        <v>51</v>
      </c>
      <c r="J92" s="2" t="s">
        <v>52</v>
      </c>
      <c r="K92" s="2" t="s">
        <v>372</v>
      </c>
      <c r="L92" s="2" t="s">
        <v>380</v>
      </c>
      <c r="M92" s="2" t="s">
        <v>380</v>
      </c>
      <c r="N92" s="2" t="s">
        <v>284</v>
      </c>
      <c r="O92" s="2" t="s">
        <v>302</v>
      </c>
      <c r="P92" s="2" t="s">
        <v>381</v>
      </c>
      <c r="Q92" s="2" t="s">
        <v>423</v>
      </c>
      <c r="R92" s="2" t="s">
        <v>209</v>
      </c>
      <c r="S92" s="2" t="s">
        <v>285</v>
      </c>
      <c r="T92" s="2" t="s">
        <v>286</v>
      </c>
      <c r="U92" s="2" t="s">
        <v>172</v>
      </c>
      <c r="V92" s="2" t="s">
        <v>40</v>
      </c>
      <c r="W92" s="2" t="s">
        <v>287</v>
      </c>
      <c r="X92" s="2" t="s">
        <v>41</v>
      </c>
      <c r="Y92" s="2" t="s">
        <v>41</v>
      </c>
      <c r="Z92" s="2" t="s">
        <v>41</v>
      </c>
      <c r="AA92" s="2" t="s">
        <v>42</v>
      </c>
      <c r="AB92" s="2" t="s">
        <v>41</v>
      </c>
      <c r="AC92" s="2" t="s">
        <v>287</v>
      </c>
      <c r="AD92" s="2" t="s">
        <v>287</v>
      </c>
      <c r="AE92" s="2" t="s">
        <v>41</v>
      </c>
      <c r="AF92" s="2" t="s">
        <v>41</v>
      </c>
      <c r="AG92" s="2" t="s">
        <v>41</v>
      </c>
      <c r="AH92" s="2" t="s">
        <v>41</v>
      </c>
      <c r="AI92" s="7"/>
      <c r="AJ92" s="7"/>
      <c r="AK92" s="7"/>
      <c r="AL92" s="7"/>
      <c r="AM92" s="2" t="s">
        <v>303</v>
      </c>
      <c r="AN92" s="2"/>
      <c r="AO92" s="2"/>
      <c r="AP92" s="1" t="s">
        <v>82</v>
      </c>
      <c r="AQ92" s="1" t="s">
        <v>358</v>
      </c>
      <c r="AR92" s="1" t="s">
        <v>46</v>
      </c>
      <c r="AS92" s="4">
        <v>180.88</v>
      </c>
      <c r="AT92" s="31">
        <v>157</v>
      </c>
      <c r="AU92" s="5">
        <v>157</v>
      </c>
      <c r="AV92" s="4">
        <f>1.67*SQRT(AU92)</f>
        <v>20.925040023856585</v>
      </c>
      <c r="AW92" s="15">
        <f>AT92-AZ92</f>
        <v>0</v>
      </c>
      <c r="AX92" s="4">
        <f>AW92/AT92*100</f>
        <v>0</v>
      </c>
      <c r="AY92" s="4">
        <v>182.36</v>
      </c>
      <c r="AZ92" s="5">
        <v>157</v>
      </c>
      <c r="BA92" s="4">
        <f>1.82*SQRT(AZ92)</f>
        <v>22.804534636777834</v>
      </c>
      <c r="BB92" s="8"/>
      <c r="BC92" s="8"/>
      <c r="BD92" s="8"/>
      <c r="BE92" s="2" t="s">
        <v>312</v>
      </c>
      <c r="BF92" s="2">
        <v>30</v>
      </c>
      <c r="BG92" s="2">
        <v>30</v>
      </c>
      <c r="BH92">
        <f>BF92-BG92</f>
        <v>0</v>
      </c>
      <c r="BI92" s="6"/>
    </row>
    <row r="93" spans="1:61" x14ac:dyDescent="0.2">
      <c r="A93" t="s">
        <v>338</v>
      </c>
      <c r="B93" s="1" t="s">
        <v>67</v>
      </c>
      <c r="C93" s="1">
        <v>2011</v>
      </c>
      <c r="D93" s="1" t="s">
        <v>74</v>
      </c>
      <c r="E93" s="1" t="s">
        <v>51</v>
      </c>
      <c r="F93" s="1" t="s">
        <v>356</v>
      </c>
      <c r="G93" s="2" t="s">
        <v>356</v>
      </c>
      <c r="H93" s="1" t="s">
        <v>51</v>
      </c>
      <c r="I93" s="1" t="s">
        <v>51</v>
      </c>
      <c r="J93" s="1" t="s">
        <v>69</v>
      </c>
      <c r="K93" s="2" t="s">
        <v>372</v>
      </c>
      <c r="L93" s="2" t="s">
        <v>392</v>
      </c>
      <c r="M93" s="2" t="s">
        <v>387</v>
      </c>
      <c r="N93" s="1" t="s">
        <v>376</v>
      </c>
      <c r="O93" s="1" t="s">
        <v>426</v>
      </c>
      <c r="P93" s="1" t="s">
        <v>379</v>
      </c>
      <c r="Q93" s="1" t="s">
        <v>424</v>
      </c>
      <c r="R93" s="1" t="s">
        <v>209</v>
      </c>
      <c r="S93" s="1" t="s">
        <v>54</v>
      </c>
      <c r="T93" s="1" t="s">
        <v>38</v>
      </c>
      <c r="U93" s="1" t="s">
        <v>70</v>
      </c>
      <c r="V93" s="1" t="s">
        <v>40</v>
      </c>
      <c r="W93" s="1" t="s">
        <v>56</v>
      </c>
      <c r="X93" s="1" t="s">
        <v>42</v>
      </c>
      <c r="Y93" s="1" t="s">
        <v>56</v>
      </c>
      <c r="Z93" s="1" t="s">
        <v>41</v>
      </c>
      <c r="AA93" s="1" t="s">
        <v>42</v>
      </c>
      <c r="AB93" s="1" t="s">
        <v>41</v>
      </c>
      <c r="AC93" s="1" t="s">
        <v>56</v>
      </c>
      <c r="AD93" s="1" t="s">
        <v>42</v>
      </c>
      <c r="AE93" s="1" t="s">
        <v>56</v>
      </c>
      <c r="AF93" s="1" t="s">
        <v>41</v>
      </c>
      <c r="AG93" s="1" t="s">
        <v>42</v>
      </c>
      <c r="AH93" s="1" t="s">
        <v>41</v>
      </c>
      <c r="AI93" s="10">
        <v>69</v>
      </c>
      <c r="AJ93" s="3">
        <v>82</v>
      </c>
      <c r="AK93" s="3">
        <v>47.6</v>
      </c>
      <c r="AL93" s="3">
        <v>89.7</v>
      </c>
      <c r="AM93" s="1" t="s">
        <v>75</v>
      </c>
      <c r="AN93" s="1" t="s">
        <v>76</v>
      </c>
      <c r="AO93" s="1"/>
      <c r="AP93" s="1" t="s">
        <v>44</v>
      </c>
      <c r="AQ93" s="1" t="s">
        <v>45</v>
      </c>
      <c r="AR93" s="1" t="s">
        <v>60</v>
      </c>
      <c r="AS93" s="4"/>
      <c r="AT93" s="31">
        <v>29</v>
      </c>
      <c r="AU93" s="5">
        <v>29</v>
      </c>
      <c r="AV93" s="4"/>
      <c r="AW93" s="15">
        <f>AT93-AZ93</f>
        <v>0</v>
      </c>
      <c r="AX93" s="4">
        <f>AW93/AT93*100</f>
        <v>0</v>
      </c>
      <c r="AY93" s="4"/>
      <c r="AZ93" s="5">
        <v>29</v>
      </c>
      <c r="BA93" s="4"/>
      <c r="BB93" s="4"/>
      <c r="BC93" s="4"/>
      <c r="BD93" s="4"/>
      <c r="BE93" s="1" t="s">
        <v>265</v>
      </c>
      <c r="BF93" s="1">
        <v>180</v>
      </c>
      <c r="BG93" s="1">
        <v>35</v>
      </c>
      <c r="BH93">
        <f>BF93-BG93</f>
        <v>145</v>
      </c>
      <c r="BI93" s="6"/>
    </row>
    <row r="94" spans="1:61" x14ac:dyDescent="0.2">
      <c r="A94" t="s">
        <v>338</v>
      </c>
      <c r="B94" s="1" t="s">
        <v>67</v>
      </c>
      <c r="C94" s="1">
        <v>2011</v>
      </c>
      <c r="D94" s="1" t="s">
        <v>74</v>
      </c>
      <c r="E94" s="1" t="s">
        <v>51</v>
      </c>
      <c r="F94" s="1" t="s">
        <v>356</v>
      </c>
      <c r="G94" s="2" t="s">
        <v>356</v>
      </c>
      <c r="H94" s="1" t="s">
        <v>51</v>
      </c>
      <c r="I94" s="1" t="s">
        <v>51</v>
      </c>
      <c r="J94" s="1" t="s">
        <v>69</v>
      </c>
      <c r="K94" s="2" t="s">
        <v>372</v>
      </c>
      <c r="L94" s="2" t="s">
        <v>392</v>
      </c>
      <c r="M94" s="2" t="s">
        <v>387</v>
      </c>
      <c r="N94" s="1" t="s">
        <v>376</v>
      </c>
      <c r="O94" s="1" t="s">
        <v>426</v>
      </c>
      <c r="P94" s="1" t="s">
        <v>379</v>
      </c>
      <c r="Q94" s="1" t="s">
        <v>424</v>
      </c>
      <c r="R94" s="1" t="s">
        <v>209</v>
      </c>
      <c r="S94" s="1" t="s">
        <v>54</v>
      </c>
      <c r="T94" s="1" t="s">
        <v>38</v>
      </c>
      <c r="U94" s="1" t="s">
        <v>70</v>
      </c>
      <c r="V94" s="1" t="s">
        <v>40</v>
      </c>
      <c r="W94" s="1" t="s">
        <v>56</v>
      </c>
      <c r="X94" s="1" t="s">
        <v>42</v>
      </c>
      <c r="Y94" s="1" t="s">
        <v>56</v>
      </c>
      <c r="Z94" s="1" t="s">
        <v>41</v>
      </c>
      <c r="AA94" s="1" t="s">
        <v>42</v>
      </c>
      <c r="AB94" s="1" t="s">
        <v>41</v>
      </c>
      <c r="AC94" s="1" t="s">
        <v>56</v>
      </c>
      <c r="AD94" s="1" t="s">
        <v>42</v>
      </c>
      <c r="AE94" s="1" t="s">
        <v>56</v>
      </c>
      <c r="AF94" s="1" t="s">
        <v>41</v>
      </c>
      <c r="AG94" s="1" t="s">
        <v>42</v>
      </c>
      <c r="AH94" s="1" t="s">
        <v>41</v>
      </c>
      <c r="AI94" s="10">
        <v>69</v>
      </c>
      <c r="AJ94" s="3">
        <v>82</v>
      </c>
      <c r="AK94" s="3">
        <v>47.6</v>
      </c>
      <c r="AL94" s="3">
        <v>89.7</v>
      </c>
      <c r="AM94" s="1" t="s">
        <v>75</v>
      </c>
      <c r="AN94" s="1" t="s">
        <v>76</v>
      </c>
      <c r="AO94" s="1"/>
      <c r="AP94" s="1" t="s">
        <v>73</v>
      </c>
      <c r="AQ94" s="1" t="s">
        <v>333</v>
      </c>
      <c r="AR94" s="1" t="s">
        <v>60</v>
      </c>
      <c r="AS94" s="4"/>
      <c r="AT94" s="31">
        <v>29</v>
      </c>
      <c r="AU94" s="5">
        <v>29</v>
      </c>
      <c r="AV94" s="4"/>
      <c r="AW94" s="15">
        <f>AT94-AZ94</f>
        <v>0</v>
      </c>
      <c r="AX94" s="4">
        <f>AW94/AT94*100</f>
        <v>0</v>
      </c>
      <c r="AY94" s="4"/>
      <c r="AZ94" s="5">
        <v>29</v>
      </c>
      <c r="BA94" s="4"/>
      <c r="BB94" s="4"/>
      <c r="BC94" s="4"/>
      <c r="BD94" s="4"/>
      <c r="BE94" s="1" t="s">
        <v>265</v>
      </c>
      <c r="BF94" s="1">
        <v>180</v>
      </c>
      <c r="BG94" s="1">
        <v>35</v>
      </c>
      <c r="BH94">
        <f>BF94-BG94</f>
        <v>145</v>
      </c>
      <c r="BI94" s="6"/>
    </row>
    <row r="95" spans="1:61" x14ac:dyDescent="0.2">
      <c r="A95" t="s">
        <v>338</v>
      </c>
      <c r="B95" s="1" t="s">
        <v>67</v>
      </c>
      <c r="C95" s="1">
        <v>2011</v>
      </c>
      <c r="D95" s="1" t="s">
        <v>74</v>
      </c>
      <c r="E95" s="1" t="s">
        <v>51</v>
      </c>
      <c r="F95" s="1" t="s">
        <v>356</v>
      </c>
      <c r="G95" s="2" t="s">
        <v>356</v>
      </c>
      <c r="H95" s="1" t="s">
        <v>51</v>
      </c>
      <c r="I95" s="1" t="s">
        <v>51</v>
      </c>
      <c r="J95" s="1" t="s">
        <v>69</v>
      </c>
      <c r="K95" s="2" t="s">
        <v>372</v>
      </c>
      <c r="L95" s="2" t="s">
        <v>392</v>
      </c>
      <c r="M95" s="2" t="s">
        <v>387</v>
      </c>
      <c r="N95" s="1" t="s">
        <v>376</v>
      </c>
      <c r="O95" s="1" t="s">
        <v>426</v>
      </c>
      <c r="P95" s="1" t="s">
        <v>379</v>
      </c>
      <c r="Q95" s="1" t="s">
        <v>424</v>
      </c>
      <c r="R95" s="1" t="s">
        <v>209</v>
      </c>
      <c r="S95" s="1" t="s">
        <v>54</v>
      </c>
      <c r="T95" s="1" t="s">
        <v>38</v>
      </c>
      <c r="U95" s="1" t="s">
        <v>70</v>
      </c>
      <c r="V95" s="1" t="s">
        <v>40</v>
      </c>
      <c r="W95" s="1" t="s">
        <v>56</v>
      </c>
      <c r="X95" s="1" t="s">
        <v>42</v>
      </c>
      <c r="Y95" s="1" t="s">
        <v>56</v>
      </c>
      <c r="Z95" s="1" t="s">
        <v>41</v>
      </c>
      <c r="AA95" s="1" t="s">
        <v>42</v>
      </c>
      <c r="AB95" s="1" t="s">
        <v>41</v>
      </c>
      <c r="AC95" s="1" t="s">
        <v>56</v>
      </c>
      <c r="AD95" s="1" t="s">
        <v>42</v>
      </c>
      <c r="AE95" s="1" t="s">
        <v>56</v>
      </c>
      <c r="AF95" s="1" t="s">
        <v>41</v>
      </c>
      <c r="AG95" s="1" t="s">
        <v>42</v>
      </c>
      <c r="AH95" s="1" t="s">
        <v>41</v>
      </c>
      <c r="AI95" s="10">
        <v>69</v>
      </c>
      <c r="AJ95" s="3">
        <v>82</v>
      </c>
      <c r="AK95" s="3">
        <v>47.6</v>
      </c>
      <c r="AL95" s="3">
        <v>89.7</v>
      </c>
      <c r="AM95" s="1" t="s">
        <v>75</v>
      </c>
      <c r="AN95" s="1" t="s">
        <v>76</v>
      </c>
      <c r="AO95" s="1"/>
      <c r="AP95" s="1" t="s">
        <v>77</v>
      </c>
      <c r="AQ95" s="1" t="s">
        <v>78</v>
      </c>
      <c r="AR95" s="1" t="s">
        <v>60</v>
      </c>
      <c r="AS95" s="4"/>
      <c r="AT95" s="31">
        <v>29</v>
      </c>
      <c r="AU95" s="5">
        <v>29</v>
      </c>
      <c r="AV95" s="4"/>
      <c r="AW95" s="15">
        <f>AT95-AZ95</f>
        <v>0</v>
      </c>
      <c r="AX95" s="4">
        <f>AW95/AT95*100</f>
        <v>0</v>
      </c>
      <c r="AY95" s="4"/>
      <c r="AZ95" s="5">
        <v>29</v>
      </c>
      <c r="BA95" s="4"/>
      <c r="BC95" s="4"/>
      <c r="BD95" s="4"/>
      <c r="BE95" s="1" t="s">
        <v>265</v>
      </c>
      <c r="BF95" s="1">
        <v>180</v>
      </c>
      <c r="BG95" s="1">
        <v>35</v>
      </c>
      <c r="BH95">
        <f>BF95-BG95</f>
        <v>145</v>
      </c>
      <c r="BI95" s="6"/>
    </row>
    <row r="96" spans="1:61" x14ac:dyDescent="0.2">
      <c r="A96" t="s">
        <v>338</v>
      </c>
      <c r="B96" s="1" t="s">
        <v>67</v>
      </c>
      <c r="C96" s="1">
        <v>2011</v>
      </c>
      <c r="D96" s="1" t="s">
        <v>74</v>
      </c>
      <c r="E96" s="1" t="s">
        <v>51</v>
      </c>
      <c r="F96" s="1" t="s">
        <v>356</v>
      </c>
      <c r="G96" s="2" t="s">
        <v>356</v>
      </c>
      <c r="H96" s="1" t="s">
        <v>51</v>
      </c>
      <c r="I96" s="1" t="s">
        <v>51</v>
      </c>
      <c r="J96" s="1" t="s">
        <v>69</v>
      </c>
      <c r="K96" s="2" t="s">
        <v>372</v>
      </c>
      <c r="L96" s="2" t="s">
        <v>392</v>
      </c>
      <c r="M96" s="2" t="s">
        <v>387</v>
      </c>
      <c r="N96" s="1" t="s">
        <v>376</v>
      </c>
      <c r="O96" s="1" t="s">
        <v>426</v>
      </c>
      <c r="P96" s="1" t="s">
        <v>379</v>
      </c>
      <c r="Q96" s="1" t="s">
        <v>424</v>
      </c>
      <c r="R96" s="1" t="s">
        <v>209</v>
      </c>
      <c r="S96" s="1" t="s">
        <v>54</v>
      </c>
      <c r="T96" s="1" t="s">
        <v>38</v>
      </c>
      <c r="U96" s="1" t="s">
        <v>70</v>
      </c>
      <c r="V96" s="1" t="s">
        <v>40</v>
      </c>
      <c r="W96" s="1" t="s">
        <v>56</v>
      </c>
      <c r="X96" s="1" t="s">
        <v>42</v>
      </c>
      <c r="Y96" s="1" t="s">
        <v>56</v>
      </c>
      <c r="Z96" s="1" t="s">
        <v>41</v>
      </c>
      <c r="AA96" s="1" t="s">
        <v>42</v>
      </c>
      <c r="AB96" s="1" t="s">
        <v>41</v>
      </c>
      <c r="AC96" s="1" t="s">
        <v>56</v>
      </c>
      <c r="AD96" s="1" t="s">
        <v>42</v>
      </c>
      <c r="AE96" s="1" t="s">
        <v>56</v>
      </c>
      <c r="AF96" s="1" t="s">
        <v>41</v>
      </c>
      <c r="AG96" s="1" t="s">
        <v>42</v>
      </c>
      <c r="AH96" s="1" t="s">
        <v>41</v>
      </c>
      <c r="AI96" s="10">
        <v>69</v>
      </c>
      <c r="AJ96" s="3">
        <v>82</v>
      </c>
      <c r="AK96" s="3">
        <v>47.6</v>
      </c>
      <c r="AL96" s="3">
        <v>89.7</v>
      </c>
      <c r="AM96" s="1" t="s">
        <v>75</v>
      </c>
      <c r="AN96" s="1" t="s">
        <v>76</v>
      </c>
      <c r="AO96" s="1"/>
      <c r="AP96" s="1" t="s">
        <v>79</v>
      </c>
      <c r="AQ96" s="1" t="s">
        <v>78</v>
      </c>
      <c r="AR96" s="1" t="s">
        <v>60</v>
      </c>
      <c r="AS96" s="4"/>
      <c r="AT96" s="31">
        <v>29</v>
      </c>
      <c r="AU96" s="5">
        <v>29</v>
      </c>
      <c r="AV96" s="4"/>
      <c r="AW96" s="15">
        <f>AT96-AZ96</f>
        <v>0</v>
      </c>
      <c r="AX96" s="4">
        <f>AW96/AT96*100</f>
        <v>0</v>
      </c>
      <c r="AY96" s="4"/>
      <c r="AZ96" s="5">
        <v>29</v>
      </c>
      <c r="BA96" s="4"/>
      <c r="BB96" s="4"/>
      <c r="BC96" s="4"/>
      <c r="BD96" s="4"/>
      <c r="BE96" s="1" t="s">
        <v>265</v>
      </c>
      <c r="BF96" s="1">
        <v>180</v>
      </c>
      <c r="BG96" s="1">
        <v>35</v>
      </c>
      <c r="BH96">
        <f>BF96-BG96</f>
        <v>145</v>
      </c>
      <c r="BI96" s="6"/>
    </row>
    <row r="97" spans="1:61" x14ac:dyDescent="0.2">
      <c r="A97" t="s">
        <v>338</v>
      </c>
      <c r="B97" s="1" t="s">
        <v>67</v>
      </c>
      <c r="C97" s="1">
        <v>2011</v>
      </c>
      <c r="D97" s="1" t="s">
        <v>74</v>
      </c>
      <c r="E97" s="1" t="s">
        <v>51</v>
      </c>
      <c r="F97" s="1" t="s">
        <v>356</v>
      </c>
      <c r="G97" s="2" t="s">
        <v>356</v>
      </c>
      <c r="H97" s="1" t="s">
        <v>51</v>
      </c>
      <c r="I97" s="1" t="s">
        <v>51</v>
      </c>
      <c r="J97" s="1" t="s">
        <v>69</v>
      </c>
      <c r="K97" s="2" t="s">
        <v>372</v>
      </c>
      <c r="L97" s="2" t="s">
        <v>392</v>
      </c>
      <c r="M97" s="2" t="s">
        <v>387</v>
      </c>
      <c r="N97" s="1" t="s">
        <v>376</v>
      </c>
      <c r="O97" s="1" t="s">
        <v>426</v>
      </c>
      <c r="P97" s="1" t="s">
        <v>379</v>
      </c>
      <c r="Q97" s="1" t="s">
        <v>424</v>
      </c>
      <c r="R97" s="1" t="s">
        <v>209</v>
      </c>
      <c r="S97" s="1" t="s">
        <v>54</v>
      </c>
      <c r="T97" s="1" t="s">
        <v>38</v>
      </c>
      <c r="U97" s="1" t="s">
        <v>70</v>
      </c>
      <c r="V97" s="1" t="s">
        <v>40</v>
      </c>
      <c r="W97" s="1" t="s">
        <v>56</v>
      </c>
      <c r="X97" s="1" t="s">
        <v>42</v>
      </c>
      <c r="Y97" s="1" t="s">
        <v>56</v>
      </c>
      <c r="Z97" s="1" t="s">
        <v>41</v>
      </c>
      <c r="AA97" s="1" t="s">
        <v>42</v>
      </c>
      <c r="AB97" s="1" t="s">
        <v>41</v>
      </c>
      <c r="AC97" s="1" t="s">
        <v>56</v>
      </c>
      <c r="AD97" s="1" t="s">
        <v>42</v>
      </c>
      <c r="AE97" s="1" t="s">
        <v>56</v>
      </c>
      <c r="AF97" s="1" t="s">
        <v>41</v>
      </c>
      <c r="AG97" s="1" t="s">
        <v>42</v>
      </c>
      <c r="AH97" s="1" t="s">
        <v>41</v>
      </c>
      <c r="AI97" s="10">
        <v>69</v>
      </c>
      <c r="AJ97" s="3">
        <v>81.7</v>
      </c>
      <c r="AK97" s="3">
        <v>47.6</v>
      </c>
      <c r="AL97" s="3">
        <v>89.7</v>
      </c>
      <c r="AM97" s="1" t="s">
        <v>75</v>
      </c>
      <c r="AN97" s="1" t="s">
        <v>76</v>
      </c>
      <c r="AO97" s="1"/>
      <c r="AP97" s="1" t="s">
        <v>425</v>
      </c>
      <c r="AQ97" s="1" t="s">
        <v>80</v>
      </c>
      <c r="AR97" s="1" t="s">
        <v>60</v>
      </c>
      <c r="AS97" s="4"/>
      <c r="AT97" s="31">
        <v>29</v>
      </c>
      <c r="AU97" s="5">
        <v>29</v>
      </c>
      <c r="AV97" s="4"/>
      <c r="AW97" s="15">
        <f>AT97-AZ97</f>
        <v>0</v>
      </c>
      <c r="AX97" s="4">
        <f>AW97/AT97*100</f>
        <v>0</v>
      </c>
      <c r="AY97" s="4"/>
      <c r="AZ97" s="5">
        <v>29</v>
      </c>
      <c r="BA97" s="4"/>
      <c r="BB97" s="4"/>
      <c r="BC97" s="4"/>
      <c r="BD97" s="4"/>
      <c r="BE97" s="1" t="s">
        <v>265</v>
      </c>
      <c r="BF97" s="1">
        <v>180</v>
      </c>
      <c r="BG97" s="1">
        <v>35</v>
      </c>
      <c r="BH97">
        <f>BF97-BG97</f>
        <v>145</v>
      </c>
      <c r="BI97" s="6"/>
    </row>
    <row r="98" spans="1:61" x14ac:dyDescent="0.2">
      <c r="A98" t="s">
        <v>338</v>
      </c>
      <c r="B98" s="1" t="s">
        <v>67</v>
      </c>
      <c r="C98" s="1">
        <v>2011</v>
      </c>
      <c r="D98" s="1" t="s">
        <v>74</v>
      </c>
      <c r="E98" s="1" t="s">
        <v>51</v>
      </c>
      <c r="F98" s="1" t="s">
        <v>356</v>
      </c>
      <c r="G98" s="2" t="s">
        <v>356</v>
      </c>
      <c r="H98" s="1" t="s">
        <v>51</v>
      </c>
      <c r="I98" s="1" t="s">
        <v>51</v>
      </c>
      <c r="J98" s="1" t="s">
        <v>69</v>
      </c>
      <c r="K98" s="2" t="s">
        <v>372</v>
      </c>
      <c r="L98" s="2" t="s">
        <v>392</v>
      </c>
      <c r="M98" s="2" t="s">
        <v>387</v>
      </c>
      <c r="N98" s="1" t="s">
        <v>376</v>
      </c>
      <c r="O98" s="1" t="s">
        <v>426</v>
      </c>
      <c r="P98" s="1" t="s">
        <v>379</v>
      </c>
      <c r="Q98" s="1" t="s">
        <v>424</v>
      </c>
      <c r="R98" s="1" t="s">
        <v>209</v>
      </c>
      <c r="S98" s="1" t="s">
        <v>54</v>
      </c>
      <c r="T98" s="1" t="s">
        <v>38</v>
      </c>
      <c r="U98" s="1" t="s">
        <v>70</v>
      </c>
      <c r="V98" s="1" t="s">
        <v>40</v>
      </c>
      <c r="W98" s="1" t="s">
        <v>56</v>
      </c>
      <c r="X98" s="1" t="s">
        <v>42</v>
      </c>
      <c r="Y98" s="1" t="s">
        <v>56</v>
      </c>
      <c r="Z98" s="1" t="s">
        <v>41</v>
      </c>
      <c r="AA98" s="1" t="s">
        <v>42</v>
      </c>
      <c r="AB98" s="1" t="s">
        <v>41</v>
      </c>
      <c r="AC98" s="1" t="s">
        <v>56</v>
      </c>
      <c r="AD98" s="1" t="s">
        <v>42</v>
      </c>
      <c r="AE98" s="1" t="s">
        <v>56</v>
      </c>
      <c r="AF98" s="1" t="s">
        <v>41</v>
      </c>
      <c r="AG98" s="1" t="s">
        <v>42</v>
      </c>
      <c r="AH98" s="1" t="s">
        <v>41</v>
      </c>
      <c r="AI98" s="10">
        <v>69</v>
      </c>
      <c r="AJ98" s="3">
        <v>82</v>
      </c>
      <c r="AK98" s="3">
        <v>47.6</v>
      </c>
      <c r="AL98" s="3">
        <v>89.7</v>
      </c>
      <c r="AM98" s="1" t="s">
        <v>75</v>
      </c>
      <c r="AN98" s="1" t="s">
        <v>76</v>
      </c>
      <c r="AO98" s="1"/>
      <c r="AP98" s="1" t="s">
        <v>369</v>
      </c>
      <c r="AQ98" s="1" t="s">
        <v>78</v>
      </c>
      <c r="AR98" s="1" t="s">
        <v>60</v>
      </c>
      <c r="AS98" s="4"/>
      <c r="AT98" s="31">
        <v>29</v>
      </c>
      <c r="AU98" s="5">
        <v>29</v>
      </c>
      <c r="AV98" s="4"/>
      <c r="AW98" s="15">
        <f>AT98-AZ98</f>
        <v>0</v>
      </c>
      <c r="AX98" s="4">
        <f>AW98/AT98*100</f>
        <v>0</v>
      </c>
      <c r="AY98" s="4"/>
      <c r="AZ98" s="5">
        <v>29</v>
      </c>
      <c r="BA98" s="4"/>
      <c r="BB98" s="4"/>
      <c r="BC98" s="4"/>
      <c r="BD98" s="4"/>
      <c r="BE98" s="1" t="s">
        <v>265</v>
      </c>
      <c r="BF98" s="1">
        <v>180</v>
      </c>
      <c r="BG98" s="1">
        <v>35</v>
      </c>
      <c r="BH98">
        <f>BF98-BG98</f>
        <v>145</v>
      </c>
      <c r="BI98" s="6"/>
    </row>
    <row r="99" spans="1:61" x14ac:dyDescent="0.2">
      <c r="A99" t="s">
        <v>338</v>
      </c>
      <c r="B99" s="1" t="s">
        <v>67</v>
      </c>
      <c r="C99" s="1">
        <v>2011</v>
      </c>
      <c r="D99" s="1" t="s">
        <v>74</v>
      </c>
      <c r="E99" s="1" t="s">
        <v>51</v>
      </c>
      <c r="F99" s="1" t="s">
        <v>356</v>
      </c>
      <c r="G99" s="2" t="s">
        <v>356</v>
      </c>
      <c r="H99" s="1" t="s">
        <v>51</v>
      </c>
      <c r="I99" s="1" t="s">
        <v>51</v>
      </c>
      <c r="J99" s="1" t="s">
        <v>69</v>
      </c>
      <c r="K99" s="2" t="s">
        <v>372</v>
      </c>
      <c r="L99" s="2" t="s">
        <v>392</v>
      </c>
      <c r="M99" s="2" t="s">
        <v>387</v>
      </c>
      <c r="N99" s="1" t="s">
        <v>376</v>
      </c>
      <c r="O99" s="1" t="s">
        <v>426</v>
      </c>
      <c r="P99" s="1" t="s">
        <v>379</v>
      </c>
      <c r="Q99" s="1" t="s">
        <v>424</v>
      </c>
      <c r="R99" s="1" t="s">
        <v>209</v>
      </c>
      <c r="S99" s="1" t="s">
        <v>54</v>
      </c>
      <c r="T99" s="1" t="s">
        <v>38</v>
      </c>
      <c r="U99" s="1" t="s">
        <v>70</v>
      </c>
      <c r="V99" s="1" t="s">
        <v>40</v>
      </c>
      <c r="W99" s="1" t="s">
        <v>56</v>
      </c>
      <c r="X99" s="1" t="s">
        <v>42</v>
      </c>
      <c r="Y99" s="1" t="s">
        <v>56</v>
      </c>
      <c r="Z99" s="1" t="s">
        <v>41</v>
      </c>
      <c r="AA99" s="1" t="s">
        <v>42</v>
      </c>
      <c r="AB99" s="1" t="s">
        <v>41</v>
      </c>
      <c r="AC99" s="1" t="s">
        <v>56</v>
      </c>
      <c r="AD99" s="1" t="s">
        <v>42</v>
      </c>
      <c r="AE99" s="1" t="s">
        <v>56</v>
      </c>
      <c r="AF99" s="1" t="s">
        <v>41</v>
      </c>
      <c r="AG99" s="1" t="s">
        <v>42</v>
      </c>
      <c r="AH99" s="1" t="s">
        <v>41</v>
      </c>
      <c r="AI99" s="10">
        <v>69</v>
      </c>
      <c r="AJ99" s="3">
        <v>82</v>
      </c>
      <c r="AK99" s="3">
        <v>47.6</v>
      </c>
      <c r="AL99" s="3">
        <v>89.7</v>
      </c>
      <c r="AM99" s="1" t="s">
        <v>75</v>
      </c>
      <c r="AN99" s="1" t="s">
        <v>76</v>
      </c>
      <c r="AO99" s="1"/>
      <c r="AP99" s="1" t="s">
        <v>179</v>
      </c>
      <c r="AQ99" s="1" t="s">
        <v>78</v>
      </c>
      <c r="AR99" s="1" t="s">
        <v>60</v>
      </c>
      <c r="AS99" s="4"/>
      <c r="AT99" s="31">
        <v>29</v>
      </c>
      <c r="AU99" s="5">
        <v>29</v>
      </c>
      <c r="AV99" s="4"/>
      <c r="AW99" s="15">
        <f>AT99-AZ99</f>
        <v>0</v>
      </c>
      <c r="AX99" s="4">
        <f>AW99/AT99*100</f>
        <v>0</v>
      </c>
      <c r="AY99" s="4"/>
      <c r="AZ99" s="5">
        <v>29</v>
      </c>
      <c r="BA99" s="4"/>
      <c r="BB99" s="4"/>
      <c r="BC99" s="4"/>
      <c r="BD99" s="4"/>
      <c r="BE99" s="1" t="s">
        <v>265</v>
      </c>
      <c r="BF99" s="1">
        <v>180</v>
      </c>
      <c r="BG99" s="1">
        <v>35</v>
      </c>
      <c r="BH99">
        <f>BF99-BG99</f>
        <v>145</v>
      </c>
      <c r="BI99" s="6"/>
    </row>
    <row r="100" spans="1:61" x14ac:dyDescent="0.2">
      <c r="A100" t="s">
        <v>338</v>
      </c>
      <c r="B100" s="1" t="s">
        <v>67</v>
      </c>
      <c r="C100" s="1">
        <v>2011</v>
      </c>
      <c r="D100" s="1" t="s">
        <v>74</v>
      </c>
      <c r="E100" s="1" t="s">
        <v>51</v>
      </c>
      <c r="F100" s="1" t="s">
        <v>356</v>
      </c>
      <c r="G100" s="2" t="s">
        <v>356</v>
      </c>
      <c r="H100" s="1" t="s">
        <v>51</v>
      </c>
      <c r="I100" s="1" t="s">
        <v>51</v>
      </c>
      <c r="J100" s="1" t="s">
        <v>69</v>
      </c>
      <c r="K100" s="2" t="s">
        <v>372</v>
      </c>
      <c r="L100" s="2" t="s">
        <v>392</v>
      </c>
      <c r="M100" s="2" t="s">
        <v>387</v>
      </c>
      <c r="N100" s="1" t="s">
        <v>376</v>
      </c>
      <c r="O100" s="1" t="s">
        <v>426</v>
      </c>
      <c r="P100" s="1" t="s">
        <v>379</v>
      </c>
      <c r="Q100" s="1" t="s">
        <v>424</v>
      </c>
      <c r="R100" s="1" t="s">
        <v>209</v>
      </c>
      <c r="S100" s="1" t="s">
        <v>54</v>
      </c>
      <c r="T100" s="1" t="s">
        <v>38</v>
      </c>
      <c r="U100" s="1" t="s">
        <v>70</v>
      </c>
      <c r="V100" s="1" t="s">
        <v>40</v>
      </c>
      <c r="W100" s="1" t="s">
        <v>56</v>
      </c>
      <c r="X100" s="1" t="s">
        <v>42</v>
      </c>
      <c r="Y100" s="1" t="s">
        <v>56</v>
      </c>
      <c r="Z100" s="1" t="s">
        <v>41</v>
      </c>
      <c r="AA100" s="1" t="s">
        <v>42</v>
      </c>
      <c r="AB100" s="1" t="s">
        <v>41</v>
      </c>
      <c r="AC100" s="1" t="s">
        <v>56</v>
      </c>
      <c r="AD100" s="1" t="s">
        <v>42</v>
      </c>
      <c r="AE100" s="1" t="s">
        <v>56</v>
      </c>
      <c r="AF100" s="1" t="s">
        <v>41</v>
      </c>
      <c r="AG100" s="1" t="s">
        <v>42</v>
      </c>
      <c r="AH100" s="1" t="s">
        <v>41</v>
      </c>
      <c r="AI100" s="10">
        <v>69</v>
      </c>
      <c r="AJ100" s="3">
        <v>82</v>
      </c>
      <c r="AK100" s="3">
        <v>47.6</v>
      </c>
      <c r="AL100" s="3">
        <v>89.7</v>
      </c>
      <c r="AM100" s="1" t="s">
        <v>75</v>
      </c>
      <c r="AN100" s="1" t="s">
        <v>76</v>
      </c>
      <c r="AO100" s="1"/>
      <c r="AP100" s="1" t="s">
        <v>316</v>
      </c>
      <c r="AQ100" s="1" t="s">
        <v>81</v>
      </c>
      <c r="AR100" s="1" t="s">
        <v>60</v>
      </c>
      <c r="AS100" s="4"/>
      <c r="AT100" s="31">
        <v>29</v>
      </c>
      <c r="AU100" s="5">
        <v>29</v>
      </c>
      <c r="AV100" s="4"/>
      <c r="AW100" s="15">
        <f>AT100-AZ100</f>
        <v>0</v>
      </c>
      <c r="AX100" s="4">
        <f>AW100/AT100*100</f>
        <v>0</v>
      </c>
      <c r="AY100" s="4"/>
      <c r="AZ100" s="5">
        <v>29</v>
      </c>
      <c r="BA100" s="4"/>
      <c r="BB100" s="4"/>
      <c r="BC100" s="4"/>
      <c r="BD100" s="4"/>
      <c r="BE100" s="1" t="s">
        <v>265</v>
      </c>
      <c r="BF100" s="1">
        <v>180</v>
      </c>
      <c r="BG100" s="1">
        <v>35</v>
      </c>
      <c r="BH100">
        <f>BF100-BG100</f>
        <v>145</v>
      </c>
      <c r="BI100" s="6"/>
    </row>
    <row r="101" spans="1:61" x14ac:dyDescent="0.2">
      <c r="A101" t="s">
        <v>338</v>
      </c>
      <c r="B101" s="1" t="s">
        <v>67</v>
      </c>
      <c r="C101" s="1">
        <v>2011</v>
      </c>
      <c r="D101" s="1" t="s">
        <v>74</v>
      </c>
      <c r="E101" s="1" t="s">
        <v>51</v>
      </c>
      <c r="F101" s="1" t="s">
        <v>356</v>
      </c>
      <c r="G101" s="2" t="s">
        <v>356</v>
      </c>
      <c r="H101" s="1" t="s">
        <v>51</v>
      </c>
      <c r="I101" s="1" t="s">
        <v>51</v>
      </c>
      <c r="J101" s="1" t="s">
        <v>69</v>
      </c>
      <c r="K101" s="2" t="s">
        <v>372</v>
      </c>
      <c r="L101" s="2" t="s">
        <v>392</v>
      </c>
      <c r="M101" s="2" t="s">
        <v>387</v>
      </c>
      <c r="N101" s="1" t="s">
        <v>376</v>
      </c>
      <c r="O101" s="1" t="s">
        <v>426</v>
      </c>
      <c r="P101" s="1" t="s">
        <v>379</v>
      </c>
      <c r="Q101" s="1" t="s">
        <v>424</v>
      </c>
      <c r="R101" s="1" t="s">
        <v>209</v>
      </c>
      <c r="S101" s="1" t="s">
        <v>54</v>
      </c>
      <c r="T101" s="1" t="s">
        <v>38</v>
      </c>
      <c r="U101" s="1" t="s">
        <v>70</v>
      </c>
      <c r="V101" s="1" t="s">
        <v>40</v>
      </c>
      <c r="W101" s="1" t="s">
        <v>56</v>
      </c>
      <c r="X101" s="1" t="s">
        <v>42</v>
      </c>
      <c r="Y101" s="1" t="s">
        <v>56</v>
      </c>
      <c r="Z101" s="1" t="s">
        <v>41</v>
      </c>
      <c r="AA101" s="1" t="s">
        <v>42</v>
      </c>
      <c r="AB101" s="1" t="s">
        <v>41</v>
      </c>
      <c r="AC101" s="1" t="s">
        <v>56</v>
      </c>
      <c r="AD101" s="1" t="s">
        <v>42</v>
      </c>
      <c r="AE101" s="1" t="s">
        <v>56</v>
      </c>
      <c r="AF101" s="1" t="s">
        <v>41</v>
      </c>
      <c r="AG101" s="1" t="s">
        <v>42</v>
      </c>
      <c r="AH101" s="1" t="s">
        <v>41</v>
      </c>
      <c r="AI101" s="10">
        <v>69</v>
      </c>
      <c r="AJ101" s="3">
        <v>82</v>
      </c>
      <c r="AK101" s="3">
        <v>47.6</v>
      </c>
      <c r="AL101" s="3">
        <v>89.7</v>
      </c>
      <c r="AM101" s="1" t="s">
        <v>75</v>
      </c>
      <c r="AN101" s="1" t="s">
        <v>76</v>
      </c>
      <c r="AO101" s="1"/>
      <c r="AP101" s="1" t="s">
        <v>82</v>
      </c>
      <c r="AQ101" s="1" t="s">
        <v>83</v>
      </c>
      <c r="AR101" s="1" t="s">
        <v>60</v>
      </c>
      <c r="AS101" s="4"/>
      <c r="AT101" s="31">
        <v>29</v>
      </c>
      <c r="AU101" s="5">
        <v>29</v>
      </c>
      <c r="AV101" s="4"/>
      <c r="AW101" s="15">
        <f>AT101-AZ101</f>
        <v>0</v>
      </c>
      <c r="AX101" s="4">
        <f>AW101/AT101*100</f>
        <v>0</v>
      </c>
      <c r="AY101" s="4"/>
      <c r="AZ101" s="5">
        <v>29</v>
      </c>
      <c r="BA101" s="4"/>
      <c r="BB101" s="4"/>
      <c r="BC101" s="4"/>
      <c r="BD101" s="4"/>
      <c r="BE101" s="1" t="s">
        <v>265</v>
      </c>
      <c r="BF101" s="1">
        <v>180</v>
      </c>
      <c r="BG101" s="1">
        <v>35</v>
      </c>
      <c r="BH101">
        <f>BF101-BG101</f>
        <v>145</v>
      </c>
      <c r="BI101" s="6"/>
    </row>
    <row r="102" spans="1:61" x14ac:dyDescent="0.2">
      <c r="A102" t="s">
        <v>337</v>
      </c>
      <c r="B102" s="2" t="s">
        <v>266</v>
      </c>
      <c r="C102" s="2">
        <v>2020</v>
      </c>
      <c r="D102" s="2" t="s">
        <v>272</v>
      </c>
      <c r="E102" s="2" t="s">
        <v>51</v>
      </c>
      <c r="F102" s="1" t="s">
        <v>356</v>
      </c>
      <c r="G102" s="2" t="s">
        <v>356</v>
      </c>
      <c r="H102" s="2" t="s">
        <v>51</v>
      </c>
      <c r="I102" s="2" t="s">
        <v>51</v>
      </c>
      <c r="J102" s="2" t="s">
        <v>310</v>
      </c>
      <c r="K102" s="2" t="s">
        <v>372</v>
      </c>
      <c r="L102" s="2" t="s">
        <v>393</v>
      </c>
      <c r="M102" s="2" t="s">
        <v>388</v>
      </c>
      <c r="N102" s="2" t="s">
        <v>268</v>
      </c>
      <c r="O102" s="2" t="s">
        <v>429</v>
      </c>
      <c r="P102" s="2" t="s">
        <v>379</v>
      </c>
      <c r="Q102" s="2" t="s">
        <v>428</v>
      </c>
      <c r="R102" s="2" t="s">
        <v>209</v>
      </c>
      <c r="S102" s="2" t="s">
        <v>269</v>
      </c>
      <c r="T102" s="2" t="s">
        <v>270</v>
      </c>
      <c r="U102" s="2" t="s">
        <v>271</v>
      </c>
      <c r="V102" s="2" t="s">
        <v>40</v>
      </c>
      <c r="W102" s="2" t="s">
        <v>56</v>
      </c>
      <c r="X102" s="2" t="s">
        <v>56</v>
      </c>
      <c r="Y102" s="2" t="s">
        <v>56</v>
      </c>
      <c r="Z102" s="2" t="s">
        <v>56</v>
      </c>
      <c r="AA102" s="2" t="s">
        <v>56</v>
      </c>
      <c r="AB102" s="2" t="s">
        <v>56</v>
      </c>
      <c r="AC102" s="2" t="s">
        <v>56</v>
      </c>
      <c r="AD102" s="2" t="s">
        <v>42</v>
      </c>
      <c r="AE102" s="2" t="s">
        <v>56</v>
      </c>
      <c r="AF102" s="2" t="s">
        <v>42</v>
      </c>
      <c r="AG102" s="2" t="s">
        <v>56</v>
      </c>
      <c r="AH102" s="2" t="s">
        <v>56</v>
      </c>
      <c r="AI102" s="7">
        <v>76.900000000000006</v>
      </c>
      <c r="AJ102" s="7">
        <v>82.8</v>
      </c>
      <c r="AK102" s="7">
        <v>58.7</v>
      </c>
      <c r="AL102" s="7">
        <v>80.8</v>
      </c>
      <c r="AM102" s="2" t="s">
        <v>298</v>
      </c>
      <c r="AN102" s="2"/>
      <c r="AO102" s="2"/>
      <c r="AP102" s="2" t="s">
        <v>44</v>
      </c>
      <c r="AQ102" s="2" t="s">
        <v>45</v>
      </c>
      <c r="AR102" s="2" t="s">
        <v>46</v>
      </c>
      <c r="AS102" s="8">
        <v>6.8</v>
      </c>
      <c r="AT102" s="33">
        <v>30</v>
      </c>
      <c r="AU102" s="9">
        <v>26</v>
      </c>
      <c r="AV102" s="8">
        <v>2.2999999999999998</v>
      </c>
      <c r="AW102" s="15">
        <f>AT102-AZ102</f>
        <v>4</v>
      </c>
      <c r="AX102" s="4">
        <f>AW102/AT102*100</f>
        <v>13.333333333333334</v>
      </c>
      <c r="AY102" s="8">
        <v>5.5</v>
      </c>
      <c r="AZ102" s="9">
        <v>26</v>
      </c>
      <c r="BA102" s="8">
        <v>3.4</v>
      </c>
      <c r="BB102" s="8"/>
      <c r="BC102" s="8"/>
      <c r="BD102" s="8"/>
      <c r="BE102" s="2" t="s">
        <v>430</v>
      </c>
      <c r="BF102" s="2">
        <v>90</v>
      </c>
      <c r="BG102" s="2">
        <v>35</v>
      </c>
      <c r="BH102">
        <f>BF102-BG102</f>
        <v>55</v>
      </c>
      <c r="BI102" s="6"/>
    </row>
    <row r="103" spans="1:61" x14ac:dyDescent="0.2">
      <c r="A103" t="s">
        <v>337</v>
      </c>
      <c r="B103" s="2" t="s">
        <v>266</v>
      </c>
      <c r="C103" s="2">
        <v>2020</v>
      </c>
      <c r="D103" s="2" t="s">
        <v>272</v>
      </c>
      <c r="E103" s="2" t="s">
        <v>51</v>
      </c>
      <c r="F103" s="1" t="s">
        <v>356</v>
      </c>
      <c r="G103" s="2" t="s">
        <v>356</v>
      </c>
      <c r="H103" s="2" t="s">
        <v>51</v>
      </c>
      <c r="I103" s="2" t="s">
        <v>51</v>
      </c>
      <c r="J103" s="2" t="s">
        <v>310</v>
      </c>
      <c r="K103" s="2" t="s">
        <v>372</v>
      </c>
      <c r="L103" s="2" t="s">
        <v>393</v>
      </c>
      <c r="M103" s="2" t="s">
        <v>388</v>
      </c>
      <c r="N103" s="2" t="s">
        <v>268</v>
      </c>
      <c r="O103" s="2" t="s">
        <v>429</v>
      </c>
      <c r="P103" s="2" t="s">
        <v>379</v>
      </c>
      <c r="Q103" s="2" t="s">
        <v>428</v>
      </c>
      <c r="R103" s="2" t="s">
        <v>209</v>
      </c>
      <c r="S103" s="2" t="s">
        <v>269</v>
      </c>
      <c r="T103" s="2" t="s">
        <v>270</v>
      </c>
      <c r="U103" s="2" t="s">
        <v>271</v>
      </c>
      <c r="V103" s="2" t="s">
        <v>40</v>
      </c>
      <c r="W103" s="2" t="s">
        <v>56</v>
      </c>
      <c r="X103" s="2" t="s">
        <v>56</v>
      </c>
      <c r="Y103" s="2" t="s">
        <v>56</v>
      </c>
      <c r="Z103" s="2" t="s">
        <v>56</v>
      </c>
      <c r="AA103" s="2" t="s">
        <v>56</v>
      </c>
      <c r="AB103" s="2" t="s">
        <v>56</v>
      </c>
      <c r="AC103" s="2" t="s">
        <v>56</v>
      </c>
      <c r="AD103" s="2" t="s">
        <v>42</v>
      </c>
      <c r="AE103" s="2" t="s">
        <v>56</v>
      </c>
      <c r="AF103" s="2" t="s">
        <v>42</v>
      </c>
      <c r="AG103" s="2" t="s">
        <v>56</v>
      </c>
      <c r="AH103" s="2" t="s">
        <v>56</v>
      </c>
      <c r="AI103" s="7">
        <v>76.900000000000006</v>
      </c>
      <c r="AJ103" s="7">
        <v>82.8</v>
      </c>
      <c r="AK103" s="7">
        <v>58.7</v>
      </c>
      <c r="AL103" s="7">
        <v>80.8</v>
      </c>
      <c r="AM103" s="2" t="s">
        <v>298</v>
      </c>
      <c r="AN103" s="2"/>
      <c r="AO103" s="2"/>
      <c r="AP103" s="2" t="s">
        <v>314</v>
      </c>
      <c r="AQ103" s="1" t="s">
        <v>313</v>
      </c>
      <c r="AR103" s="1" t="s">
        <v>46</v>
      </c>
      <c r="AS103" s="4">
        <v>4.5999999999999996</v>
      </c>
      <c r="AT103" s="34">
        <v>30</v>
      </c>
      <c r="AU103" s="5">
        <v>26</v>
      </c>
      <c r="AV103" s="4">
        <v>2.8</v>
      </c>
      <c r="AW103" s="15">
        <f>AT103-AZ103</f>
        <v>4</v>
      </c>
      <c r="AX103" s="4">
        <f>AW103/AT103*100</f>
        <v>13.333333333333334</v>
      </c>
      <c r="AY103" s="4">
        <v>2.9</v>
      </c>
      <c r="AZ103" s="5">
        <v>26</v>
      </c>
      <c r="BA103" s="4">
        <v>2.8</v>
      </c>
      <c r="BB103" s="4"/>
      <c r="BC103" s="8"/>
      <c r="BD103" s="8"/>
      <c r="BE103" s="2" t="s">
        <v>430</v>
      </c>
      <c r="BF103" s="2">
        <v>90</v>
      </c>
      <c r="BG103" s="2">
        <v>35</v>
      </c>
      <c r="BH103">
        <f>BF103-BG103</f>
        <v>55</v>
      </c>
      <c r="BI103" s="6"/>
    </row>
    <row r="104" spans="1:61" x14ac:dyDescent="0.2">
      <c r="A104" t="s">
        <v>338</v>
      </c>
      <c r="B104" s="1" t="s">
        <v>441</v>
      </c>
      <c r="C104" s="1">
        <v>2017</v>
      </c>
      <c r="D104" s="1" t="s">
        <v>107</v>
      </c>
      <c r="E104" s="1" t="s">
        <v>51</v>
      </c>
      <c r="F104" s="1" t="s">
        <v>356</v>
      </c>
      <c r="G104" s="2" t="s">
        <v>356</v>
      </c>
      <c r="H104" s="1" t="s">
        <v>51</v>
      </c>
      <c r="I104" s="1" t="s">
        <v>51</v>
      </c>
      <c r="J104" s="1" t="s">
        <v>86</v>
      </c>
      <c r="K104" s="1" t="s">
        <v>371</v>
      </c>
      <c r="L104" s="1" t="s">
        <v>395</v>
      </c>
      <c r="M104" s="1" t="s">
        <v>390</v>
      </c>
      <c r="N104" s="1" t="s">
        <v>103</v>
      </c>
      <c r="O104" s="1" t="s">
        <v>440</v>
      </c>
      <c r="P104" s="1" t="s">
        <v>404</v>
      </c>
      <c r="Q104" s="1" t="s">
        <v>439</v>
      </c>
      <c r="R104" s="1" t="s">
        <v>209</v>
      </c>
      <c r="S104" s="1" t="s">
        <v>54</v>
      </c>
      <c r="T104" s="1" t="s">
        <v>38</v>
      </c>
      <c r="U104" s="1" t="s">
        <v>70</v>
      </c>
      <c r="V104" s="1" t="s">
        <v>40</v>
      </c>
      <c r="W104" s="1" t="s">
        <v>42</v>
      </c>
      <c r="X104" s="1" t="s">
        <v>42</v>
      </c>
      <c r="Y104" s="1" t="s">
        <v>56</v>
      </c>
      <c r="Z104" s="1" t="s">
        <v>42</v>
      </c>
      <c r="AA104" s="1" t="s">
        <v>42</v>
      </c>
      <c r="AB104" s="1" t="s">
        <v>42</v>
      </c>
      <c r="AC104" s="1" t="s">
        <v>42</v>
      </c>
      <c r="AD104" s="1" t="s">
        <v>42</v>
      </c>
      <c r="AE104" s="1" t="s">
        <v>56</v>
      </c>
      <c r="AF104" s="1" t="s">
        <v>42</v>
      </c>
      <c r="AG104" s="1" t="s">
        <v>42</v>
      </c>
      <c r="AH104" s="1" t="s">
        <v>42</v>
      </c>
      <c r="AI104" s="3">
        <v>64.099999999999994</v>
      </c>
      <c r="AJ104" s="3"/>
      <c r="AK104" s="3">
        <v>62.79</v>
      </c>
      <c r="AL104" s="3">
        <v>56.41</v>
      </c>
      <c r="AM104" s="1" t="s">
        <v>108</v>
      </c>
      <c r="AN104" s="1" t="s">
        <v>109</v>
      </c>
      <c r="AO104" s="1" t="s">
        <v>110</v>
      </c>
      <c r="AP104" s="1" t="s">
        <v>44</v>
      </c>
      <c r="AQ104" s="1" t="s">
        <v>175</v>
      </c>
      <c r="AR104" s="1" t="s">
        <v>46</v>
      </c>
      <c r="AS104" s="4">
        <v>56.46</v>
      </c>
      <c r="AT104" s="31">
        <v>39</v>
      </c>
      <c r="AU104" s="5">
        <v>39</v>
      </c>
      <c r="AV104" s="4">
        <v>9.18</v>
      </c>
      <c r="AW104" s="15">
        <f>AT104-AZ104</f>
        <v>0</v>
      </c>
      <c r="AX104" s="4">
        <f>AW104/AT104*100</f>
        <v>0</v>
      </c>
      <c r="AY104" s="4">
        <v>58.26</v>
      </c>
      <c r="AZ104" s="5">
        <v>39</v>
      </c>
      <c r="BA104" s="4">
        <v>10.6</v>
      </c>
      <c r="BB104" s="4"/>
      <c r="BC104" s="4"/>
      <c r="BD104" s="4"/>
      <c r="BE104" s="1" t="s">
        <v>106</v>
      </c>
      <c r="BF104" s="1">
        <v>90</v>
      </c>
      <c r="BG104" s="1">
        <v>90</v>
      </c>
      <c r="BH104">
        <f>BF104-BG104</f>
        <v>0</v>
      </c>
      <c r="BI104" s="6"/>
    </row>
    <row r="105" spans="1:61" x14ac:dyDescent="0.2">
      <c r="A105" t="s">
        <v>338</v>
      </c>
      <c r="B105" s="1" t="s">
        <v>441</v>
      </c>
      <c r="C105" s="1">
        <v>2017</v>
      </c>
      <c r="D105" s="1" t="s">
        <v>107</v>
      </c>
      <c r="E105" s="1" t="s">
        <v>51</v>
      </c>
      <c r="F105" s="1" t="s">
        <v>356</v>
      </c>
      <c r="G105" s="2" t="s">
        <v>356</v>
      </c>
      <c r="H105" s="1" t="s">
        <v>51</v>
      </c>
      <c r="I105" s="1" t="s">
        <v>51</v>
      </c>
      <c r="J105" s="1" t="s">
        <v>86</v>
      </c>
      <c r="K105" s="1" t="s">
        <v>371</v>
      </c>
      <c r="L105" s="1" t="s">
        <v>395</v>
      </c>
      <c r="M105" s="1" t="s">
        <v>390</v>
      </c>
      <c r="N105" s="1" t="s">
        <v>103</v>
      </c>
      <c r="O105" s="1" t="s">
        <v>440</v>
      </c>
      <c r="P105" s="1" t="s">
        <v>404</v>
      </c>
      <c r="Q105" s="1" t="s">
        <v>439</v>
      </c>
      <c r="R105" s="1" t="s">
        <v>209</v>
      </c>
      <c r="S105" s="1" t="s">
        <v>54</v>
      </c>
      <c r="T105" s="1" t="s">
        <v>38</v>
      </c>
      <c r="U105" s="1" t="s">
        <v>70</v>
      </c>
      <c r="V105" s="1" t="s">
        <v>40</v>
      </c>
      <c r="W105" s="1" t="s">
        <v>42</v>
      </c>
      <c r="X105" s="1" t="s">
        <v>42</v>
      </c>
      <c r="Y105" s="1" t="s">
        <v>56</v>
      </c>
      <c r="Z105" s="1" t="s">
        <v>42</v>
      </c>
      <c r="AA105" s="1" t="s">
        <v>42</v>
      </c>
      <c r="AB105" s="1" t="s">
        <v>42</v>
      </c>
      <c r="AC105" s="1" t="s">
        <v>42</v>
      </c>
      <c r="AD105" s="1" t="s">
        <v>42</v>
      </c>
      <c r="AE105" s="1" t="s">
        <v>56</v>
      </c>
      <c r="AF105" s="1" t="s">
        <v>42</v>
      </c>
      <c r="AG105" s="1" t="s">
        <v>42</v>
      </c>
      <c r="AH105" s="1" t="s">
        <v>42</v>
      </c>
      <c r="AI105" s="3">
        <v>64.099999999999994</v>
      </c>
      <c r="AJ105" s="3"/>
      <c r="AK105" s="3">
        <v>62.79</v>
      </c>
      <c r="AL105" s="3">
        <v>56.41</v>
      </c>
      <c r="AM105" s="1" t="s">
        <v>108</v>
      </c>
      <c r="AN105" s="1" t="s">
        <v>109</v>
      </c>
      <c r="AO105" s="1" t="s">
        <v>110</v>
      </c>
      <c r="AP105" s="1" t="s">
        <v>179</v>
      </c>
      <c r="AQ105" s="1" t="s">
        <v>78</v>
      </c>
      <c r="AR105" s="1" t="s">
        <v>46</v>
      </c>
      <c r="AS105" s="4">
        <v>48.67</v>
      </c>
      <c r="AT105" s="31">
        <v>39</v>
      </c>
      <c r="AU105" s="5">
        <v>39</v>
      </c>
      <c r="AV105" s="4">
        <v>4.2</v>
      </c>
      <c r="AW105" s="15">
        <f>AT105-AZ105</f>
        <v>0</v>
      </c>
      <c r="AX105" s="4">
        <f>AW105/AT105*100</f>
        <v>0</v>
      </c>
      <c r="AY105" s="4">
        <v>46.77</v>
      </c>
      <c r="AZ105" s="5">
        <v>39</v>
      </c>
      <c r="BA105" s="4">
        <v>4</v>
      </c>
      <c r="BB105" s="4"/>
      <c r="BC105" s="4"/>
      <c r="BD105" s="4"/>
      <c r="BE105" s="1" t="s">
        <v>106</v>
      </c>
      <c r="BF105" s="1">
        <v>90</v>
      </c>
      <c r="BG105" s="1">
        <v>90</v>
      </c>
      <c r="BH105">
        <f>BF105-BG105</f>
        <v>0</v>
      </c>
      <c r="BI105" s="6"/>
    </row>
    <row r="106" spans="1:61" x14ac:dyDescent="0.2">
      <c r="A106" t="s">
        <v>338</v>
      </c>
      <c r="B106" s="1" t="s">
        <v>207</v>
      </c>
      <c r="C106" s="1">
        <v>2010</v>
      </c>
      <c r="D106" s="1" t="s">
        <v>208</v>
      </c>
      <c r="E106" s="1" t="s">
        <v>51</v>
      </c>
      <c r="F106" s="1" t="s">
        <v>356</v>
      </c>
      <c r="G106" s="2" t="s">
        <v>356</v>
      </c>
      <c r="H106" s="1" t="s">
        <v>51</v>
      </c>
      <c r="I106" s="1" t="s">
        <v>51</v>
      </c>
      <c r="J106" s="1" t="s">
        <v>86</v>
      </c>
      <c r="K106" s="2" t="s">
        <v>371</v>
      </c>
      <c r="L106" s="2" t="s">
        <v>401</v>
      </c>
      <c r="M106" s="2" t="s">
        <v>394</v>
      </c>
      <c r="N106" s="1" t="s">
        <v>209</v>
      </c>
      <c r="O106" s="1" t="s">
        <v>485</v>
      </c>
      <c r="P106" s="1" t="s">
        <v>404</v>
      </c>
      <c r="Q106" s="4" t="s">
        <v>486</v>
      </c>
      <c r="R106" s="1" t="s">
        <v>209</v>
      </c>
      <c r="S106" s="1" t="s">
        <v>37</v>
      </c>
      <c r="T106" s="1" t="s">
        <v>38</v>
      </c>
      <c r="U106" s="1" t="s">
        <v>55</v>
      </c>
      <c r="V106" s="1" t="s">
        <v>88</v>
      </c>
      <c r="W106" s="1" t="s">
        <v>42</v>
      </c>
      <c r="X106" s="1" t="s">
        <v>41</v>
      </c>
      <c r="Y106" s="1" t="s">
        <v>56</v>
      </c>
      <c r="Z106" s="1" t="s">
        <v>41</v>
      </c>
      <c r="AA106" s="1" t="s">
        <v>42</v>
      </c>
      <c r="AB106" s="1" t="s">
        <v>41</v>
      </c>
      <c r="AC106" s="1" t="s">
        <v>42</v>
      </c>
      <c r="AD106" s="1" t="s">
        <v>41</v>
      </c>
      <c r="AE106" s="1" t="s">
        <v>56</v>
      </c>
      <c r="AF106" s="1" t="s">
        <v>41</v>
      </c>
      <c r="AG106" s="1" t="s">
        <v>42</v>
      </c>
      <c r="AH106" s="1" t="s">
        <v>41</v>
      </c>
      <c r="AI106" s="3"/>
      <c r="AJ106" s="3"/>
      <c r="AK106" s="3"/>
      <c r="AL106" s="3"/>
      <c r="AM106" s="1" t="s">
        <v>210</v>
      </c>
      <c r="AN106" s="1" t="s">
        <v>211</v>
      </c>
      <c r="AO106" s="1" t="s">
        <v>200</v>
      </c>
      <c r="AP106" s="1" t="s">
        <v>252</v>
      </c>
      <c r="AQ106" s="1" t="s">
        <v>253</v>
      </c>
      <c r="AR106" s="1" t="s">
        <v>46</v>
      </c>
      <c r="AS106" s="4">
        <v>19.48</v>
      </c>
      <c r="AT106" s="31">
        <v>40</v>
      </c>
      <c r="AU106" s="5">
        <v>40</v>
      </c>
      <c r="AV106" s="4">
        <v>2.84</v>
      </c>
      <c r="AW106" s="15">
        <f>AT106-AZ106</f>
        <v>0</v>
      </c>
      <c r="AX106" s="4">
        <f>AW106/AT106*100</f>
        <v>0</v>
      </c>
      <c r="AY106" s="4">
        <v>18.5</v>
      </c>
      <c r="AZ106" s="5">
        <v>40</v>
      </c>
      <c r="BA106" s="4">
        <v>3.1</v>
      </c>
      <c r="BB106" s="4"/>
      <c r="BC106" s="4"/>
      <c r="BD106" s="4"/>
      <c r="BE106" s="1" t="s">
        <v>94</v>
      </c>
      <c r="BF106" s="1">
        <v>365</v>
      </c>
      <c r="BG106" s="1">
        <v>365</v>
      </c>
      <c r="BH106">
        <f>BF106-BG106</f>
        <v>0</v>
      </c>
      <c r="BI106" s="6"/>
    </row>
    <row r="107" spans="1:61" x14ac:dyDescent="0.2">
      <c r="A107" t="s">
        <v>338</v>
      </c>
      <c r="B107" s="1" t="s">
        <v>207</v>
      </c>
      <c r="C107" s="1">
        <v>2010</v>
      </c>
      <c r="D107" s="1" t="s">
        <v>208</v>
      </c>
      <c r="E107" s="1" t="s">
        <v>51</v>
      </c>
      <c r="F107" s="1" t="s">
        <v>356</v>
      </c>
      <c r="G107" s="2" t="s">
        <v>356</v>
      </c>
      <c r="H107" s="1" t="s">
        <v>51</v>
      </c>
      <c r="I107" s="1" t="s">
        <v>51</v>
      </c>
      <c r="J107" s="1" t="s">
        <v>86</v>
      </c>
      <c r="K107" s="2" t="s">
        <v>371</v>
      </c>
      <c r="L107" s="2" t="s">
        <v>401</v>
      </c>
      <c r="M107" s="2" t="s">
        <v>394</v>
      </c>
      <c r="N107" s="1" t="s">
        <v>209</v>
      </c>
      <c r="O107" s="1" t="s">
        <v>485</v>
      </c>
      <c r="P107" s="1" t="s">
        <v>404</v>
      </c>
      <c r="Q107" s="4" t="s">
        <v>486</v>
      </c>
      <c r="R107" s="1" t="s">
        <v>209</v>
      </c>
      <c r="S107" s="1" t="s">
        <v>37</v>
      </c>
      <c r="T107" s="1" t="s">
        <v>38</v>
      </c>
      <c r="U107" s="1" t="s">
        <v>55</v>
      </c>
      <c r="V107" s="1" t="s">
        <v>88</v>
      </c>
      <c r="W107" s="1" t="s">
        <v>42</v>
      </c>
      <c r="X107" s="1" t="s">
        <v>41</v>
      </c>
      <c r="Y107" s="1" t="s">
        <v>56</v>
      </c>
      <c r="Z107" s="1" t="s">
        <v>41</v>
      </c>
      <c r="AA107" s="1" t="s">
        <v>42</v>
      </c>
      <c r="AB107" s="1" t="s">
        <v>41</v>
      </c>
      <c r="AC107" s="1" t="s">
        <v>42</v>
      </c>
      <c r="AD107" s="1" t="s">
        <v>41</v>
      </c>
      <c r="AE107" s="1" t="s">
        <v>56</v>
      </c>
      <c r="AF107" s="1" t="s">
        <v>41</v>
      </c>
      <c r="AG107" s="1" t="s">
        <v>42</v>
      </c>
      <c r="AH107" s="1" t="s">
        <v>41</v>
      </c>
      <c r="AI107" s="3"/>
      <c r="AJ107" s="3"/>
      <c r="AK107" s="3"/>
      <c r="AL107" s="3"/>
      <c r="AM107" s="1" t="s">
        <v>210</v>
      </c>
      <c r="AN107" s="1" t="s">
        <v>211</v>
      </c>
      <c r="AO107" s="1" t="s">
        <v>200</v>
      </c>
      <c r="AP107" s="1" t="s">
        <v>93</v>
      </c>
      <c r="AQ107" s="1" t="s">
        <v>89</v>
      </c>
      <c r="AR107" s="1" t="s">
        <v>46</v>
      </c>
      <c r="AS107" s="4">
        <v>19.48</v>
      </c>
      <c r="AT107" s="31">
        <v>40</v>
      </c>
      <c r="AU107" s="5">
        <v>40</v>
      </c>
      <c r="AV107" s="4">
        <v>2.84</v>
      </c>
      <c r="AW107" s="15">
        <f>AT107-AZ107</f>
        <v>0</v>
      </c>
      <c r="AX107" s="4">
        <f>AW107/AT107*100</f>
        <v>0</v>
      </c>
      <c r="AY107" s="4">
        <v>18.5</v>
      </c>
      <c r="AZ107" s="5">
        <v>40</v>
      </c>
      <c r="BA107" s="4">
        <v>3.1</v>
      </c>
      <c r="BB107" s="4"/>
      <c r="BC107" s="4"/>
      <c r="BD107" s="4"/>
      <c r="BE107" s="1" t="s">
        <v>94</v>
      </c>
      <c r="BF107" s="1">
        <v>365</v>
      </c>
      <c r="BG107" s="1">
        <v>365</v>
      </c>
      <c r="BH107">
        <f>BF107-BG107</f>
        <v>0</v>
      </c>
      <c r="BI107" s="6"/>
    </row>
    <row r="108" spans="1:61" x14ac:dyDescent="0.2">
      <c r="A108" t="s">
        <v>338</v>
      </c>
      <c r="B108" s="1" t="s">
        <v>224</v>
      </c>
      <c r="C108" s="1">
        <v>2014</v>
      </c>
      <c r="D108" s="1" t="s">
        <v>190</v>
      </c>
      <c r="E108" s="1" t="s">
        <v>51</v>
      </c>
      <c r="F108" s="1" t="s">
        <v>356</v>
      </c>
      <c r="G108" s="2" t="s">
        <v>356</v>
      </c>
      <c r="H108" s="1" t="s">
        <v>51</v>
      </c>
      <c r="I108" s="1" t="s">
        <v>51</v>
      </c>
      <c r="J108" s="1" t="s">
        <v>86</v>
      </c>
      <c r="K108" s="1" t="s">
        <v>371</v>
      </c>
      <c r="L108" s="2"/>
      <c r="M108" s="2"/>
      <c r="N108" s="1" t="s">
        <v>225</v>
      </c>
      <c r="O108" s="1" t="s">
        <v>490</v>
      </c>
      <c r="P108" s="1" t="s">
        <v>404</v>
      </c>
      <c r="Q108" s="1" t="s">
        <v>491</v>
      </c>
      <c r="R108" s="1" t="s">
        <v>209</v>
      </c>
      <c r="S108" s="1" t="s">
        <v>37</v>
      </c>
      <c r="T108" s="1" t="s">
        <v>38</v>
      </c>
      <c r="U108" s="1" t="s">
        <v>115</v>
      </c>
      <c r="V108" s="1" t="s">
        <v>40</v>
      </c>
      <c r="W108" s="1" t="s">
        <v>42</v>
      </c>
      <c r="X108" s="1" t="s">
        <v>41</v>
      </c>
      <c r="Y108" s="1" t="s">
        <v>56</v>
      </c>
      <c r="Z108" s="1" t="s">
        <v>41</v>
      </c>
      <c r="AA108" s="1" t="s">
        <v>42</v>
      </c>
      <c r="AB108" s="1" t="s">
        <v>41</v>
      </c>
      <c r="AC108" s="1" t="s">
        <v>42</v>
      </c>
      <c r="AD108" s="1" t="s">
        <v>41</v>
      </c>
      <c r="AE108" s="1" t="s">
        <v>56</v>
      </c>
      <c r="AF108" s="1" t="s">
        <v>41</v>
      </c>
      <c r="AG108" s="1" t="s">
        <v>42</v>
      </c>
      <c r="AH108" s="1" t="s">
        <v>41</v>
      </c>
      <c r="AI108" s="3"/>
      <c r="AJ108" s="3"/>
      <c r="AK108" s="3"/>
      <c r="AL108" s="3"/>
      <c r="AM108" s="1" t="s">
        <v>226</v>
      </c>
      <c r="AN108" s="1" t="s">
        <v>227</v>
      </c>
      <c r="AO108" s="1" t="s">
        <v>228</v>
      </c>
      <c r="AP108" s="1" t="s">
        <v>254</v>
      </c>
      <c r="AQ108" s="1" t="s">
        <v>253</v>
      </c>
      <c r="AR108" s="1" t="s">
        <v>46</v>
      </c>
      <c r="AS108" s="4">
        <v>34.21</v>
      </c>
      <c r="AT108" s="31">
        <v>64</v>
      </c>
      <c r="AU108" s="5">
        <v>61</v>
      </c>
      <c r="AV108" s="4">
        <v>5.74</v>
      </c>
      <c r="AW108" s="15">
        <f>AT108-AZ108</f>
        <v>3</v>
      </c>
      <c r="AX108" s="4">
        <f>AW108/AT108*100</f>
        <v>4.6875</v>
      </c>
      <c r="AY108" s="4">
        <v>38.950000000000003</v>
      </c>
      <c r="AZ108" s="5">
        <v>61</v>
      </c>
      <c r="BA108" s="4">
        <v>6.57</v>
      </c>
      <c r="BB108" s="4"/>
      <c r="BC108" s="4"/>
      <c r="BD108" s="4"/>
      <c r="BE108" s="1" t="s">
        <v>61</v>
      </c>
      <c r="BF108" s="1">
        <v>180</v>
      </c>
      <c r="BG108" s="1">
        <v>365</v>
      </c>
      <c r="BH108">
        <f>BF108-BG108</f>
        <v>-185</v>
      </c>
      <c r="BI108" s="6"/>
    </row>
    <row r="109" spans="1:61" x14ac:dyDescent="0.2">
      <c r="A109" t="s">
        <v>338</v>
      </c>
      <c r="B109" s="1" t="s">
        <v>224</v>
      </c>
      <c r="C109" s="1">
        <v>2014</v>
      </c>
      <c r="D109" s="1" t="s">
        <v>190</v>
      </c>
      <c r="E109" s="1" t="s">
        <v>51</v>
      </c>
      <c r="F109" s="1" t="s">
        <v>356</v>
      </c>
      <c r="G109" s="2" t="s">
        <v>356</v>
      </c>
      <c r="H109" s="1" t="s">
        <v>51</v>
      </c>
      <c r="I109" s="1" t="s">
        <v>51</v>
      </c>
      <c r="J109" s="1" t="s">
        <v>86</v>
      </c>
      <c r="K109" s="1" t="s">
        <v>371</v>
      </c>
      <c r="L109" s="2"/>
      <c r="M109" s="2"/>
      <c r="N109" s="1" t="s">
        <v>225</v>
      </c>
      <c r="O109" s="1" t="s">
        <v>490</v>
      </c>
      <c r="P109" s="1" t="s">
        <v>404</v>
      </c>
      <c r="Q109" s="1" t="s">
        <v>491</v>
      </c>
      <c r="R109" s="1" t="s">
        <v>209</v>
      </c>
      <c r="S109" s="1" t="s">
        <v>37</v>
      </c>
      <c r="T109" s="1" t="s">
        <v>38</v>
      </c>
      <c r="U109" s="1" t="s">
        <v>115</v>
      </c>
      <c r="V109" s="1" t="s">
        <v>40</v>
      </c>
      <c r="W109" s="1" t="s">
        <v>42</v>
      </c>
      <c r="X109" s="1" t="s">
        <v>41</v>
      </c>
      <c r="Y109" s="1" t="s">
        <v>56</v>
      </c>
      <c r="Z109" s="1" t="s">
        <v>41</v>
      </c>
      <c r="AA109" s="1" t="s">
        <v>42</v>
      </c>
      <c r="AB109" s="1" t="s">
        <v>41</v>
      </c>
      <c r="AC109" s="1" t="s">
        <v>42</v>
      </c>
      <c r="AD109" s="1" t="s">
        <v>41</v>
      </c>
      <c r="AE109" s="1" t="s">
        <v>56</v>
      </c>
      <c r="AF109" s="1" t="s">
        <v>41</v>
      </c>
      <c r="AG109" s="1" t="s">
        <v>42</v>
      </c>
      <c r="AH109" s="1" t="s">
        <v>41</v>
      </c>
      <c r="AI109" s="3"/>
      <c r="AJ109" s="3"/>
      <c r="AK109" s="3"/>
      <c r="AL109" s="3"/>
      <c r="AM109" s="1" t="s">
        <v>226</v>
      </c>
      <c r="AN109" s="1" t="s">
        <v>227</v>
      </c>
      <c r="AO109" s="1" t="s">
        <v>228</v>
      </c>
      <c r="AP109" s="1" t="s">
        <v>93</v>
      </c>
      <c r="AQ109" s="1" t="s">
        <v>89</v>
      </c>
      <c r="AR109" s="1" t="s">
        <v>46</v>
      </c>
      <c r="AS109" s="4">
        <v>14.12</v>
      </c>
      <c r="AT109" s="31">
        <v>64</v>
      </c>
      <c r="AU109" s="5">
        <v>61</v>
      </c>
      <c r="AV109" s="4">
        <v>3.12</v>
      </c>
      <c r="AW109" s="15">
        <f>AT109-AZ109</f>
        <v>3</v>
      </c>
      <c r="AX109" s="4">
        <f>AW109/AT109*100</f>
        <v>4.6875</v>
      </c>
      <c r="AY109" s="4">
        <v>13.23</v>
      </c>
      <c r="AZ109" s="5">
        <v>61</v>
      </c>
      <c r="BA109" s="4">
        <v>4.49</v>
      </c>
      <c r="BB109" s="4"/>
      <c r="BC109" s="4"/>
      <c r="BD109" s="4"/>
      <c r="BE109" s="1" t="s">
        <v>61</v>
      </c>
      <c r="BF109" s="1">
        <v>180</v>
      </c>
      <c r="BG109" s="1">
        <v>365</v>
      </c>
      <c r="BH109">
        <f>BF109-BG109</f>
        <v>-185</v>
      </c>
      <c r="BI109" s="6"/>
    </row>
    <row r="110" spans="1:61" x14ac:dyDescent="0.2">
      <c r="A110" t="s">
        <v>338</v>
      </c>
      <c r="B110" s="1" t="s">
        <v>224</v>
      </c>
      <c r="C110" s="1">
        <v>2014</v>
      </c>
      <c r="D110" s="1" t="s">
        <v>190</v>
      </c>
      <c r="E110" s="1" t="s">
        <v>51</v>
      </c>
      <c r="F110" s="1" t="s">
        <v>356</v>
      </c>
      <c r="G110" s="2" t="s">
        <v>356</v>
      </c>
      <c r="H110" s="1" t="s">
        <v>51</v>
      </c>
      <c r="I110" s="1" t="s">
        <v>51</v>
      </c>
      <c r="J110" s="1" t="s">
        <v>86</v>
      </c>
      <c r="K110" s="1" t="s">
        <v>371</v>
      </c>
      <c r="L110" s="2"/>
      <c r="M110" s="2"/>
      <c r="N110" s="1" t="s">
        <v>225</v>
      </c>
      <c r="O110" s="1" t="s">
        <v>490</v>
      </c>
      <c r="P110" s="1" t="s">
        <v>404</v>
      </c>
      <c r="Q110" s="1" t="s">
        <v>491</v>
      </c>
      <c r="R110" s="1" t="s">
        <v>209</v>
      </c>
      <c r="S110" s="1" t="s">
        <v>37</v>
      </c>
      <c r="T110" s="1" t="s">
        <v>38</v>
      </c>
      <c r="U110" s="1" t="s">
        <v>115</v>
      </c>
      <c r="V110" s="1" t="s">
        <v>40</v>
      </c>
      <c r="W110" s="1" t="s">
        <v>42</v>
      </c>
      <c r="X110" s="1" t="s">
        <v>41</v>
      </c>
      <c r="Y110" s="1" t="s">
        <v>56</v>
      </c>
      <c r="Z110" s="1" t="s">
        <v>41</v>
      </c>
      <c r="AA110" s="1" t="s">
        <v>42</v>
      </c>
      <c r="AB110" s="1" t="s">
        <v>41</v>
      </c>
      <c r="AC110" s="1" t="s">
        <v>42</v>
      </c>
      <c r="AD110" s="1" t="s">
        <v>41</v>
      </c>
      <c r="AE110" s="1" t="s">
        <v>56</v>
      </c>
      <c r="AF110" s="1" t="s">
        <v>41</v>
      </c>
      <c r="AG110" s="1" t="s">
        <v>42</v>
      </c>
      <c r="AH110" s="1" t="s">
        <v>41</v>
      </c>
      <c r="AI110" s="3"/>
      <c r="AJ110" s="3"/>
      <c r="AK110" s="3"/>
      <c r="AL110" s="3"/>
      <c r="AM110" s="1" t="s">
        <v>226</v>
      </c>
      <c r="AN110" s="1" t="s">
        <v>227</v>
      </c>
      <c r="AO110" s="1" t="s">
        <v>228</v>
      </c>
      <c r="AP110" s="1" t="s">
        <v>254</v>
      </c>
      <c r="AQ110" s="1" t="s">
        <v>253</v>
      </c>
      <c r="AR110" s="1" t="s">
        <v>46</v>
      </c>
      <c r="AS110" s="4">
        <v>34.21</v>
      </c>
      <c r="AT110" s="31">
        <v>64</v>
      </c>
      <c r="AU110" s="5">
        <v>61</v>
      </c>
      <c r="AV110" s="4">
        <v>5.74</v>
      </c>
      <c r="AW110" s="15">
        <f>AT110-AZ110</f>
        <v>3</v>
      </c>
      <c r="AX110" s="4">
        <f>AW110/AT110*100</f>
        <v>4.6875</v>
      </c>
      <c r="AY110" s="4">
        <v>44.53</v>
      </c>
      <c r="AZ110" s="5">
        <v>61</v>
      </c>
      <c r="BA110" s="4">
        <v>7.56</v>
      </c>
      <c r="BB110" s="4"/>
      <c r="BC110" s="4"/>
      <c r="BD110" s="4"/>
      <c r="BE110" s="1" t="s">
        <v>94</v>
      </c>
      <c r="BF110" s="1">
        <v>365</v>
      </c>
      <c r="BG110" s="1">
        <v>365</v>
      </c>
      <c r="BH110">
        <f>BF110-BG110</f>
        <v>0</v>
      </c>
      <c r="BI110" s="6"/>
    </row>
    <row r="111" spans="1:61" x14ac:dyDescent="0.2">
      <c r="A111" t="s">
        <v>338</v>
      </c>
      <c r="B111" s="1" t="s">
        <v>224</v>
      </c>
      <c r="C111" s="1">
        <v>2014</v>
      </c>
      <c r="D111" s="1" t="s">
        <v>190</v>
      </c>
      <c r="E111" s="1" t="s">
        <v>51</v>
      </c>
      <c r="F111" s="1" t="s">
        <v>356</v>
      </c>
      <c r="G111" s="2" t="s">
        <v>356</v>
      </c>
      <c r="H111" s="1" t="s">
        <v>51</v>
      </c>
      <c r="I111" s="1" t="s">
        <v>51</v>
      </c>
      <c r="J111" s="1" t="s">
        <v>86</v>
      </c>
      <c r="K111" s="1" t="s">
        <v>371</v>
      </c>
      <c r="L111" s="2"/>
      <c r="M111" s="2"/>
      <c r="N111" s="1" t="s">
        <v>225</v>
      </c>
      <c r="O111" s="1" t="s">
        <v>490</v>
      </c>
      <c r="P111" s="1" t="s">
        <v>404</v>
      </c>
      <c r="Q111" s="1" t="s">
        <v>491</v>
      </c>
      <c r="R111" s="1" t="s">
        <v>209</v>
      </c>
      <c r="S111" s="1" t="s">
        <v>37</v>
      </c>
      <c r="T111" s="1" t="s">
        <v>38</v>
      </c>
      <c r="U111" s="1" t="s">
        <v>115</v>
      </c>
      <c r="V111" s="1" t="s">
        <v>40</v>
      </c>
      <c r="W111" s="1" t="s">
        <v>42</v>
      </c>
      <c r="X111" s="1" t="s">
        <v>41</v>
      </c>
      <c r="Y111" s="1" t="s">
        <v>56</v>
      </c>
      <c r="Z111" s="1" t="s">
        <v>41</v>
      </c>
      <c r="AA111" s="1" t="s">
        <v>42</v>
      </c>
      <c r="AB111" s="1" t="s">
        <v>41</v>
      </c>
      <c r="AC111" s="1" t="s">
        <v>42</v>
      </c>
      <c r="AD111" s="1" t="s">
        <v>41</v>
      </c>
      <c r="AE111" s="1" t="s">
        <v>56</v>
      </c>
      <c r="AF111" s="1" t="s">
        <v>41</v>
      </c>
      <c r="AG111" s="1" t="s">
        <v>42</v>
      </c>
      <c r="AH111" s="1" t="s">
        <v>41</v>
      </c>
      <c r="AI111" s="3"/>
      <c r="AJ111" s="3"/>
      <c r="AK111" s="3"/>
      <c r="AL111" s="3"/>
      <c r="AM111" s="1" t="s">
        <v>226</v>
      </c>
      <c r="AN111" s="1" t="s">
        <v>227</v>
      </c>
      <c r="AO111" s="1" t="s">
        <v>228</v>
      </c>
      <c r="AP111" s="1" t="s">
        <v>93</v>
      </c>
      <c r="AQ111" s="1" t="s">
        <v>89</v>
      </c>
      <c r="AR111" s="1" t="s">
        <v>46</v>
      </c>
      <c r="AS111" s="4">
        <v>14.12</v>
      </c>
      <c r="AT111" s="31">
        <v>64</v>
      </c>
      <c r="AU111" s="5">
        <v>61</v>
      </c>
      <c r="AV111" s="4">
        <v>3.12</v>
      </c>
      <c r="AW111" s="15">
        <f>AT111-AZ111</f>
        <v>3</v>
      </c>
      <c r="AX111" s="4">
        <f>AW111/AT111*100</f>
        <v>4.6875</v>
      </c>
      <c r="AY111" s="4">
        <v>11.99</v>
      </c>
      <c r="AZ111" s="5">
        <v>61</v>
      </c>
      <c r="BA111" s="4">
        <v>6.39</v>
      </c>
      <c r="BB111" s="4"/>
      <c r="BC111" s="4"/>
      <c r="BD111" s="4"/>
      <c r="BE111" s="1" t="s">
        <v>94</v>
      </c>
      <c r="BF111" s="1">
        <v>365</v>
      </c>
      <c r="BG111" s="1">
        <v>365</v>
      </c>
      <c r="BH111">
        <f>BF111-BG111</f>
        <v>0</v>
      </c>
      <c r="BI111" s="6"/>
    </row>
    <row r="112" spans="1:61" x14ac:dyDescent="0.2">
      <c r="A112" t="s">
        <v>338</v>
      </c>
      <c r="B112" s="1" t="s">
        <v>232</v>
      </c>
      <c r="C112" s="1">
        <v>2017</v>
      </c>
      <c r="D112" s="1" t="s">
        <v>85</v>
      </c>
      <c r="E112" s="1" t="s">
        <v>51</v>
      </c>
      <c r="F112" s="1" t="s">
        <v>356</v>
      </c>
      <c r="G112" s="2" t="s">
        <v>356</v>
      </c>
      <c r="H112" s="1" t="s">
        <v>51</v>
      </c>
      <c r="I112" s="1" t="s">
        <v>51</v>
      </c>
      <c r="J112" s="1" t="s">
        <v>86</v>
      </c>
      <c r="K112" s="1" t="s">
        <v>371</v>
      </c>
      <c r="L112" s="2" t="s">
        <v>402</v>
      </c>
      <c r="M112" s="2" t="s">
        <v>394</v>
      </c>
      <c r="N112" s="1" t="s">
        <v>233</v>
      </c>
      <c r="O112" s="1" t="s">
        <v>492</v>
      </c>
      <c r="P112" s="1" t="s">
        <v>404</v>
      </c>
      <c r="Q112" s="1" t="s">
        <v>493</v>
      </c>
      <c r="R112" s="1" t="s">
        <v>209</v>
      </c>
      <c r="S112" s="1" t="s">
        <v>54</v>
      </c>
      <c r="T112" s="1" t="s">
        <v>38</v>
      </c>
      <c r="U112" s="1" t="s">
        <v>39</v>
      </c>
      <c r="V112" s="1" t="s">
        <v>234</v>
      </c>
      <c r="W112" s="1" t="s">
        <v>42</v>
      </c>
      <c r="X112" s="1" t="s">
        <v>41</v>
      </c>
      <c r="Y112" s="1" t="s">
        <v>41</v>
      </c>
      <c r="Z112" s="1" t="s">
        <v>41</v>
      </c>
      <c r="AA112" s="1" t="s">
        <v>42</v>
      </c>
      <c r="AB112" s="1" t="s">
        <v>41</v>
      </c>
      <c r="AC112" s="1" t="s">
        <v>42</v>
      </c>
      <c r="AD112" s="1" t="s">
        <v>41</v>
      </c>
      <c r="AE112" s="1" t="s">
        <v>41</v>
      </c>
      <c r="AF112" s="1" t="s">
        <v>41</v>
      </c>
      <c r="AG112" s="1" t="s">
        <v>42</v>
      </c>
      <c r="AH112" s="1" t="s">
        <v>41</v>
      </c>
      <c r="AI112" s="3">
        <v>54.3</v>
      </c>
      <c r="AJ112" s="3">
        <v>74.67</v>
      </c>
      <c r="AK112" s="3"/>
      <c r="AL112" s="3"/>
      <c r="AM112" s="1" t="s">
        <v>235</v>
      </c>
      <c r="AN112" s="1" t="s">
        <v>236</v>
      </c>
      <c r="AO112" s="1" t="s">
        <v>237</v>
      </c>
      <c r="AP112" s="1" t="s">
        <v>93</v>
      </c>
      <c r="AQ112" s="1" t="s">
        <v>89</v>
      </c>
      <c r="AR112" s="1" t="s">
        <v>46</v>
      </c>
      <c r="AS112" s="4">
        <v>9.85</v>
      </c>
      <c r="AT112" s="31">
        <v>70</v>
      </c>
      <c r="AU112" s="5">
        <v>70</v>
      </c>
      <c r="AV112" s="4">
        <v>1.89</v>
      </c>
      <c r="AW112" s="15">
        <f>AT112-AZ112</f>
        <v>0</v>
      </c>
      <c r="AX112" s="4">
        <f>AW112/AT112*100</f>
        <v>0</v>
      </c>
      <c r="AY112" s="4">
        <v>13.27</v>
      </c>
      <c r="AZ112" s="5">
        <v>70</v>
      </c>
      <c r="BA112" s="4">
        <v>3.02</v>
      </c>
      <c r="BB112" s="4"/>
      <c r="BC112" s="4"/>
      <c r="BD112" s="4"/>
      <c r="BE112" s="1" t="s">
        <v>94</v>
      </c>
      <c r="BF112" s="1">
        <v>365</v>
      </c>
      <c r="BG112" s="1">
        <v>365</v>
      </c>
      <c r="BH112">
        <f>BF112-BG112</f>
        <v>0</v>
      </c>
      <c r="BI112" s="6"/>
    </row>
    <row r="113" spans="1:61" x14ac:dyDescent="0.2">
      <c r="A113" t="s">
        <v>338</v>
      </c>
      <c r="B113" s="1" t="s">
        <v>232</v>
      </c>
      <c r="C113" s="1">
        <v>2017</v>
      </c>
      <c r="D113" s="1" t="s">
        <v>85</v>
      </c>
      <c r="E113" s="1" t="s">
        <v>51</v>
      </c>
      <c r="F113" s="1" t="s">
        <v>356</v>
      </c>
      <c r="G113" s="2" t="s">
        <v>356</v>
      </c>
      <c r="H113" s="1" t="s">
        <v>51</v>
      </c>
      <c r="I113" s="1" t="s">
        <v>51</v>
      </c>
      <c r="J113" s="1" t="s">
        <v>86</v>
      </c>
      <c r="K113" s="1" t="s">
        <v>371</v>
      </c>
      <c r="L113" s="2" t="s">
        <v>402</v>
      </c>
      <c r="M113" s="2" t="s">
        <v>394</v>
      </c>
      <c r="N113" s="1" t="s">
        <v>233</v>
      </c>
      <c r="O113" s="1" t="s">
        <v>492</v>
      </c>
      <c r="P113" s="1" t="s">
        <v>404</v>
      </c>
      <c r="Q113" s="1" t="s">
        <v>493</v>
      </c>
      <c r="R113" s="1" t="s">
        <v>209</v>
      </c>
      <c r="S113" s="1" t="s">
        <v>54</v>
      </c>
      <c r="T113" s="1" t="s">
        <v>38</v>
      </c>
      <c r="U113" s="1" t="s">
        <v>39</v>
      </c>
      <c r="V113" s="1" t="s">
        <v>234</v>
      </c>
      <c r="W113" s="1" t="s">
        <v>42</v>
      </c>
      <c r="X113" s="1" t="s">
        <v>41</v>
      </c>
      <c r="Y113" s="1" t="s">
        <v>41</v>
      </c>
      <c r="Z113" s="1" t="s">
        <v>41</v>
      </c>
      <c r="AA113" s="1" t="s">
        <v>42</v>
      </c>
      <c r="AB113" s="1" t="s">
        <v>41</v>
      </c>
      <c r="AC113" s="1" t="s">
        <v>42</v>
      </c>
      <c r="AD113" s="1" t="s">
        <v>41</v>
      </c>
      <c r="AE113" s="1" t="s">
        <v>41</v>
      </c>
      <c r="AF113" s="1" t="s">
        <v>41</v>
      </c>
      <c r="AG113" s="1" t="s">
        <v>42</v>
      </c>
      <c r="AH113" s="1" t="s">
        <v>41</v>
      </c>
      <c r="AI113" s="3">
        <v>54.3</v>
      </c>
      <c r="AJ113" s="3">
        <v>74.67</v>
      </c>
      <c r="AK113" s="3"/>
      <c r="AL113" s="3"/>
      <c r="AM113" s="1" t="s">
        <v>235</v>
      </c>
      <c r="AN113" s="1" t="s">
        <v>236</v>
      </c>
      <c r="AO113" s="1" t="s">
        <v>237</v>
      </c>
      <c r="AP113" s="1" t="s">
        <v>93</v>
      </c>
      <c r="AQ113" s="1" t="s">
        <v>89</v>
      </c>
      <c r="AR113" s="1" t="s">
        <v>46</v>
      </c>
      <c r="AS113" s="4">
        <v>9.85</v>
      </c>
      <c r="AT113" s="31">
        <v>70</v>
      </c>
      <c r="AU113" s="5">
        <v>70</v>
      </c>
      <c r="AV113" s="4">
        <v>1.89</v>
      </c>
      <c r="AW113" s="15">
        <f>AT113-AZ113</f>
        <v>0</v>
      </c>
      <c r="AX113" s="4">
        <f>AW113/AT113*100</f>
        <v>0</v>
      </c>
      <c r="AY113" s="4">
        <v>11.32</v>
      </c>
      <c r="AZ113" s="5">
        <v>70</v>
      </c>
      <c r="BA113" s="4">
        <v>3.21</v>
      </c>
      <c r="BB113" s="4"/>
      <c r="BC113" s="4"/>
      <c r="BD113" s="4"/>
      <c r="BE113" s="1" t="s">
        <v>61</v>
      </c>
      <c r="BF113" s="1">
        <v>180</v>
      </c>
      <c r="BG113" s="1">
        <v>365</v>
      </c>
      <c r="BH113">
        <f>BF113-BG113</f>
        <v>-185</v>
      </c>
      <c r="BI113" s="6"/>
    </row>
    <row r="114" spans="1:61" x14ac:dyDescent="0.2">
      <c r="A114" t="s">
        <v>338</v>
      </c>
      <c r="B114" s="1" t="s">
        <v>232</v>
      </c>
      <c r="C114" s="1">
        <v>2017</v>
      </c>
      <c r="D114" s="1" t="s">
        <v>85</v>
      </c>
      <c r="E114" s="1" t="s">
        <v>51</v>
      </c>
      <c r="F114" s="1" t="s">
        <v>356</v>
      </c>
      <c r="G114" s="2" t="s">
        <v>356</v>
      </c>
      <c r="H114" s="1" t="s">
        <v>51</v>
      </c>
      <c r="I114" s="1" t="s">
        <v>51</v>
      </c>
      <c r="J114" s="1" t="s">
        <v>86</v>
      </c>
      <c r="K114" s="1" t="s">
        <v>371</v>
      </c>
      <c r="L114" s="2" t="s">
        <v>402</v>
      </c>
      <c r="M114" s="2" t="s">
        <v>394</v>
      </c>
      <c r="N114" s="1" t="s">
        <v>233</v>
      </c>
      <c r="O114" s="1" t="s">
        <v>492</v>
      </c>
      <c r="P114" s="1" t="s">
        <v>404</v>
      </c>
      <c r="Q114" s="1" t="s">
        <v>493</v>
      </c>
      <c r="R114" s="1" t="s">
        <v>209</v>
      </c>
      <c r="S114" s="1" t="s">
        <v>54</v>
      </c>
      <c r="T114" s="1" t="s">
        <v>38</v>
      </c>
      <c r="U114" s="1" t="s">
        <v>39</v>
      </c>
      <c r="V114" s="1" t="s">
        <v>234</v>
      </c>
      <c r="W114" s="1" t="s">
        <v>42</v>
      </c>
      <c r="X114" s="1" t="s">
        <v>41</v>
      </c>
      <c r="Y114" s="1" t="s">
        <v>41</v>
      </c>
      <c r="Z114" s="1" t="s">
        <v>41</v>
      </c>
      <c r="AA114" s="1" t="s">
        <v>42</v>
      </c>
      <c r="AB114" s="1" t="s">
        <v>41</v>
      </c>
      <c r="AC114" s="1" t="s">
        <v>42</v>
      </c>
      <c r="AD114" s="1" t="s">
        <v>41</v>
      </c>
      <c r="AE114" s="1" t="s">
        <v>41</v>
      </c>
      <c r="AF114" s="1" t="s">
        <v>41</v>
      </c>
      <c r="AG114" s="1" t="s">
        <v>42</v>
      </c>
      <c r="AH114" s="1" t="s">
        <v>41</v>
      </c>
      <c r="AI114" s="3">
        <v>54.3</v>
      </c>
      <c r="AJ114" s="3">
        <v>74.67</v>
      </c>
      <c r="AK114" s="3"/>
      <c r="AL114" s="3"/>
      <c r="AM114" s="1" t="s">
        <v>235</v>
      </c>
      <c r="AN114" s="1" t="s">
        <v>236</v>
      </c>
      <c r="AO114" s="1" t="s">
        <v>237</v>
      </c>
      <c r="AP114" s="1" t="s">
        <v>316</v>
      </c>
      <c r="AQ114" s="1" t="s">
        <v>317</v>
      </c>
      <c r="AR114" s="1" t="s">
        <v>46</v>
      </c>
      <c r="AS114" s="4">
        <v>14.15</v>
      </c>
      <c r="AT114" s="31">
        <v>70</v>
      </c>
      <c r="AU114" s="5">
        <v>70</v>
      </c>
      <c r="AV114" s="4">
        <v>2.77</v>
      </c>
      <c r="AW114" s="15">
        <f>AT114-AZ114</f>
        <v>0</v>
      </c>
      <c r="AX114" s="4">
        <f>AW114/AT114*100</f>
        <v>0</v>
      </c>
      <c r="AY114" s="4">
        <v>7.74</v>
      </c>
      <c r="AZ114" s="5">
        <v>70</v>
      </c>
      <c r="BA114" s="4">
        <v>3.56</v>
      </c>
      <c r="BB114" s="4"/>
      <c r="BC114" s="4"/>
      <c r="BD114" s="4"/>
      <c r="BE114" s="1" t="s">
        <v>94</v>
      </c>
      <c r="BF114" s="1">
        <v>365</v>
      </c>
      <c r="BG114" s="1">
        <v>365</v>
      </c>
      <c r="BH114">
        <f>BF114-BG114</f>
        <v>0</v>
      </c>
      <c r="BI114" s="6"/>
    </row>
    <row r="115" spans="1:61" x14ac:dyDescent="0.2">
      <c r="A115" t="s">
        <v>338</v>
      </c>
      <c r="B115" s="1" t="s">
        <v>232</v>
      </c>
      <c r="C115" s="1">
        <v>2017</v>
      </c>
      <c r="D115" s="1" t="s">
        <v>85</v>
      </c>
      <c r="E115" s="1" t="s">
        <v>51</v>
      </c>
      <c r="F115" s="1" t="s">
        <v>356</v>
      </c>
      <c r="G115" s="2" t="s">
        <v>356</v>
      </c>
      <c r="H115" s="1" t="s">
        <v>51</v>
      </c>
      <c r="I115" s="1" t="s">
        <v>51</v>
      </c>
      <c r="J115" s="1" t="s">
        <v>86</v>
      </c>
      <c r="K115" s="1" t="s">
        <v>371</v>
      </c>
      <c r="L115" s="2" t="s">
        <v>402</v>
      </c>
      <c r="M115" s="2" t="s">
        <v>394</v>
      </c>
      <c r="N115" s="1" t="s">
        <v>233</v>
      </c>
      <c r="O115" s="1" t="s">
        <v>492</v>
      </c>
      <c r="P115" s="1" t="s">
        <v>404</v>
      </c>
      <c r="Q115" s="1" t="s">
        <v>493</v>
      </c>
      <c r="R115" s="1" t="s">
        <v>209</v>
      </c>
      <c r="S115" s="1" t="s">
        <v>54</v>
      </c>
      <c r="T115" s="1" t="s">
        <v>38</v>
      </c>
      <c r="U115" s="1" t="s">
        <v>39</v>
      </c>
      <c r="V115" s="1" t="s">
        <v>234</v>
      </c>
      <c r="W115" s="1" t="s">
        <v>42</v>
      </c>
      <c r="X115" s="1" t="s">
        <v>41</v>
      </c>
      <c r="Y115" s="1" t="s">
        <v>41</v>
      </c>
      <c r="Z115" s="1" t="s">
        <v>41</v>
      </c>
      <c r="AA115" s="1" t="s">
        <v>42</v>
      </c>
      <c r="AB115" s="1" t="s">
        <v>41</v>
      </c>
      <c r="AC115" s="1" t="s">
        <v>42</v>
      </c>
      <c r="AD115" s="1" t="s">
        <v>41</v>
      </c>
      <c r="AE115" s="1" t="s">
        <v>41</v>
      </c>
      <c r="AF115" s="1" t="s">
        <v>41</v>
      </c>
      <c r="AG115" s="1" t="s">
        <v>42</v>
      </c>
      <c r="AH115" s="1" t="s">
        <v>41</v>
      </c>
      <c r="AI115" s="3">
        <v>54.3</v>
      </c>
      <c r="AJ115" s="3">
        <v>74.67</v>
      </c>
      <c r="AK115" s="3"/>
      <c r="AL115" s="3"/>
      <c r="AM115" s="1" t="s">
        <v>235</v>
      </c>
      <c r="AN115" s="1" t="s">
        <v>236</v>
      </c>
      <c r="AO115" s="1" t="s">
        <v>237</v>
      </c>
      <c r="AP115" s="1" t="s">
        <v>316</v>
      </c>
      <c r="AQ115" s="1" t="s">
        <v>317</v>
      </c>
      <c r="AR115" s="1" t="s">
        <v>46</v>
      </c>
      <c r="AS115" s="4">
        <v>14.15</v>
      </c>
      <c r="AT115" s="31">
        <v>70</v>
      </c>
      <c r="AU115" s="5">
        <v>70</v>
      </c>
      <c r="AV115" s="4">
        <v>2.77</v>
      </c>
      <c r="AW115" s="15">
        <f>AT115-AZ115</f>
        <v>0</v>
      </c>
      <c r="AX115" s="4">
        <f>AW115/AT115*100</f>
        <v>0</v>
      </c>
      <c r="AY115" s="4">
        <v>8.6199999999999992</v>
      </c>
      <c r="AZ115" s="5">
        <v>70</v>
      </c>
      <c r="BA115" s="4">
        <v>3.94</v>
      </c>
      <c r="BB115" s="4"/>
      <c r="BC115" s="4"/>
      <c r="BD115" s="4"/>
      <c r="BE115" s="1" t="s">
        <v>61</v>
      </c>
      <c r="BF115" s="1">
        <v>180</v>
      </c>
      <c r="BG115" s="1">
        <v>365</v>
      </c>
      <c r="BH115">
        <f>BF115-BG115</f>
        <v>-185</v>
      </c>
      <c r="BI115" s="6"/>
    </row>
    <row r="116" spans="1:61" x14ac:dyDescent="0.2">
      <c r="A116" t="s">
        <v>338</v>
      </c>
      <c r="B116" s="1" t="s">
        <v>232</v>
      </c>
      <c r="C116" s="1">
        <v>2017</v>
      </c>
      <c r="D116" s="1" t="s">
        <v>85</v>
      </c>
      <c r="E116" s="1" t="s">
        <v>51</v>
      </c>
      <c r="F116" s="1" t="s">
        <v>356</v>
      </c>
      <c r="G116" s="2" t="s">
        <v>356</v>
      </c>
      <c r="H116" s="1" t="s">
        <v>51</v>
      </c>
      <c r="I116" s="1" t="s">
        <v>51</v>
      </c>
      <c r="J116" s="1" t="s">
        <v>86</v>
      </c>
      <c r="K116" s="1" t="s">
        <v>371</v>
      </c>
      <c r="L116" s="2" t="s">
        <v>402</v>
      </c>
      <c r="M116" s="2" t="s">
        <v>394</v>
      </c>
      <c r="N116" s="1" t="s">
        <v>233</v>
      </c>
      <c r="O116" s="1" t="s">
        <v>492</v>
      </c>
      <c r="P116" s="1" t="s">
        <v>404</v>
      </c>
      <c r="Q116" s="1" t="s">
        <v>493</v>
      </c>
      <c r="R116" s="1" t="s">
        <v>209</v>
      </c>
      <c r="S116" s="1" t="s">
        <v>54</v>
      </c>
      <c r="T116" s="1" t="s">
        <v>38</v>
      </c>
      <c r="U116" s="1" t="s">
        <v>39</v>
      </c>
      <c r="V116" s="1" t="s">
        <v>234</v>
      </c>
      <c r="W116" s="1" t="s">
        <v>42</v>
      </c>
      <c r="X116" s="1" t="s">
        <v>41</v>
      </c>
      <c r="Y116" s="1" t="s">
        <v>41</v>
      </c>
      <c r="Z116" s="1" t="s">
        <v>41</v>
      </c>
      <c r="AA116" s="1" t="s">
        <v>42</v>
      </c>
      <c r="AB116" s="1" t="s">
        <v>41</v>
      </c>
      <c r="AC116" s="1" t="s">
        <v>42</v>
      </c>
      <c r="AD116" s="1" t="s">
        <v>41</v>
      </c>
      <c r="AE116" s="1" t="s">
        <v>41</v>
      </c>
      <c r="AF116" s="1" t="s">
        <v>41</v>
      </c>
      <c r="AG116" s="1" t="s">
        <v>42</v>
      </c>
      <c r="AH116" s="1" t="s">
        <v>41</v>
      </c>
      <c r="AI116" s="3">
        <v>54.3</v>
      </c>
      <c r="AJ116" s="3">
        <v>74.67</v>
      </c>
      <c r="AK116" s="3"/>
      <c r="AL116" s="3"/>
      <c r="AM116" s="1" t="s">
        <v>235</v>
      </c>
      <c r="AN116" s="1" t="s">
        <v>236</v>
      </c>
      <c r="AO116" s="1" t="s">
        <v>237</v>
      </c>
      <c r="AP116" s="1" t="s">
        <v>252</v>
      </c>
      <c r="AQ116" s="1" t="s">
        <v>435</v>
      </c>
      <c r="AR116" s="1" t="s">
        <v>46</v>
      </c>
      <c r="AS116" s="4">
        <v>37.21</v>
      </c>
      <c r="AT116" s="31">
        <v>70</v>
      </c>
      <c r="AU116" s="5">
        <v>70</v>
      </c>
      <c r="AV116" s="4">
        <v>5.93</v>
      </c>
      <c r="AW116" s="15">
        <f>AT116-AZ116</f>
        <v>0</v>
      </c>
      <c r="AX116" s="4">
        <f>AW116/AT116*100</f>
        <v>0</v>
      </c>
      <c r="AY116" s="4">
        <v>34.090000000000003</v>
      </c>
      <c r="AZ116" s="5">
        <v>70</v>
      </c>
      <c r="BA116" s="4">
        <v>6.17</v>
      </c>
      <c r="BB116" s="4"/>
      <c r="BC116" s="4"/>
      <c r="BD116" s="4"/>
      <c r="BE116" s="1" t="s">
        <v>94</v>
      </c>
      <c r="BF116" s="1">
        <v>365</v>
      </c>
      <c r="BG116" s="1">
        <v>365</v>
      </c>
      <c r="BH116">
        <f>BF116-BG116</f>
        <v>0</v>
      </c>
      <c r="BI116" s="6"/>
    </row>
    <row r="117" spans="1:61" x14ac:dyDescent="0.2">
      <c r="A117" t="s">
        <v>338</v>
      </c>
      <c r="B117" s="1" t="s">
        <v>232</v>
      </c>
      <c r="C117" s="1">
        <v>2017</v>
      </c>
      <c r="D117" s="1" t="s">
        <v>85</v>
      </c>
      <c r="E117" s="1" t="s">
        <v>51</v>
      </c>
      <c r="F117" s="1" t="s">
        <v>356</v>
      </c>
      <c r="G117" s="2" t="s">
        <v>356</v>
      </c>
      <c r="H117" s="1" t="s">
        <v>51</v>
      </c>
      <c r="I117" s="1" t="s">
        <v>51</v>
      </c>
      <c r="J117" s="1" t="s">
        <v>86</v>
      </c>
      <c r="K117" s="1" t="s">
        <v>371</v>
      </c>
      <c r="L117" s="2" t="s">
        <v>402</v>
      </c>
      <c r="M117" s="2" t="s">
        <v>394</v>
      </c>
      <c r="N117" s="1" t="s">
        <v>233</v>
      </c>
      <c r="O117" s="1" t="s">
        <v>492</v>
      </c>
      <c r="P117" s="1" t="s">
        <v>404</v>
      </c>
      <c r="Q117" s="1" t="s">
        <v>493</v>
      </c>
      <c r="R117" s="1" t="s">
        <v>209</v>
      </c>
      <c r="S117" s="1" t="s">
        <v>54</v>
      </c>
      <c r="T117" s="1" t="s">
        <v>38</v>
      </c>
      <c r="U117" s="1" t="s">
        <v>39</v>
      </c>
      <c r="V117" s="1" t="s">
        <v>234</v>
      </c>
      <c r="W117" s="1" t="s">
        <v>42</v>
      </c>
      <c r="X117" s="1" t="s">
        <v>41</v>
      </c>
      <c r="Y117" s="1" t="s">
        <v>41</v>
      </c>
      <c r="Z117" s="1" t="s">
        <v>41</v>
      </c>
      <c r="AA117" s="1" t="s">
        <v>42</v>
      </c>
      <c r="AB117" s="1" t="s">
        <v>41</v>
      </c>
      <c r="AC117" s="1" t="s">
        <v>42</v>
      </c>
      <c r="AD117" s="1" t="s">
        <v>41</v>
      </c>
      <c r="AE117" s="1" t="s">
        <v>41</v>
      </c>
      <c r="AF117" s="1" t="s">
        <v>41</v>
      </c>
      <c r="AG117" s="1" t="s">
        <v>42</v>
      </c>
      <c r="AH117" s="1" t="s">
        <v>41</v>
      </c>
      <c r="AI117" s="3">
        <v>54.3</v>
      </c>
      <c r="AJ117" s="3">
        <v>74.67</v>
      </c>
      <c r="AK117" s="3"/>
      <c r="AL117" s="3"/>
      <c r="AM117" s="1" t="s">
        <v>235</v>
      </c>
      <c r="AN117" s="1" t="s">
        <v>236</v>
      </c>
      <c r="AO117" s="1" t="s">
        <v>237</v>
      </c>
      <c r="AP117" s="1" t="s">
        <v>252</v>
      </c>
      <c r="AQ117" s="1" t="s">
        <v>435</v>
      </c>
      <c r="AR117" s="1" t="s">
        <v>46</v>
      </c>
      <c r="AS117" s="4">
        <v>37.21</v>
      </c>
      <c r="AT117" s="31">
        <v>70</v>
      </c>
      <c r="AU117" s="5">
        <v>70</v>
      </c>
      <c r="AV117" s="4">
        <v>5.93</v>
      </c>
      <c r="AW117" s="15">
        <f>AT117-AZ117</f>
        <v>0</v>
      </c>
      <c r="AX117" s="4">
        <f>AW117/AT117*100</f>
        <v>0</v>
      </c>
      <c r="AY117" s="4">
        <v>34.69</v>
      </c>
      <c r="AZ117" s="5">
        <v>70</v>
      </c>
      <c r="BA117" s="4">
        <v>6.11</v>
      </c>
      <c r="BB117" s="4"/>
      <c r="BC117" s="4"/>
      <c r="BD117" s="4"/>
      <c r="BE117" s="1" t="s">
        <v>61</v>
      </c>
      <c r="BF117" s="1">
        <v>180</v>
      </c>
      <c r="BG117" s="1">
        <v>365</v>
      </c>
      <c r="BH117">
        <f>BF117-BG117</f>
        <v>-185</v>
      </c>
      <c r="BI117" s="6"/>
    </row>
    <row r="118" spans="1:61" x14ac:dyDescent="0.2">
      <c r="A118" t="s">
        <v>338</v>
      </c>
      <c r="B118" s="1" t="s">
        <v>232</v>
      </c>
      <c r="C118" s="1">
        <v>2017</v>
      </c>
      <c r="D118" s="1" t="s">
        <v>85</v>
      </c>
      <c r="E118" s="1" t="s">
        <v>51</v>
      </c>
      <c r="F118" s="1" t="s">
        <v>356</v>
      </c>
      <c r="G118" s="2" t="s">
        <v>356</v>
      </c>
      <c r="H118" s="1" t="s">
        <v>51</v>
      </c>
      <c r="I118" s="1" t="s">
        <v>51</v>
      </c>
      <c r="J118" s="1" t="s">
        <v>86</v>
      </c>
      <c r="K118" s="1" t="s">
        <v>371</v>
      </c>
      <c r="L118" s="2" t="s">
        <v>402</v>
      </c>
      <c r="M118" s="2" t="s">
        <v>394</v>
      </c>
      <c r="N118" s="1" t="s">
        <v>233</v>
      </c>
      <c r="O118" s="1" t="s">
        <v>492</v>
      </c>
      <c r="P118" s="1" t="s">
        <v>404</v>
      </c>
      <c r="Q118" s="1" t="s">
        <v>493</v>
      </c>
      <c r="R118" s="1" t="s">
        <v>209</v>
      </c>
      <c r="S118" s="1" t="s">
        <v>54</v>
      </c>
      <c r="T118" s="1" t="s">
        <v>38</v>
      </c>
      <c r="U118" s="1" t="s">
        <v>39</v>
      </c>
      <c r="V118" s="1" t="s">
        <v>234</v>
      </c>
      <c r="W118" s="1" t="s">
        <v>42</v>
      </c>
      <c r="X118" s="1" t="s">
        <v>41</v>
      </c>
      <c r="Y118" s="1" t="s">
        <v>41</v>
      </c>
      <c r="Z118" s="1" t="s">
        <v>41</v>
      </c>
      <c r="AA118" s="1" t="s">
        <v>42</v>
      </c>
      <c r="AB118" s="1" t="s">
        <v>41</v>
      </c>
      <c r="AC118" s="1" t="s">
        <v>42</v>
      </c>
      <c r="AD118" s="1" t="s">
        <v>41</v>
      </c>
      <c r="AE118" s="1" t="s">
        <v>41</v>
      </c>
      <c r="AF118" s="1" t="s">
        <v>41</v>
      </c>
      <c r="AG118" s="1" t="s">
        <v>42</v>
      </c>
      <c r="AH118" s="1" t="s">
        <v>41</v>
      </c>
      <c r="AI118" s="3">
        <v>54.3</v>
      </c>
      <c r="AJ118" s="3">
        <v>74.67</v>
      </c>
      <c r="AK118" s="3"/>
      <c r="AL118" s="3"/>
      <c r="AM118" s="1" t="s">
        <v>235</v>
      </c>
      <c r="AN118" s="1" t="s">
        <v>236</v>
      </c>
      <c r="AO118" s="1" t="s">
        <v>237</v>
      </c>
      <c r="AP118" s="1" t="s">
        <v>82</v>
      </c>
      <c r="AQ118" s="1" t="s">
        <v>476</v>
      </c>
      <c r="AR118" s="1" t="s">
        <v>46</v>
      </c>
      <c r="AS118" s="4">
        <v>33.090000000000003</v>
      </c>
      <c r="AT118" s="31">
        <v>70</v>
      </c>
      <c r="AU118" s="5">
        <v>70</v>
      </c>
      <c r="AV118" s="4">
        <v>6.05</v>
      </c>
      <c r="AW118" s="15">
        <f>AT118-AZ118</f>
        <v>0</v>
      </c>
      <c r="AX118" s="4">
        <f>AW118/AT118*100</f>
        <v>0</v>
      </c>
      <c r="AY118" s="4">
        <v>34.49</v>
      </c>
      <c r="AZ118" s="5">
        <v>70</v>
      </c>
      <c r="BA118" s="4">
        <v>6.96</v>
      </c>
      <c r="BB118" s="4"/>
      <c r="BC118" s="4"/>
      <c r="BD118" s="4"/>
      <c r="BE118" s="1" t="s">
        <v>94</v>
      </c>
      <c r="BF118" s="1">
        <v>365</v>
      </c>
      <c r="BG118" s="1">
        <v>365</v>
      </c>
      <c r="BH118">
        <f>BF118-BG118</f>
        <v>0</v>
      </c>
      <c r="BI118" s="6"/>
    </row>
    <row r="119" spans="1:61" x14ac:dyDescent="0.2">
      <c r="A119" t="s">
        <v>338</v>
      </c>
      <c r="B119" s="1" t="s">
        <v>232</v>
      </c>
      <c r="C119" s="1">
        <v>2017</v>
      </c>
      <c r="D119" s="1" t="s">
        <v>85</v>
      </c>
      <c r="E119" s="1" t="s">
        <v>51</v>
      </c>
      <c r="F119" s="1" t="s">
        <v>356</v>
      </c>
      <c r="G119" s="2" t="s">
        <v>356</v>
      </c>
      <c r="H119" s="1" t="s">
        <v>51</v>
      </c>
      <c r="I119" s="1" t="s">
        <v>51</v>
      </c>
      <c r="J119" s="1" t="s">
        <v>86</v>
      </c>
      <c r="K119" s="1" t="s">
        <v>371</v>
      </c>
      <c r="L119" s="2" t="s">
        <v>402</v>
      </c>
      <c r="M119" s="2" t="s">
        <v>394</v>
      </c>
      <c r="N119" s="1" t="s">
        <v>233</v>
      </c>
      <c r="O119" s="1" t="s">
        <v>492</v>
      </c>
      <c r="P119" s="1" t="s">
        <v>404</v>
      </c>
      <c r="Q119" s="1" t="s">
        <v>493</v>
      </c>
      <c r="R119" s="1" t="s">
        <v>209</v>
      </c>
      <c r="S119" s="1" t="s">
        <v>54</v>
      </c>
      <c r="T119" s="1" t="s">
        <v>38</v>
      </c>
      <c r="U119" s="1" t="s">
        <v>39</v>
      </c>
      <c r="V119" s="1" t="s">
        <v>234</v>
      </c>
      <c r="W119" s="1" t="s">
        <v>42</v>
      </c>
      <c r="X119" s="1" t="s">
        <v>41</v>
      </c>
      <c r="Y119" s="1" t="s">
        <v>41</v>
      </c>
      <c r="Z119" s="1" t="s">
        <v>41</v>
      </c>
      <c r="AA119" s="1" t="s">
        <v>42</v>
      </c>
      <c r="AB119" s="1" t="s">
        <v>41</v>
      </c>
      <c r="AC119" s="1" t="s">
        <v>42</v>
      </c>
      <c r="AD119" s="1" t="s">
        <v>41</v>
      </c>
      <c r="AE119" s="1" t="s">
        <v>41</v>
      </c>
      <c r="AF119" s="1" t="s">
        <v>41</v>
      </c>
      <c r="AG119" s="1" t="s">
        <v>42</v>
      </c>
      <c r="AH119" s="1" t="s">
        <v>41</v>
      </c>
      <c r="AI119" s="3">
        <v>54.3</v>
      </c>
      <c r="AJ119" s="3">
        <v>74.67</v>
      </c>
      <c r="AK119" s="3"/>
      <c r="AL119" s="3"/>
      <c r="AM119" s="1" t="s">
        <v>235</v>
      </c>
      <c r="AN119" s="1" t="s">
        <v>236</v>
      </c>
      <c r="AO119" s="1" t="s">
        <v>237</v>
      </c>
      <c r="AP119" s="1" t="s">
        <v>82</v>
      </c>
      <c r="AQ119" s="1" t="s">
        <v>476</v>
      </c>
      <c r="AR119" s="1" t="s">
        <v>46</v>
      </c>
      <c r="AS119" s="4">
        <v>33.090000000000003</v>
      </c>
      <c r="AT119" s="31">
        <v>70</v>
      </c>
      <c r="AU119" s="5">
        <v>70</v>
      </c>
      <c r="AV119" s="4">
        <v>6.05</v>
      </c>
      <c r="AW119" s="15">
        <f>AT119-AZ119</f>
        <v>0</v>
      </c>
      <c r="AX119" s="4">
        <f>AW119/AT119*100</f>
        <v>0</v>
      </c>
      <c r="AY119" s="4">
        <v>33.4</v>
      </c>
      <c r="AZ119" s="5">
        <v>70</v>
      </c>
      <c r="BA119" s="4">
        <v>6.02</v>
      </c>
      <c r="BB119" s="4"/>
      <c r="BC119" s="4"/>
      <c r="BD119" s="4"/>
      <c r="BE119" s="1" t="s">
        <v>61</v>
      </c>
      <c r="BF119" s="1">
        <v>180</v>
      </c>
      <c r="BG119" s="1">
        <v>365</v>
      </c>
      <c r="BH119">
        <f>BF119-BG119</f>
        <v>-185</v>
      </c>
      <c r="BI119" s="6"/>
    </row>
    <row r="120" spans="1:61" x14ac:dyDescent="0.2">
      <c r="A120" t="s">
        <v>338</v>
      </c>
      <c r="B120" s="1" t="s">
        <v>232</v>
      </c>
      <c r="C120" s="1">
        <v>2017</v>
      </c>
      <c r="D120" s="1" t="s">
        <v>85</v>
      </c>
      <c r="E120" s="1" t="s">
        <v>51</v>
      </c>
      <c r="F120" s="1" t="s">
        <v>356</v>
      </c>
      <c r="G120" s="2" t="s">
        <v>356</v>
      </c>
      <c r="H120" s="1" t="s">
        <v>51</v>
      </c>
      <c r="I120" s="1" t="s">
        <v>51</v>
      </c>
      <c r="J120" s="1" t="s">
        <v>86</v>
      </c>
      <c r="K120" s="1" t="s">
        <v>371</v>
      </c>
      <c r="L120" s="2" t="s">
        <v>402</v>
      </c>
      <c r="M120" s="2" t="s">
        <v>394</v>
      </c>
      <c r="N120" s="1" t="s">
        <v>233</v>
      </c>
      <c r="O120" s="1" t="s">
        <v>492</v>
      </c>
      <c r="P120" s="1" t="s">
        <v>404</v>
      </c>
      <c r="Q120" s="1" t="s">
        <v>493</v>
      </c>
      <c r="R120" s="1" t="s">
        <v>209</v>
      </c>
      <c r="S120" s="1" t="s">
        <v>54</v>
      </c>
      <c r="T120" s="1" t="s">
        <v>38</v>
      </c>
      <c r="U120" s="1" t="s">
        <v>39</v>
      </c>
      <c r="V120" s="1" t="s">
        <v>234</v>
      </c>
      <c r="W120" s="1" t="s">
        <v>42</v>
      </c>
      <c r="X120" s="1" t="s">
        <v>41</v>
      </c>
      <c r="Y120" s="1" t="s">
        <v>41</v>
      </c>
      <c r="Z120" s="1" t="s">
        <v>41</v>
      </c>
      <c r="AA120" s="1" t="s">
        <v>42</v>
      </c>
      <c r="AB120" s="1" t="s">
        <v>41</v>
      </c>
      <c r="AC120" s="1" t="s">
        <v>42</v>
      </c>
      <c r="AD120" s="1" t="s">
        <v>41</v>
      </c>
      <c r="AE120" s="1" t="s">
        <v>41</v>
      </c>
      <c r="AF120" s="1" t="s">
        <v>41</v>
      </c>
      <c r="AG120" s="1" t="s">
        <v>42</v>
      </c>
      <c r="AH120" s="1" t="s">
        <v>41</v>
      </c>
      <c r="AI120" s="3">
        <v>54.3</v>
      </c>
      <c r="AJ120" s="3">
        <v>74.67</v>
      </c>
      <c r="AK120" s="3"/>
      <c r="AL120" s="3"/>
      <c r="AM120" s="1" t="s">
        <v>235</v>
      </c>
      <c r="AN120" s="1" t="s">
        <v>236</v>
      </c>
      <c r="AO120" s="1" t="s">
        <v>237</v>
      </c>
      <c r="AP120" s="1" t="s">
        <v>82</v>
      </c>
      <c r="AQ120" s="1" t="s">
        <v>494</v>
      </c>
      <c r="AR120" s="1" t="s">
        <v>46</v>
      </c>
      <c r="AS120" s="4">
        <v>206.64</v>
      </c>
      <c r="AT120" s="31">
        <v>70</v>
      </c>
      <c r="AU120" s="5">
        <v>70</v>
      </c>
      <c r="AV120" s="4">
        <v>33.79</v>
      </c>
      <c r="AW120" s="15">
        <f>AT120-AZ120</f>
        <v>0</v>
      </c>
      <c r="AX120" s="4">
        <f>AW120/AT120*100</f>
        <v>0</v>
      </c>
      <c r="AY120" s="4">
        <v>219.51</v>
      </c>
      <c r="AZ120" s="5">
        <v>70</v>
      </c>
      <c r="BA120" s="4">
        <v>39.32</v>
      </c>
      <c r="BB120" s="4"/>
      <c r="BC120" s="4"/>
      <c r="BD120" s="4"/>
      <c r="BE120" s="1" t="s">
        <v>94</v>
      </c>
      <c r="BF120" s="1">
        <v>365</v>
      </c>
      <c r="BG120" s="1">
        <v>365</v>
      </c>
      <c r="BH120">
        <f>BF120-BG120</f>
        <v>0</v>
      </c>
      <c r="BI120" s="6"/>
    </row>
    <row r="121" spans="1:61" x14ac:dyDescent="0.2">
      <c r="A121" t="s">
        <v>338</v>
      </c>
      <c r="B121" s="1" t="s">
        <v>232</v>
      </c>
      <c r="C121" s="1">
        <v>2017</v>
      </c>
      <c r="D121" s="1" t="s">
        <v>85</v>
      </c>
      <c r="E121" s="1" t="s">
        <v>51</v>
      </c>
      <c r="F121" s="1" t="s">
        <v>356</v>
      </c>
      <c r="G121" s="2" t="s">
        <v>356</v>
      </c>
      <c r="H121" s="1" t="s">
        <v>51</v>
      </c>
      <c r="I121" s="1" t="s">
        <v>51</v>
      </c>
      <c r="J121" s="1" t="s">
        <v>86</v>
      </c>
      <c r="K121" s="1" t="s">
        <v>371</v>
      </c>
      <c r="L121" s="2" t="s">
        <v>402</v>
      </c>
      <c r="M121" s="2" t="s">
        <v>394</v>
      </c>
      <c r="N121" s="1" t="s">
        <v>233</v>
      </c>
      <c r="O121" s="1" t="s">
        <v>492</v>
      </c>
      <c r="P121" s="1" t="s">
        <v>404</v>
      </c>
      <c r="Q121" s="1" t="s">
        <v>493</v>
      </c>
      <c r="R121" s="1" t="s">
        <v>209</v>
      </c>
      <c r="S121" s="1" t="s">
        <v>54</v>
      </c>
      <c r="T121" s="1" t="s">
        <v>38</v>
      </c>
      <c r="U121" s="1" t="s">
        <v>39</v>
      </c>
      <c r="V121" s="1" t="s">
        <v>234</v>
      </c>
      <c r="W121" s="1" t="s">
        <v>42</v>
      </c>
      <c r="X121" s="1" t="s">
        <v>41</v>
      </c>
      <c r="Y121" s="1" t="s">
        <v>41</v>
      </c>
      <c r="Z121" s="1" t="s">
        <v>41</v>
      </c>
      <c r="AA121" s="1" t="s">
        <v>42</v>
      </c>
      <c r="AB121" s="1" t="s">
        <v>41</v>
      </c>
      <c r="AC121" s="1" t="s">
        <v>42</v>
      </c>
      <c r="AD121" s="1" t="s">
        <v>41</v>
      </c>
      <c r="AE121" s="1" t="s">
        <v>41</v>
      </c>
      <c r="AF121" s="1" t="s">
        <v>41</v>
      </c>
      <c r="AG121" s="1" t="s">
        <v>42</v>
      </c>
      <c r="AH121" s="1" t="s">
        <v>41</v>
      </c>
      <c r="AI121" s="3">
        <v>54.3</v>
      </c>
      <c r="AJ121" s="3">
        <v>74.67</v>
      </c>
      <c r="AK121" s="3"/>
      <c r="AL121" s="3"/>
      <c r="AM121" s="1" t="s">
        <v>235</v>
      </c>
      <c r="AN121" s="1" t="s">
        <v>236</v>
      </c>
      <c r="AO121" s="1" t="s">
        <v>237</v>
      </c>
      <c r="AP121" s="1" t="s">
        <v>82</v>
      </c>
      <c r="AQ121" s="1" t="s">
        <v>494</v>
      </c>
      <c r="AR121" s="1" t="s">
        <v>46</v>
      </c>
      <c r="AS121" s="4">
        <v>206.64</v>
      </c>
      <c r="AT121" s="31">
        <v>70</v>
      </c>
      <c r="AU121" s="5">
        <v>70</v>
      </c>
      <c r="AV121" s="4">
        <v>33.79</v>
      </c>
      <c r="AW121" s="15">
        <f>AT121-AZ121</f>
        <v>0</v>
      </c>
      <c r="AX121" s="4">
        <f>AW121/AT121*100</f>
        <v>0</v>
      </c>
      <c r="AY121" s="4">
        <v>210.84</v>
      </c>
      <c r="AZ121" s="5">
        <v>70</v>
      </c>
      <c r="BA121" s="4">
        <v>30.58</v>
      </c>
      <c r="BB121" s="4"/>
      <c r="BC121" s="4"/>
      <c r="BD121" s="4"/>
      <c r="BE121" s="1" t="s">
        <v>61</v>
      </c>
      <c r="BF121" s="1">
        <v>180</v>
      </c>
      <c r="BG121" s="1">
        <v>365</v>
      </c>
      <c r="BH121">
        <f>BF121-BG121</f>
        <v>-185</v>
      </c>
      <c r="BI121" s="6"/>
    </row>
    <row r="122" spans="1:61" x14ac:dyDescent="0.2">
      <c r="A122" t="s">
        <v>337</v>
      </c>
      <c r="B122" s="2" t="s">
        <v>273</v>
      </c>
      <c r="C122" s="2">
        <v>2020</v>
      </c>
      <c r="D122" s="2" t="s">
        <v>208</v>
      </c>
      <c r="E122" s="2" t="s">
        <v>51</v>
      </c>
      <c r="F122" s="1" t="s">
        <v>356</v>
      </c>
      <c r="G122" s="2" t="s">
        <v>356</v>
      </c>
      <c r="H122" s="2" t="s">
        <v>51</v>
      </c>
      <c r="I122" s="2" t="s">
        <v>51</v>
      </c>
      <c r="J122" s="2" t="s">
        <v>86</v>
      </c>
      <c r="K122" s="2" t="s">
        <v>372</v>
      </c>
      <c r="L122" s="2" t="s">
        <v>389</v>
      </c>
      <c r="M122" s="2" t="s">
        <v>388</v>
      </c>
      <c r="N122" s="2" t="s">
        <v>275</v>
      </c>
      <c r="O122" s="2" t="s">
        <v>420</v>
      </c>
      <c r="P122" s="2" t="s">
        <v>404</v>
      </c>
      <c r="Q122" s="2" t="s">
        <v>419</v>
      </c>
      <c r="R122" s="1" t="s">
        <v>373</v>
      </c>
      <c r="S122" s="2" t="s">
        <v>276</v>
      </c>
      <c r="T122" s="2" t="s">
        <v>270</v>
      </c>
      <c r="U122" s="2" t="s">
        <v>277</v>
      </c>
      <c r="V122" s="2" t="s">
        <v>278</v>
      </c>
      <c r="W122" s="2" t="s">
        <v>56</v>
      </c>
      <c r="X122" s="2" t="s">
        <v>287</v>
      </c>
      <c r="Y122" s="2" t="s">
        <v>56</v>
      </c>
      <c r="Z122" s="2" t="s">
        <v>41</v>
      </c>
      <c r="AA122" s="2" t="s">
        <v>42</v>
      </c>
      <c r="AB122" s="2" t="s">
        <v>41</v>
      </c>
      <c r="AC122" s="2" t="s">
        <v>56</v>
      </c>
      <c r="AD122" s="2" t="s">
        <v>41</v>
      </c>
      <c r="AE122" s="2" t="s">
        <v>56</v>
      </c>
      <c r="AF122" s="2" t="s">
        <v>56</v>
      </c>
      <c r="AG122" s="2" t="s">
        <v>56</v>
      </c>
      <c r="AH122" s="2" t="s">
        <v>42</v>
      </c>
      <c r="AI122" s="7">
        <v>52.9</v>
      </c>
      <c r="AJ122" s="7">
        <v>71.430000000000007</v>
      </c>
      <c r="AK122" s="7"/>
      <c r="AL122" s="7"/>
      <c r="AM122" s="2" t="s">
        <v>299</v>
      </c>
      <c r="AN122" s="2"/>
      <c r="AO122" s="2"/>
      <c r="AP122" s="2" t="s">
        <v>252</v>
      </c>
      <c r="AQ122" s="2" t="s">
        <v>318</v>
      </c>
      <c r="AR122" s="2" t="s">
        <v>46</v>
      </c>
      <c r="AS122" s="8">
        <v>15.02</v>
      </c>
      <c r="AT122" s="32">
        <v>51</v>
      </c>
      <c r="AU122" s="9">
        <v>51</v>
      </c>
      <c r="AV122" s="8">
        <v>1.82</v>
      </c>
      <c r="AW122" s="15">
        <f>AT122-AZ122</f>
        <v>0</v>
      </c>
      <c r="AX122" s="4">
        <f>AW122/AT122*100</f>
        <v>0</v>
      </c>
      <c r="AY122" s="8">
        <v>9.31</v>
      </c>
      <c r="AZ122" s="9">
        <v>51</v>
      </c>
      <c r="BA122" s="8">
        <v>1.52</v>
      </c>
      <c r="BB122" s="8"/>
      <c r="BC122" s="8"/>
      <c r="BD122" s="8"/>
      <c r="BE122" s="2" t="s">
        <v>94</v>
      </c>
      <c r="BF122" s="2">
        <v>365</v>
      </c>
      <c r="BG122" s="2">
        <v>365</v>
      </c>
      <c r="BH122">
        <f>BF122-BG122</f>
        <v>0</v>
      </c>
      <c r="BI122" s="6"/>
    </row>
    <row r="123" spans="1:61" x14ac:dyDescent="0.2">
      <c r="A123" t="s">
        <v>337</v>
      </c>
      <c r="B123" s="2" t="s">
        <v>273</v>
      </c>
      <c r="C123" s="2">
        <v>2020</v>
      </c>
      <c r="D123" s="2" t="s">
        <v>208</v>
      </c>
      <c r="E123" s="2" t="s">
        <v>51</v>
      </c>
      <c r="F123" s="1" t="s">
        <v>356</v>
      </c>
      <c r="G123" s="2" t="s">
        <v>356</v>
      </c>
      <c r="H123" s="2" t="s">
        <v>51</v>
      </c>
      <c r="I123" s="2" t="s">
        <v>51</v>
      </c>
      <c r="J123" s="2" t="s">
        <v>86</v>
      </c>
      <c r="K123" s="2" t="s">
        <v>372</v>
      </c>
      <c r="L123" s="2" t="s">
        <v>389</v>
      </c>
      <c r="M123" s="2" t="s">
        <v>388</v>
      </c>
      <c r="N123" s="2" t="s">
        <v>275</v>
      </c>
      <c r="O123" s="2" t="s">
        <v>405</v>
      </c>
      <c r="P123" s="2" t="s">
        <v>404</v>
      </c>
      <c r="Q123" s="2" t="s">
        <v>419</v>
      </c>
      <c r="R123" s="1" t="s">
        <v>373</v>
      </c>
      <c r="S123" s="2" t="s">
        <v>276</v>
      </c>
      <c r="T123" s="2" t="s">
        <v>270</v>
      </c>
      <c r="U123" s="2" t="s">
        <v>277</v>
      </c>
      <c r="V123" s="2" t="s">
        <v>278</v>
      </c>
      <c r="W123" s="2" t="s">
        <v>56</v>
      </c>
      <c r="X123" s="2" t="s">
        <v>287</v>
      </c>
      <c r="Y123" s="2" t="s">
        <v>56</v>
      </c>
      <c r="Z123" s="2" t="s">
        <v>41</v>
      </c>
      <c r="AA123" s="2" t="s">
        <v>42</v>
      </c>
      <c r="AB123" s="2" t="s">
        <v>41</v>
      </c>
      <c r="AC123" s="2" t="s">
        <v>56</v>
      </c>
      <c r="AD123" s="2" t="s">
        <v>41</v>
      </c>
      <c r="AE123" s="2" t="s">
        <v>56</v>
      </c>
      <c r="AF123" s="2" t="s">
        <v>56</v>
      </c>
      <c r="AG123" s="2" t="s">
        <v>56</v>
      </c>
      <c r="AH123" s="2" t="s">
        <v>42</v>
      </c>
      <c r="AI123" s="7">
        <v>52.9</v>
      </c>
      <c r="AJ123" s="7">
        <v>71.430000000000007</v>
      </c>
      <c r="AK123" s="7"/>
      <c r="AL123" s="7"/>
      <c r="AM123" s="2" t="s">
        <v>299</v>
      </c>
      <c r="AN123" s="2"/>
      <c r="AO123" s="2"/>
      <c r="AP123" s="2" t="s">
        <v>93</v>
      </c>
      <c r="AQ123" s="2" t="s">
        <v>315</v>
      </c>
      <c r="AR123" s="2" t="s">
        <v>46</v>
      </c>
      <c r="AS123" s="8">
        <v>17.04</v>
      </c>
      <c r="AT123" s="32">
        <v>51</v>
      </c>
      <c r="AU123" s="9">
        <v>51</v>
      </c>
      <c r="AV123" s="8">
        <v>3.52</v>
      </c>
      <c r="AW123" s="15">
        <f>AT123-AZ123</f>
        <v>0</v>
      </c>
      <c r="AX123" s="4">
        <f>AW123/AT123*100</f>
        <v>0</v>
      </c>
      <c r="AY123" s="8">
        <v>12.59</v>
      </c>
      <c r="AZ123" s="9">
        <v>51</v>
      </c>
      <c r="BA123" s="8">
        <v>2.7</v>
      </c>
      <c r="BB123" s="8"/>
      <c r="BC123" s="8"/>
      <c r="BD123" s="8"/>
      <c r="BE123" s="2" t="s">
        <v>94</v>
      </c>
      <c r="BF123" s="2">
        <v>365</v>
      </c>
      <c r="BG123" s="2">
        <v>365</v>
      </c>
      <c r="BH123">
        <f>BF123-BG123</f>
        <v>0</v>
      </c>
      <c r="BI123" s="6"/>
    </row>
    <row r="124" spans="1:61" x14ac:dyDescent="0.2">
      <c r="A124" t="s">
        <v>337</v>
      </c>
      <c r="B124" s="2" t="s">
        <v>273</v>
      </c>
      <c r="C124" s="2">
        <v>2020</v>
      </c>
      <c r="D124" s="2" t="s">
        <v>208</v>
      </c>
      <c r="E124" s="2" t="s">
        <v>51</v>
      </c>
      <c r="F124" s="1" t="s">
        <v>356</v>
      </c>
      <c r="G124" s="2" t="s">
        <v>356</v>
      </c>
      <c r="H124" s="2" t="s">
        <v>51</v>
      </c>
      <c r="I124" s="2" t="s">
        <v>51</v>
      </c>
      <c r="J124" s="2" t="s">
        <v>86</v>
      </c>
      <c r="K124" s="2" t="s">
        <v>372</v>
      </c>
      <c r="L124" s="2" t="s">
        <v>389</v>
      </c>
      <c r="M124" s="2" t="s">
        <v>388</v>
      </c>
      <c r="N124" s="2" t="s">
        <v>275</v>
      </c>
      <c r="O124" s="2" t="s">
        <v>405</v>
      </c>
      <c r="P124" s="2" t="s">
        <v>404</v>
      </c>
      <c r="Q124" s="2" t="s">
        <v>419</v>
      </c>
      <c r="R124" s="1" t="s">
        <v>373</v>
      </c>
      <c r="S124" s="2" t="s">
        <v>276</v>
      </c>
      <c r="T124" s="2" t="s">
        <v>270</v>
      </c>
      <c r="U124" s="2" t="s">
        <v>277</v>
      </c>
      <c r="V124" s="2" t="s">
        <v>278</v>
      </c>
      <c r="W124" s="2" t="s">
        <v>56</v>
      </c>
      <c r="X124" s="2" t="s">
        <v>287</v>
      </c>
      <c r="Y124" s="2" t="s">
        <v>56</v>
      </c>
      <c r="Z124" s="2" t="s">
        <v>41</v>
      </c>
      <c r="AA124" s="2" t="s">
        <v>42</v>
      </c>
      <c r="AB124" s="2" t="s">
        <v>41</v>
      </c>
      <c r="AC124" s="2" t="s">
        <v>56</v>
      </c>
      <c r="AD124" s="2" t="s">
        <v>41</v>
      </c>
      <c r="AE124" s="2" t="s">
        <v>56</v>
      </c>
      <c r="AF124" s="2" t="s">
        <v>56</v>
      </c>
      <c r="AG124" s="2" t="s">
        <v>56</v>
      </c>
      <c r="AH124" s="2" t="s">
        <v>42</v>
      </c>
      <c r="AI124" s="7">
        <v>52.9</v>
      </c>
      <c r="AJ124" s="7">
        <v>71.430000000000007</v>
      </c>
      <c r="AK124" s="7"/>
      <c r="AL124" s="7"/>
      <c r="AM124" s="2" t="s">
        <v>299</v>
      </c>
      <c r="AN124" s="2"/>
      <c r="AO124" s="2"/>
      <c r="AP124" s="2" t="s">
        <v>316</v>
      </c>
      <c r="AQ124" s="2" t="s">
        <v>317</v>
      </c>
      <c r="AR124" s="2" t="s">
        <v>46</v>
      </c>
      <c r="AS124" s="8">
        <v>19.47</v>
      </c>
      <c r="AT124" s="32">
        <v>51</v>
      </c>
      <c r="AU124" s="9">
        <v>51</v>
      </c>
      <c r="AV124" s="8">
        <v>3.37</v>
      </c>
      <c r="AW124" s="15">
        <f>AT124-AZ124</f>
        <v>0</v>
      </c>
      <c r="AX124" s="4">
        <f>AW124/AT124*100</f>
        <v>0</v>
      </c>
      <c r="AY124" s="8">
        <v>10.37</v>
      </c>
      <c r="AZ124" s="9">
        <v>51</v>
      </c>
      <c r="BA124" s="8">
        <v>2.17</v>
      </c>
      <c r="BB124" s="8"/>
      <c r="BC124" s="8"/>
      <c r="BD124" s="8"/>
      <c r="BE124" s="2" t="s">
        <v>94</v>
      </c>
      <c r="BF124" s="2">
        <v>365</v>
      </c>
      <c r="BG124" s="2">
        <v>365</v>
      </c>
      <c r="BH124">
        <f>BF124-BG124</f>
        <v>0</v>
      </c>
      <c r="BI124" s="6"/>
    </row>
    <row r="125" spans="1:61" x14ac:dyDescent="0.2">
      <c r="A125" t="s">
        <v>337</v>
      </c>
      <c r="B125" s="2" t="s">
        <v>288</v>
      </c>
      <c r="C125" s="2">
        <v>2019</v>
      </c>
      <c r="D125" s="2" t="s">
        <v>50</v>
      </c>
      <c r="E125" s="2" t="s">
        <v>51</v>
      </c>
      <c r="F125" s="1" t="s">
        <v>356</v>
      </c>
      <c r="G125" s="2" t="s">
        <v>356</v>
      </c>
      <c r="H125" s="2" t="s">
        <v>51</v>
      </c>
      <c r="I125" s="2" t="s">
        <v>51</v>
      </c>
      <c r="J125" s="2" t="s">
        <v>121</v>
      </c>
      <c r="K125" s="2" t="s">
        <v>372</v>
      </c>
      <c r="L125" s="2" t="s">
        <v>391</v>
      </c>
      <c r="M125" s="2" t="s">
        <v>390</v>
      </c>
      <c r="N125" s="2" t="s">
        <v>289</v>
      </c>
      <c r="O125" s="2" t="s">
        <v>422</v>
      </c>
      <c r="P125" s="2" t="s">
        <v>379</v>
      </c>
      <c r="Q125" s="2" t="s">
        <v>421</v>
      </c>
      <c r="R125" s="1" t="s">
        <v>373</v>
      </c>
      <c r="S125" s="2" t="s">
        <v>290</v>
      </c>
      <c r="T125" s="2" t="s">
        <v>291</v>
      </c>
      <c r="U125" s="2" t="s">
        <v>172</v>
      </c>
      <c r="V125" s="2" t="s">
        <v>40</v>
      </c>
      <c r="W125" s="2" t="s">
        <v>41</v>
      </c>
      <c r="X125" s="2" t="s">
        <v>41</v>
      </c>
      <c r="Y125" s="2" t="s">
        <v>41</v>
      </c>
      <c r="Z125" s="2" t="s">
        <v>41</v>
      </c>
      <c r="AA125" s="2" t="s">
        <v>42</v>
      </c>
      <c r="AB125" s="2" t="s">
        <v>41</v>
      </c>
      <c r="AC125" s="2" t="s">
        <v>287</v>
      </c>
      <c r="AD125" s="2" t="s">
        <v>41</v>
      </c>
      <c r="AE125" s="2" t="s">
        <v>56</v>
      </c>
      <c r="AF125" s="2" t="s">
        <v>42</v>
      </c>
      <c r="AG125" s="2" t="s">
        <v>42</v>
      </c>
      <c r="AH125" s="2" t="s">
        <v>41</v>
      </c>
      <c r="AI125" s="7"/>
      <c r="AJ125" s="7"/>
      <c r="AK125" s="7">
        <v>43.4</v>
      </c>
      <c r="AL125" s="7">
        <v>72</v>
      </c>
      <c r="AM125" s="2" t="s">
        <v>305</v>
      </c>
      <c r="AN125" s="2"/>
      <c r="AO125" s="2"/>
      <c r="AP125" s="1" t="s">
        <v>324</v>
      </c>
      <c r="AQ125" s="1" t="s">
        <v>319</v>
      </c>
      <c r="AR125" s="1" t="s">
        <v>46</v>
      </c>
      <c r="AS125" s="4">
        <v>10.039999999999999</v>
      </c>
      <c r="AT125" s="31">
        <v>27</v>
      </c>
      <c r="AU125" s="5">
        <v>27</v>
      </c>
      <c r="AV125" s="4">
        <v>4.0199999999999996</v>
      </c>
      <c r="AW125" s="15">
        <f>AT125-AZ125</f>
        <v>2</v>
      </c>
      <c r="AX125" s="4">
        <f>AW125/AT125*100</f>
        <v>7.4074074074074066</v>
      </c>
      <c r="AY125" s="4">
        <v>10.5</v>
      </c>
      <c r="AZ125" s="5">
        <v>25</v>
      </c>
      <c r="BA125" s="4">
        <v>3.7</v>
      </c>
      <c r="BB125" s="8"/>
      <c r="BC125" s="8"/>
      <c r="BD125" s="8"/>
      <c r="BE125" s="2" t="s">
        <v>331</v>
      </c>
      <c r="BF125" s="2">
        <v>91</v>
      </c>
      <c r="BG125" s="2">
        <v>56</v>
      </c>
      <c r="BH125">
        <f>BF125-BG125</f>
        <v>35</v>
      </c>
      <c r="BI125" s="6"/>
    </row>
    <row r="126" spans="1:61" x14ac:dyDescent="0.2">
      <c r="A126" t="s">
        <v>337</v>
      </c>
      <c r="B126" s="2" t="s">
        <v>288</v>
      </c>
      <c r="C126" s="2">
        <v>2019</v>
      </c>
      <c r="D126" s="2" t="s">
        <v>50</v>
      </c>
      <c r="E126" s="2" t="s">
        <v>51</v>
      </c>
      <c r="F126" s="1" t="s">
        <v>356</v>
      </c>
      <c r="G126" s="2" t="s">
        <v>356</v>
      </c>
      <c r="H126" s="2" t="s">
        <v>51</v>
      </c>
      <c r="I126" s="2" t="s">
        <v>51</v>
      </c>
      <c r="J126" s="2" t="s">
        <v>121</v>
      </c>
      <c r="K126" s="2" t="s">
        <v>372</v>
      </c>
      <c r="L126" s="2" t="s">
        <v>391</v>
      </c>
      <c r="M126" s="2" t="s">
        <v>390</v>
      </c>
      <c r="N126" s="2" t="s">
        <v>289</v>
      </c>
      <c r="O126" s="2" t="s">
        <v>422</v>
      </c>
      <c r="P126" s="2" t="s">
        <v>379</v>
      </c>
      <c r="Q126" s="2" t="s">
        <v>421</v>
      </c>
      <c r="R126" s="1" t="s">
        <v>373</v>
      </c>
      <c r="S126" s="2" t="s">
        <v>290</v>
      </c>
      <c r="T126" s="2" t="s">
        <v>291</v>
      </c>
      <c r="U126" s="2" t="s">
        <v>172</v>
      </c>
      <c r="V126" s="2" t="s">
        <v>40</v>
      </c>
      <c r="W126" s="2" t="s">
        <v>41</v>
      </c>
      <c r="X126" s="2" t="s">
        <v>41</v>
      </c>
      <c r="Y126" s="2" t="s">
        <v>41</v>
      </c>
      <c r="Z126" s="2" t="s">
        <v>41</v>
      </c>
      <c r="AA126" s="2" t="s">
        <v>42</v>
      </c>
      <c r="AB126" s="2" t="s">
        <v>41</v>
      </c>
      <c r="AC126" s="2" t="s">
        <v>287</v>
      </c>
      <c r="AD126" s="2" t="s">
        <v>41</v>
      </c>
      <c r="AE126" s="2" t="s">
        <v>56</v>
      </c>
      <c r="AF126" s="2" t="s">
        <v>42</v>
      </c>
      <c r="AG126" s="2" t="s">
        <v>42</v>
      </c>
      <c r="AH126" s="2" t="s">
        <v>41</v>
      </c>
      <c r="AI126" s="7"/>
      <c r="AJ126" s="7"/>
      <c r="AK126" s="7">
        <v>43.4</v>
      </c>
      <c r="AL126" s="7">
        <v>72</v>
      </c>
      <c r="AM126" s="2" t="s">
        <v>305</v>
      </c>
      <c r="AN126" s="2"/>
      <c r="AO126" s="2"/>
      <c r="AP126" s="1" t="s">
        <v>134</v>
      </c>
      <c r="AQ126" s="1" t="s">
        <v>319</v>
      </c>
      <c r="AR126" s="1" t="s">
        <v>46</v>
      </c>
      <c r="AS126" s="4">
        <v>4.8</v>
      </c>
      <c r="AT126" s="31">
        <v>27</v>
      </c>
      <c r="AU126" s="5">
        <v>27</v>
      </c>
      <c r="AV126" s="4">
        <v>3.6</v>
      </c>
      <c r="AW126" s="15">
        <f>AT126-AZ126</f>
        <v>2</v>
      </c>
      <c r="AX126" s="4">
        <f>AW126/AT126*100</f>
        <v>7.4074074074074066</v>
      </c>
      <c r="AY126" s="4">
        <v>5.08</v>
      </c>
      <c r="AZ126" s="5">
        <v>25</v>
      </c>
      <c r="BA126" s="4">
        <v>3.7</v>
      </c>
      <c r="BB126" s="8"/>
      <c r="BC126" s="8"/>
      <c r="BD126" s="8"/>
      <c r="BE126" s="2" t="s">
        <v>331</v>
      </c>
      <c r="BF126" s="2">
        <v>91</v>
      </c>
      <c r="BG126" s="2">
        <v>56</v>
      </c>
      <c r="BH126">
        <f>BF126-BG126</f>
        <v>35</v>
      </c>
      <c r="BI126" s="6"/>
    </row>
    <row r="127" spans="1:61" x14ac:dyDescent="0.2">
      <c r="A127" t="s">
        <v>337</v>
      </c>
      <c r="B127" s="2" t="s">
        <v>288</v>
      </c>
      <c r="C127" s="2">
        <v>2019</v>
      </c>
      <c r="D127" s="2" t="s">
        <v>50</v>
      </c>
      <c r="E127" s="2" t="s">
        <v>51</v>
      </c>
      <c r="F127" s="1" t="s">
        <v>356</v>
      </c>
      <c r="G127" s="2" t="s">
        <v>356</v>
      </c>
      <c r="H127" s="2" t="s">
        <v>51</v>
      </c>
      <c r="I127" s="2" t="s">
        <v>51</v>
      </c>
      <c r="J127" s="2" t="s">
        <v>121</v>
      </c>
      <c r="K127" s="2" t="s">
        <v>372</v>
      </c>
      <c r="L127" s="2" t="s">
        <v>391</v>
      </c>
      <c r="M127" s="2" t="s">
        <v>390</v>
      </c>
      <c r="N127" s="2" t="s">
        <v>289</v>
      </c>
      <c r="O127" s="2" t="s">
        <v>422</v>
      </c>
      <c r="P127" s="2" t="s">
        <v>379</v>
      </c>
      <c r="Q127" s="2" t="s">
        <v>421</v>
      </c>
      <c r="R127" s="1" t="s">
        <v>373</v>
      </c>
      <c r="S127" s="2" t="s">
        <v>290</v>
      </c>
      <c r="T127" s="2" t="s">
        <v>291</v>
      </c>
      <c r="U127" s="2" t="s">
        <v>172</v>
      </c>
      <c r="V127" s="2" t="s">
        <v>40</v>
      </c>
      <c r="W127" s="2" t="s">
        <v>41</v>
      </c>
      <c r="X127" s="2" t="s">
        <v>41</v>
      </c>
      <c r="Y127" s="2" t="s">
        <v>41</v>
      </c>
      <c r="Z127" s="2" t="s">
        <v>41</v>
      </c>
      <c r="AA127" s="2" t="s">
        <v>42</v>
      </c>
      <c r="AB127" s="2" t="s">
        <v>41</v>
      </c>
      <c r="AC127" s="2" t="s">
        <v>287</v>
      </c>
      <c r="AD127" s="2" t="s">
        <v>41</v>
      </c>
      <c r="AE127" s="2" t="s">
        <v>56</v>
      </c>
      <c r="AF127" s="2" t="s">
        <v>42</v>
      </c>
      <c r="AG127" s="2" t="s">
        <v>42</v>
      </c>
      <c r="AH127" s="2" t="s">
        <v>41</v>
      </c>
      <c r="AI127" s="7"/>
      <c r="AJ127" s="7"/>
      <c r="AK127" s="7">
        <v>43.4</v>
      </c>
      <c r="AL127" s="7">
        <v>72</v>
      </c>
      <c r="AM127" s="2" t="s">
        <v>305</v>
      </c>
      <c r="AN127" s="2"/>
      <c r="AO127" s="2"/>
      <c r="AP127" s="1" t="s">
        <v>314</v>
      </c>
      <c r="AQ127" s="1" t="s">
        <v>319</v>
      </c>
      <c r="AR127" s="1" t="s">
        <v>46</v>
      </c>
      <c r="AS127" s="4">
        <v>32.04</v>
      </c>
      <c r="AT127" s="31">
        <v>27</v>
      </c>
      <c r="AU127" s="5">
        <v>27</v>
      </c>
      <c r="AV127" s="4">
        <v>7.02</v>
      </c>
      <c r="AW127" s="15">
        <f>AT127-AZ127</f>
        <v>2</v>
      </c>
      <c r="AX127" s="4">
        <f>AW127/AT127*100</f>
        <v>7.4074074074074066</v>
      </c>
      <c r="AY127" s="4">
        <v>32.9</v>
      </c>
      <c r="AZ127" s="5">
        <v>25</v>
      </c>
      <c r="BA127" s="4">
        <v>7.2</v>
      </c>
      <c r="BB127" s="8"/>
      <c r="BC127" s="8"/>
      <c r="BD127" s="8"/>
      <c r="BE127" s="2" t="s">
        <v>331</v>
      </c>
      <c r="BF127" s="2">
        <v>91</v>
      </c>
      <c r="BG127" s="2">
        <v>56</v>
      </c>
      <c r="BH127">
        <f>BF127-BG127</f>
        <v>35</v>
      </c>
      <c r="BI127" s="6"/>
    </row>
    <row r="128" spans="1:61" x14ac:dyDescent="0.2">
      <c r="A128" t="s">
        <v>338</v>
      </c>
      <c r="B128" s="1" t="s">
        <v>84</v>
      </c>
      <c r="C128" s="1">
        <v>2012</v>
      </c>
      <c r="D128" s="1" t="s">
        <v>85</v>
      </c>
      <c r="E128" s="1" t="s">
        <v>51</v>
      </c>
      <c r="F128" s="1" t="s">
        <v>356</v>
      </c>
      <c r="G128" s="2" t="s">
        <v>356</v>
      </c>
      <c r="H128" s="1" t="s">
        <v>51</v>
      </c>
      <c r="I128" s="1" t="s">
        <v>51</v>
      </c>
      <c r="J128" s="1" t="s">
        <v>86</v>
      </c>
      <c r="K128" s="1" t="s">
        <v>371</v>
      </c>
      <c r="L128" s="1"/>
      <c r="M128" s="1"/>
      <c r="N128" s="1" t="s">
        <v>87</v>
      </c>
      <c r="O128" s="1" t="s">
        <v>432</v>
      </c>
      <c r="P128" s="1" t="s">
        <v>404</v>
      </c>
      <c r="Q128" s="1" t="s">
        <v>431</v>
      </c>
      <c r="R128" s="1" t="s">
        <v>373</v>
      </c>
      <c r="S128" s="1" t="s">
        <v>37</v>
      </c>
      <c r="T128" s="1" t="s">
        <v>38</v>
      </c>
      <c r="U128" s="1" t="s">
        <v>55</v>
      </c>
      <c r="V128" s="1" t="s">
        <v>88</v>
      </c>
      <c r="W128" s="1" t="s">
        <v>42</v>
      </c>
      <c r="X128" s="1" t="s">
        <v>42</v>
      </c>
      <c r="Y128" s="1" t="s">
        <v>56</v>
      </c>
      <c r="Z128" s="1" t="s">
        <v>42</v>
      </c>
      <c r="AA128" s="1" t="s">
        <v>42</v>
      </c>
      <c r="AB128" s="1" t="s">
        <v>42</v>
      </c>
      <c r="AC128" s="1" t="s">
        <v>42</v>
      </c>
      <c r="AD128" s="1" t="s">
        <v>42</v>
      </c>
      <c r="AE128" s="1" t="s">
        <v>56</v>
      </c>
      <c r="AF128" s="1" t="s">
        <v>42</v>
      </c>
      <c r="AG128" s="1" t="s">
        <v>42</v>
      </c>
      <c r="AH128" s="1" t="s">
        <v>42</v>
      </c>
      <c r="AI128" s="12">
        <v>54.17</v>
      </c>
      <c r="AJ128" s="3">
        <v>71.33</v>
      </c>
      <c r="AK128" s="3"/>
      <c r="AL128" s="3"/>
      <c r="AM128" s="1" t="s">
        <v>90</v>
      </c>
      <c r="AN128" s="1" t="s">
        <v>91</v>
      </c>
      <c r="AO128" s="1" t="s">
        <v>92</v>
      </c>
      <c r="AP128" s="1" t="s">
        <v>93</v>
      </c>
      <c r="AQ128" s="1" t="s">
        <v>89</v>
      </c>
      <c r="AR128" s="1" t="s">
        <v>46</v>
      </c>
      <c r="AS128" s="4">
        <v>18.52</v>
      </c>
      <c r="AT128" s="31">
        <v>48</v>
      </c>
      <c r="AU128" s="5">
        <v>48</v>
      </c>
      <c r="AV128" s="4">
        <v>3.4</v>
      </c>
      <c r="AW128" s="15">
        <f>AT128-AZ128</f>
        <v>0</v>
      </c>
      <c r="AX128" s="4">
        <f>AW128/AT128*100</f>
        <v>0</v>
      </c>
      <c r="AY128" s="4">
        <v>20.329999999999998</v>
      </c>
      <c r="AZ128" s="5">
        <v>48</v>
      </c>
      <c r="BA128" s="4">
        <v>3.49</v>
      </c>
      <c r="BB128" s="4"/>
      <c r="BC128" s="4"/>
      <c r="BD128" s="4"/>
      <c r="BE128" s="1" t="s">
        <v>94</v>
      </c>
      <c r="BF128" s="1">
        <v>365</v>
      </c>
      <c r="BG128" s="1">
        <v>365</v>
      </c>
      <c r="BH128">
        <f>BF128-BG128</f>
        <v>0</v>
      </c>
      <c r="BI128" s="6"/>
    </row>
    <row r="129" spans="1:61" x14ac:dyDescent="0.2">
      <c r="A129" t="s">
        <v>338</v>
      </c>
      <c r="B129" s="1" t="s">
        <v>84</v>
      </c>
      <c r="C129" s="1">
        <v>2012</v>
      </c>
      <c r="D129" s="1" t="s">
        <v>85</v>
      </c>
      <c r="E129" s="1" t="s">
        <v>51</v>
      </c>
      <c r="F129" s="1" t="s">
        <v>356</v>
      </c>
      <c r="G129" s="2" t="s">
        <v>356</v>
      </c>
      <c r="H129" s="1" t="s">
        <v>51</v>
      </c>
      <c r="I129" s="1" t="s">
        <v>51</v>
      </c>
      <c r="J129" s="1" t="s">
        <v>86</v>
      </c>
      <c r="K129" s="1" t="s">
        <v>371</v>
      </c>
      <c r="L129" s="1"/>
      <c r="M129" s="1"/>
      <c r="N129" s="1" t="s">
        <v>87</v>
      </c>
      <c r="O129" s="1" t="s">
        <v>432</v>
      </c>
      <c r="P129" s="1" t="s">
        <v>404</v>
      </c>
      <c r="Q129" s="1" t="s">
        <v>431</v>
      </c>
      <c r="R129" s="1" t="s">
        <v>373</v>
      </c>
      <c r="S129" s="1" t="s">
        <v>37</v>
      </c>
      <c r="T129" s="1" t="s">
        <v>38</v>
      </c>
      <c r="U129" s="1" t="s">
        <v>55</v>
      </c>
      <c r="V129" s="1" t="s">
        <v>88</v>
      </c>
      <c r="W129" s="1" t="s">
        <v>42</v>
      </c>
      <c r="X129" s="1" t="s">
        <v>42</v>
      </c>
      <c r="Y129" s="1" t="s">
        <v>56</v>
      </c>
      <c r="Z129" s="1" t="s">
        <v>42</v>
      </c>
      <c r="AA129" s="1" t="s">
        <v>42</v>
      </c>
      <c r="AB129" s="1" t="s">
        <v>42</v>
      </c>
      <c r="AC129" s="1" t="s">
        <v>42</v>
      </c>
      <c r="AD129" s="1" t="s">
        <v>42</v>
      </c>
      <c r="AE129" s="1" t="s">
        <v>56</v>
      </c>
      <c r="AF129" s="1" t="s">
        <v>42</v>
      </c>
      <c r="AG129" s="1" t="s">
        <v>42</v>
      </c>
      <c r="AH129" s="1" t="s">
        <v>42</v>
      </c>
      <c r="AI129" s="12">
        <v>54.17</v>
      </c>
      <c r="AJ129" s="3">
        <v>71.33</v>
      </c>
      <c r="AK129" s="3"/>
      <c r="AL129" s="3"/>
      <c r="AM129" s="1" t="s">
        <v>90</v>
      </c>
      <c r="AN129" s="1" t="s">
        <v>91</v>
      </c>
      <c r="AO129" s="1" t="s">
        <v>92</v>
      </c>
      <c r="AP129" s="1" t="s">
        <v>93</v>
      </c>
      <c r="AQ129" s="1" t="s">
        <v>433</v>
      </c>
      <c r="AR129" s="1" t="s">
        <v>46</v>
      </c>
      <c r="AS129" s="4">
        <v>28.96</v>
      </c>
      <c r="AT129" s="31">
        <v>48</v>
      </c>
      <c r="AU129" s="5">
        <v>48</v>
      </c>
      <c r="AV129" s="4">
        <v>6.8</v>
      </c>
      <c r="AW129" s="15">
        <f>AT129-AZ129</f>
        <v>0</v>
      </c>
      <c r="AX129" s="4">
        <f>AW129/AT129*100</f>
        <v>0</v>
      </c>
      <c r="AY129" s="4">
        <v>25.92</v>
      </c>
      <c r="AZ129" s="5">
        <v>48</v>
      </c>
      <c r="BA129" s="4">
        <v>6.72</v>
      </c>
      <c r="BB129" s="4"/>
      <c r="BC129" s="4"/>
      <c r="BD129" s="4"/>
      <c r="BE129" s="1" t="s">
        <v>94</v>
      </c>
      <c r="BF129" s="1">
        <v>365</v>
      </c>
      <c r="BG129" s="1">
        <v>365</v>
      </c>
      <c r="BH129">
        <f>BF129-BG129</f>
        <v>0</v>
      </c>
      <c r="BI129" s="6"/>
    </row>
    <row r="130" spans="1:61" x14ac:dyDescent="0.2">
      <c r="A130" t="s">
        <v>338</v>
      </c>
      <c r="B130" s="1" t="s">
        <v>84</v>
      </c>
      <c r="C130" s="1">
        <v>2012</v>
      </c>
      <c r="D130" s="1" t="s">
        <v>85</v>
      </c>
      <c r="E130" s="1" t="s">
        <v>51</v>
      </c>
      <c r="F130" s="1" t="s">
        <v>356</v>
      </c>
      <c r="G130" s="2" t="s">
        <v>356</v>
      </c>
      <c r="H130" s="1" t="s">
        <v>51</v>
      </c>
      <c r="I130" s="1" t="s">
        <v>51</v>
      </c>
      <c r="J130" s="1" t="s">
        <v>86</v>
      </c>
      <c r="K130" s="1" t="s">
        <v>371</v>
      </c>
      <c r="L130" s="1"/>
      <c r="M130" s="1"/>
      <c r="N130" s="1" t="s">
        <v>87</v>
      </c>
      <c r="O130" s="1" t="s">
        <v>432</v>
      </c>
      <c r="P130" s="1" t="s">
        <v>404</v>
      </c>
      <c r="Q130" s="1" t="s">
        <v>431</v>
      </c>
      <c r="R130" s="1" t="s">
        <v>373</v>
      </c>
      <c r="S130" s="1" t="s">
        <v>37</v>
      </c>
      <c r="T130" s="1" t="s">
        <v>38</v>
      </c>
      <c r="U130" s="1" t="s">
        <v>55</v>
      </c>
      <c r="V130" s="1" t="s">
        <v>88</v>
      </c>
      <c r="W130" s="1" t="s">
        <v>42</v>
      </c>
      <c r="X130" s="1" t="s">
        <v>42</v>
      </c>
      <c r="Y130" s="1" t="s">
        <v>56</v>
      </c>
      <c r="Z130" s="1" t="s">
        <v>42</v>
      </c>
      <c r="AA130" s="1" t="s">
        <v>42</v>
      </c>
      <c r="AB130" s="1" t="s">
        <v>42</v>
      </c>
      <c r="AC130" s="1" t="s">
        <v>42</v>
      </c>
      <c r="AD130" s="1" t="s">
        <v>42</v>
      </c>
      <c r="AE130" s="1" t="s">
        <v>56</v>
      </c>
      <c r="AF130" s="1" t="s">
        <v>42</v>
      </c>
      <c r="AG130" s="1" t="s">
        <v>42</v>
      </c>
      <c r="AH130" s="1" t="s">
        <v>42</v>
      </c>
      <c r="AI130" s="12">
        <v>54.17</v>
      </c>
      <c r="AJ130" s="3">
        <v>71.33</v>
      </c>
      <c r="AK130" s="3"/>
      <c r="AL130" s="3"/>
      <c r="AM130" s="1" t="s">
        <v>90</v>
      </c>
      <c r="AN130" s="1" t="s">
        <v>91</v>
      </c>
      <c r="AO130" s="1" t="s">
        <v>92</v>
      </c>
      <c r="AP130" s="1" t="s">
        <v>252</v>
      </c>
      <c r="AQ130" s="1" t="s">
        <v>435</v>
      </c>
      <c r="AR130" s="1" t="s">
        <v>46</v>
      </c>
      <c r="AS130" s="4">
        <v>34.96</v>
      </c>
      <c r="AT130" s="31">
        <v>48</v>
      </c>
      <c r="AU130" s="5">
        <v>48</v>
      </c>
      <c r="AV130" s="4">
        <v>6.8</v>
      </c>
      <c r="AW130" s="15">
        <f>AT130-AZ130</f>
        <v>0</v>
      </c>
      <c r="AX130" s="4">
        <f>AW130/AT130*100</f>
        <v>0</v>
      </c>
      <c r="AY130" s="4">
        <v>32.04</v>
      </c>
      <c r="AZ130" s="5">
        <v>48</v>
      </c>
      <c r="BA130" s="4">
        <v>6.79</v>
      </c>
      <c r="BB130" s="4"/>
      <c r="BC130" s="4"/>
      <c r="BD130" s="4"/>
      <c r="BE130" s="1" t="s">
        <v>94</v>
      </c>
      <c r="BF130" s="1">
        <v>365</v>
      </c>
      <c r="BG130" s="1">
        <v>365</v>
      </c>
      <c r="BH130">
        <f>BF130-BG130</f>
        <v>0</v>
      </c>
      <c r="BI130" s="6"/>
    </row>
    <row r="131" spans="1:61" x14ac:dyDescent="0.2">
      <c r="A131" t="s">
        <v>338</v>
      </c>
      <c r="B131" s="1" t="s">
        <v>84</v>
      </c>
      <c r="C131" s="1">
        <v>2012</v>
      </c>
      <c r="D131" s="1" t="s">
        <v>85</v>
      </c>
      <c r="E131" s="1" t="s">
        <v>51</v>
      </c>
      <c r="F131" s="1" t="s">
        <v>356</v>
      </c>
      <c r="G131" s="2" t="s">
        <v>356</v>
      </c>
      <c r="H131" s="1" t="s">
        <v>51</v>
      </c>
      <c r="I131" s="1" t="s">
        <v>51</v>
      </c>
      <c r="J131" s="1" t="s">
        <v>86</v>
      </c>
      <c r="K131" s="1" t="s">
        <v>371</v>
      </c>
      <c r="L131" s="1"/>
      <c r="M131" s="1"/>
      <c r="N131" s="1" t="s">
        <v>87</v>
      </c>
      <c r="O131" s="1" t="s">
        <v>432</v>
      </c>
      <c r="P131" s="1" t="s">
        <v>404</v>
      </c>
      <c r="Q131" s="1" t="s">
        <v>431</v>
      </c>
      <c r="R131" s="1" t="s">
        <v>373</v>
      </c>
      <c r="S131" s="1" t="s">
        <v>37</v>
      </c>
      <c r="T131" s="1" t="s">
        <v>38</v>
      </c>
      <c r="U131" s="1" t="s">
        <v>55</v>
      </c>
      <c r="V131" s="1" t="s">
        <v>88</v>
      </c>
      <c r="W131" s="1" t="s">
        <v>42</v>
      </c>
      <c r="X131" s="1" t="s">
        <v>42</v>
      </c>
      <c r="Y131" s="1" t="s">
        <v>56</v>
      </c>
      <c r="Z131" s="1" t="s">
        <v>42</v>
      </c>
      <c r="AA131" s="1" t="s">
        <v>42</v>
      </c>
      <c r="AB131" s="1" t="s">
        <v>42</v>
      </c>
      <c r="AC131" s="1" t="s">
        <v>42</v>
      </c>
      <c r="AD131" s="1" t="s">
        <v>42</v>
      </c>
      <c r="AE131" s="1" t="s">
        <v>56</v>
      </c>
      <c r="AF131" s="1" t="s">
        <v>42</v>
      </c>
      <c r="AG131" s="1" t="s">
        <v>42</v>
      </c>
      <c r="AH131" s="1" t="s">
        <v>42</v>
      </c>
      <c r="AI131" s="12">
        <v>54.17</v>
      </c>
      <c r="AJ131" s="3">
        <v>71.33</v>
      </c>
      <c r="AK131" s="3"/>
      <c r="AL131" s="3"/>
      <c r="AM131" s="1" t="s">
        <v>90</v>
      </c>
      <c r="AN131" s="1" t="s">
        <v>91</v>
      </c>
      <c r="AO131" s="1" t="s">
        <v>92</v>
      </c>
      <c r="AP131" s="1" t="s">
        <v>316</v>
      </c>
      <c r="AQ131" s="1" t="s">
        <v>436</v>
      </c>
      <c r="AR131" s="1" t="s">
        <v>46</v>
      </c>
      <c r="AS131" s="4">
        <v>13.52</v>
      </c>
      <c r="AT131" s="31">
        <v>48</v>
      </c>
      <c r="AU131" s="5">
        <v>48</v>
      </c>
      <c r="AV131" s="4">
        <v>4.74</v>
      </c>
      <c r="AW131" s="15">
        <f>AT131-AZ131</f>
        <v>0</v>
      </c>
      <c r="AX131" s="4">
        <f>AW131/AT131*100</f>
        <v>0</v>
      </c>
      <c r="AY131" s="4">
        <v>11.21</v>
      </c>
      <c r="AZ131" s="5">
        <v>48</v>
      </c>
      <c r="BA131" s="4">
        <v>4.82</v>
      </c>
      <c r="BB131" s="4"/>
      <c r="BC131" s="4"/>
      <c r="BD131" s="4"/>
      <c r="BE131" s="1" t="s">
        <v>94</v>
      </c>
      <c r="BF131" s="1">
        <v>365</v>
      </c>
      <c r="BG131" s="1">
        <v>365</v>
      </c>
      <c r="BH131">
        <f>BF131-BG131</f>
        <v>0</v>
      </c>
      <c r="BI131" s="6"/>
    </row>
    <row r="132" spans="1:61" x14ac:dyDescent="0.2">
      <c r="A132" t="s">
        <v>338</v>
      </c>
      <c r="B132" s="1" t="s">
        <v>84</v>
      </c>
      <c r="C132" s="1">
        <v>2012</v>
      </c>
      <c r="D132" s="1" t="s">
        <v>85</v>
      </c>
      <c r="E132" s="1" t="s">
        <v>51</v>
      </c>
      <c r="F132" s="1" t="s">
        <v>356</v>
      </c>
      <c r="G132" s="2" t="s">
        <v>356</v>
      </c>
      <c r="H132" s="1" t="s">
        <v>51</v>
      </c>
      <c r="I132" s="1" t="s">
        <v>51</v>
      </c>
      <c r="J132" s="1" t="s">
        <v>86</v>
      </c>
      <c r="K132" s="1" t="s">
        <v>371</v>
      </c>
      <c r="L132" s="1"/>
      <c r="M132" s="1"/>
      <c r="N132" s="1" t="s">
        <v>87</v>
      </c>
      <c r="O132" s="1" t="s">
        <v>432</v>
      </c>
      <c r="P132" s="1" t="s">
        <v>404</v>
      </c>
      <c r="Q132" s="1" t="s">
        <v>431</v>
      </c>
      <c r="R132" s="1" t="s">
        <v>373</v>
      </c>
      <c r="S132" s="1" t="s">
        <v>37</v>
      </c>
      <c r="T132" s="1" t="s">
        <v>38</v>
      </c>
      <c r="U132" s="1" t="s">
        <v>55</v>
      </c>
      <c r="V132" s="1" t="s">
        <v>88</v>
      </c>
      <c r="W132" s="1" t="s">
        <v>42</v>
      </c>
      <c r="X132" s="1" t="s">
        <v>42</v>
      </c>
      <c r="Y132" s="1" t="s">
        <v>56</v>
      </c>
      <c r="Z132" s="1" t="s">
        <v>42</v>
      </c>
      <c r="AA132" s="1" t="s">
        <v>42</v>
      </c>
      <c r="AB132" s="1" t="s">
        <v>42</v>
      </c>
      <c r="AC132" s="1" t="s">
        <v>42</v>
      </c>
      <c r="AD132" s="1" t="s">
        <v>42</v>
      </c>
      <c r="AE132" s="1" t="s">
        <v>56</v>
      </c>
      <c r="AF132" s="1" t="s">
        <v>42</v>
      </c>
      <c r="AG132" s="1" t="s">
        <v>42</v>
      </c>
      <c r="AH132" s="1" t="s">
        <v>42</v>
      </c>
      <c r="AI132" s="12">
        <v>54.17</v>
      </c>
      <c r="AJ132" s="3">
        <v>71.33</v>
      </c>
      <c r="AK132" s="3"/>
      <c r="AL132" s="3"/>
      <c r="AM132" s="1" t="s">
        <v>90</v>
      </c>
      <c r="AN132" s="1" t="s">
        <v>91</v>
      </c>
      <c r="AO132" s="1" t="s">
        <v>92</v>
      </c>
      <c r="AP132" s="1" t="s">
        <v>438</v>
      </c>
      <c r="AQ132" s="1" t="s">
        <v>437</v>
      </c>
      <c r="AR132" s="1" t="s">
        <v>46</v>
      </c>
      <c r="AS132" s="4">
        <v>3.85</v>
      </c>
      <c r="AT132" s="31">
        <v>48</v>
      </c>
      <c r="AU132" s="5">
        <v>48</v>
      </c>
      <c r="AV132" s="4">
        <v>0.77</v>
      </c>
      <c r="AW132" s="15">
        <f>AT132-AZ132</f>
        <v>0</v>
      </c>
      <c r="AX132" s="4">
        <f>AW132/AT132*100</f>
        <v>0</v>
      </c>
      <c r="AY132" s="4">
        <v>3.48</v>
      </c>
      <c r="AZ132" s="5">
        <v>48</v>
      </c>
      <c r="BA132" s="4">
        <v>0.95</v>
      </c>
      <c r="BB132" s="4"/>
      <c r="BC132" s="4"/>
      <c r="BD132" s="4"/>
      <c r="BE132" s="1" t="s">
        <v>94</v>
      </c>
      <c r="BF132" s="1">
        <v>365</v>
      </c>
      <c r="BG132" s="1">
        <v>365</v>
      </c>
      <c r="BH132">
        <f>BF132-BG132</f>
        <v>0</v>
      </c>
      <c r="BI132" s="6"/>
    </row>
    <row r="133" spans="1:61" x14ac:dyDescent="0.2">
      <c r="A133" t="s">
        <v>338</v>
      </c>
      <c r="B133" s="1" t="s">
        <v>135</v>
      </c>
      <c r="C133" s="1">
        <v>2018</v>
      </c>
      <c r="D133" s="1" t="s">
        <v>142</v>
      </c>
      <c r="E133" s="1" t="s">
        <v>51</v>
      </c>
      <c r="F133" s="1" t="s">
        <v>356</v>
      </c>
      <c r="G133" s="2" t="s">
        <v>356</v>
      </c>
      <c r="H133" s="1" t="s">
        <v>51</v>
      </c>
      <c r="I133" s="1" t="s">
        <v>51</v>
      </c>
      <c r="J133" s="1" t="s">
        <v>137</v>
      </c>
      <c r="K133" s="2" t="s">
        <v>372</v>
      </c>
      <c r="L133" s="2"/>
      <c r="M133" s="2"/>
      <c r="N133" s="1" t="s">
        <v>138</v>
      </c>
      <c r="O133" s="1" t="s">
        <v>461</v>
      </c>
      <c r="P133" s="2" t="s">
        <v>379</v>
      </c>
      <c r="Q133" s="2" t="s">
        <v>460</v>
      </c>
      <c r="R133" s="1" t="s">
        <v>373</v>
      </c>
      <c r="S133" s="1" t="s">
        <v>54</v>
      </c>
      <c r="T133" s="1" t="s">
        <v>38</v>
      </c>
      <c r="U133" s="1" t="s">
        <v>55</v>
      </c>
      <c r="V133" s="1" t="s">
        <v>40</v>
      </c>
      <c r="W133" s="1" t="s">
        <v>42</v>
      </c>
      <c r="X133" s="1" t="s">
        <v>42</v>
      </c>
      <c r="Y133" s="1" t="s">
        <v>56</v>
      </c>
      <c r="Z133" s="1" t="s">
        <v>41</v>
      </c>
      <c r="AA133" s="1" t="s">
        <v>42</v>
      </c>
      <c r="AB133" s="1" t="s">
        <v>41</v>
      </c>
      <c r="AC133" s="1" t="s">
        <v>42</v>
      </c>
      <c r="AD133" s="1" t="s">
        <v>42</v>
      </c>
      <c r="AE133" s="1" t="s">
        <v>56</v>
      </c>
      <c r="AF133" s="1" t="s">
        <v>41</v>
      </c>
      <c r="AG133" s="1" t="s">
        <v>42</v>
      </c>
      <c r="AH133" s="1" t="s">
        <v>41</v>
      </c>
      <c r="AI133" s="3"/>
      <c r="AJ133" s="3"/>
      <c r="AK133" s="3">
        <v>55.66</v>
      </c>
      <c r="AL133" s="3">
        <v>72.2</v>
      </c>
      <c r="AM133" s="1" t="s">
        <v>143</v>
      </c>
      <c r="AN133" s="1" t="s">
        <v>144</v>
      </c>
      <c r="AO133" s="1"/>
      <c r="AP133" s="16" t="s">
        <v>332</v>
      </c>
      <c r="AQ133" s="16" t="s">
        <v>255</v>
      </c>
      <c r="AR133" s="16" t="s">
        <v>46</v>
      </c>
      <c r="AS133" s="18">
        <v>37.19</v>
      </c>
      <c r="AT133" s="36">
        <v>40</v>
      </c>
      <c r="AU133" s="19">
        <v>36</v>
      </c>
      <c r="AV133" s="18">
        <v>6.03</v>
      </c>
      <c r="AW133" s="15">
        <f>AT133-AZ133</f>
        <v>4</v>
      </c>
      <c r="AX133" s="4">
        <f>AW133/AT133*100</f>
        <v>10</v>
      </c>
      <c r="AY133" s="18">
        <v>39.19</v>
      </c>
      <c r="AZ133" s="19">
        <v>36</v>
      </c>
      <c r="BA133" s="18">
        <v>4.5199999999999898</v>
      </c>
      <c r="BB133" s="4"/>
      <c r="BC133" s="4"/>
      <c r="BD133" s="4"/>
      <c r="BE133" s="1" t="s">
        <v>47</v>
      </c>
      <c r="BF133" s="1">
        <v>56</v>
      </c>
      <c r="BG133" s="1">
        <v>35</v>
      </c>
      <c r="BH133">
        <f>BF133-BG133</f>
        <v>21</v>
      </c>
      <c r="BI133" s="6"/>
    </row>
    <row r="134" spans="1:61" x14ac:dyDescent="0.2">
      <c r="A134" t="s">
        <v>338</v>
      </c>
      <c r="B134" s="1" t="s">
        <v>135</v>
      </c>
      <c r="C134" s="1">
        <v>2018</v>
      </c>
      <c r="D134" s="1" t="s">
        <v>142</v>
      </c>
      <c r="E134" s="1" t="s">
        <v>51</v>
      </c>
      <c r="F134" s="1" t="s">
        <v>356</v>
      </c>
      <c r="G134" s="2" t="s">
        <v>356</v>
      </c>
      <c r="H134" s="1" t="s">
        <v>51</v>
      </c>
      <c r="I134" s="1" t="s">
        <v>51</v>
      </c>
      <c r="J134" s="1" t="s">
        <v>137</v>
      </c>
      <c r="K134" s="2" t="s">
        <v>372</v>
      </c>
      <c r="L134" s="2"/>
      <c r="M134" s="2"/>
      <c r="N134" s="1" t="s">
        <v>138</v>
      </c>
      <c r="O134" s="1" t="s">
        <v>461</v>
      </c>
      <c r="P134" s="2" t="s">
        <v>379</v>
      </c>
      <c r="Q134" s="2" t="s">
        <v>460</v>
      </c>
      <c r="R134" s="1" t="s">
        <v>373</v>
      </c>
      <c r="S134" s="1" t="s">
        <v>54</v>
      </c>
      <c r="T134" s="1" t="s">
        <v>38</v>
      </c>
      <c r="U134" s="1" t="s">
        <v>55</v>
      </c>
      <c r="V134" s="1" t="s">
        <v>40</v>
      </c>
      <c r="W134" s="1" t="s">
        <v>42</v>
      </c>
      <c r="X134" s="1" t="s">
        <v>42</v>
      </c>
      <c r="Y134" s="1" t="s">
        <v>56</v>
      </c>
      <c r="Z134" s="1" t="s">
        <v>41</v>
      </c>
      <c r="AA134" s="1" t="s">
        <v>42</v>
      </c>
      <c r="AB134" s="1" t="s">
        <v>41</v>
      </c>
      <c r="AC134" s="1" t="s">
        <v>42</v>
      </c>
      <c r="AD134" s="1" t="s">
        <v>42</v>
      </c>
      <c r="AE134" s="1" t="s">
        <v>56</v>
      </c>
      <c r="AF134" s="1" t="s">
        <v>41</v>
      </c>
      <c r="AG134" s="1" t="s">
        <v>42</v>
      </c>
      <c r="AH134" s="1" t="s">
        <v>41</v>
      </c>
      <c r="AI134" s="3"/>
      <c r="AJ134" s="3"/>
      <c r="AK134" s="3">
        <v>55.66</v>
      </c>
      <c r="AL134" s="3">
        <v>72.2</v>
      </c>
      <c r="AM134" s="1" t="s">
        <v>143</v>
      </c>
      <c r="AN134" s="1" t="s">
        <v>144</v>
      </c>
      <c r="AO134" s="1"/>
      <c r="AP134" s="16" t="s">
        <v>332</v>
      </c>
      <c r="AQ134" s="16" t="s">
        <v>255</v>
      </c>
      <c r="AR134" s="16" t="s">
        <v>46</v>
      </c>
      <c r="AS134" s="18">
        <v>37.19</v>
      </c>
      <c r="AT134" s="36">
        <v>40</v>
      </c>
      <c r="AU134" s="19">
        <v>36</v>
      </c>
      <c r="AV134" s="18">
        <v>6.03</v>
      </c>
      <c r="AW134" s="15">
        <f>AT134-AZ134</f>
        <v>4</v>
      </c>
      <c r="AX134" s="4">
        <f>AW134/AT134*100</f>
        <v>10</v>
      </c>
      <c r="AY134" s="18">
        <v>37.36</v>
      </c>
      <c r="AZ134" s="19">
        <v>36</v>
      </c>
      <c r="BA134" s="18">
        <v>5.89</v>
      </c>
      <c r="BB134" s="4"/>
      <c r="BC134" s="4"/>
      <c r="BD134" s="4"/>
      <c r="BE134" s="1" t="s">
        <v>141</v>
      </c>
      <c r="BF134" s="1">
        <f>12*7</f>
        <v>84</v>
      </c>
      <c r="BG134" s="1">
        <v>35</v>
      </c>
      <c r="BH134">
        <f>BF134-BG134</f>
        <v>49</v>
      </c>
      <c r="BI134" s="6"/>
    </row>
    <row r="135" spans="1:61" x14ac:dyDescent="0.2">
      <c r="A135" t="s">
        <v>338</v>
      </c>
      <c r="B135" s="1" t="s">
        <v>135</v>
      </c>
      <c r="C135" s="1">
        <v>2018</v>
      </c>
      <c r="D135" s="1" t="s">
        <v>142</v>
      </c>
      <c r="E135" s="1" t="s">
        <v>51</v>
      </c>
      <c r="F135" s="1" t="s">
        <v>356</v>
      </c>
      <c r="G135" s="2" t="s">
        <v>356</v>
      </c>
      <c r="H135" s="1" t="s">
        <v>51</v>
      </c>
      <c r="I135" s="1" t="s">
        <v>51</v>
      </c>
      <c r="J135" s="1" t="s">
        <v>137</v>
      </c>
      <c r="K135" s="2" t="s">
        <v>372</v>
      </c>
      <c r="L135" s="2"/>
      <c r="M135" s="2"/>
      <c r="N135" s="1" t="s">
        <v>138</v>
      </c>
      <c r="O135" s="1" t="s">
        <v>461</v>
      </c>
      <c r="P135" s="2" t="s">
        <v>379</v>
      </c>
      <c r="Q135" s="2" t="s">
        <v>460</v>
      </c>
      <c r="R135" s="1" t="s">
        <v>373</v>
      </c>
      <c r="S135" s="1" t="s">
        <v>54</v>
      </c>
      <c r="T135" s="1" t="s">
        <v>38</v>
      </c>
      <c r="U135" s="1" t="s">
        <v>55</v>
      </c>
      <c r="V135" s="1" t="s">
        <v>40</v>
      </c>
      <c r="W135" s="1" t="s">
        <v>42</v>
      </c>
      <c r="X135" s="1" t="s">
        <v>42</v>
      </c>
      <c r="Y135" s="1" t="s">
        <v>56</v>
      </c>
      <c r="Z135" s="1" t="s">
        <v>41</v>
      </c>
      <c r="AA135" s="1" t="s">
        <v>42</v>
      </c>
      <c r="AB135" s="1" t="s">
        <v>41</v>
      </c>
      <c r="AC135" s="1" t="s">
        <v>42</v>
      </c>
      <c r="AD135" s="1" t="s">
        <v>42</v>
      </c>
      <c r="AE135" s="1" t="s">
        <v>56</v>
      </c>
      <c r="AF135" s="1" t="s">
        <v>41</v>
      </c>
      <c r="AG135" s="1" t="s">
        <v>42</v>
      </c>
      <c r="AH135" s="1" t="s">
        <v>41</v>
      </c>
      <c r="AI135" s="3"/>
      <c r="AJ135" s="3"/>
      <c r="AK135" s="3">
        <v>55.66</v>
      </c>
      <c r="AL135" s="3">
        <v>72.2</v>
      </c>
      <c r="AM135" s="1" t="s">
        <v>143</v>
      </c>
      <c r="AN135" s="1" t="s">
        <v>144</v>
      </c>
      <c r="AO135" s="1"/>
      <c r="AP135" s="16" t="s">
        <v>332</v>
      </c>
      <c r="AQ135" s="16" t="s">
        <v>255</v>
      </c>
      <c r="AR135" s="16" t="s">
        <v>46</v>
      </c>
      <c r="AS135" s="18">
        <v>37.19</v>
      </c>
      <c r="AT135" s="36">
        <v>40</v>
      </c>
      <c r="AU135" s="19">
        <v>36</v>
      </c>
      <c r="AV135" s="18">
        <v>6.03</v>
      </c>
      <c r="AW135" s="15">
        <f>AT135-AZ135</f>
        <v>4</v>
      </c>
      <c r="AX135" s="4">
        <f>AW135/AT135*100</f>
        <v>10</v>
      </c>
      <c r="AY135" s="18">
        <v>37.75</v>
      </c>
      <c r="AZ135" s="19">
        <v>36</v>
      </c>
      <c r="BA135" s="18">
        <v>3.86</v>
      </c>
      <c r="BB135" s="4"/>
      <c r="BC135" s="4"/>
      <c r="BD135" s="4"/>
      <c r="BE135" s="1" t="s">
        <v>145</v>
      </c>
      <c r="BF135" s="1">
        <v>140</v>
      </c>
      <c r="BG135" s="1">
        <v>35</v>
      </c>
      <c r="BH135">
        <f>BF135-BG135</f>
        <v>105</v>
      </c>
      <c r="BI135" s="6"/>
    </row>
    <row r="136" spans="1:61" x14ac:dyDescent="0.2">
      <c r="A136" t="s">
        <v>338</v>
      </c>
      <c r="B136" s="1" t="s">
        <v>135</v>
      </c>
      <c r="C136" s="1">
        <v>2018</v>
      </c>
      <c r="D136" s="1" t="s">
        <v>142</v>
      </c>
      <c r="E136" s="1" t="s">
        <v>51</v>
      </c>
      <c r="F136" s="1" t="s">
        <v>356</v>
      </c>
      <c r="G136" s="2" t="s">
        <v>356</v>
      </c>
      <c r="H136" s="1" t="s">
        <v>51</v>
      </c>
      <c r="I136" s="1" t="s">
        <v>51</v>
      </c>
      <c r="J136" s="1" t="s">
        <v>137</v>
      </c>
      <c r="K136" s="2" t="s">
        <v>372</v>
      </c>
      <c r="L136" s="2"/>
      <c r="M136" s="2"/>
      <c r="N136" s="1" t="s">
        <v>138</v>
      </c>
      <c r="O136" s="1" t="s">
        <v>461</v>
      </c>
      <c r="P136" s="2" t="s">
        <v>379</v>
      </c>
      <c r="Q136" s="2" t="s">
        <v>460</v>
      </c>
      <c r="R136" s="1" t="s">
        <v>373</v>
      </c>
      <c r="S136" s="1" t="s">
        <v>54</v>
      </c>
      <c r="T136" s="1" t="s">
        <v>38</v>
      </c>
      <c r="U136" s="1" t="s">
        <v>55</v>
      </c>
      <c r="V136" s="1" t="s">
        <v>40</v>
      </c>
      <c r="W136" s="1" t="s">
        <v>42</v>
      </c>
      <c r="X136" s="1" t="s">
        <v>42</v>
      </c>
      <c r="Y136" s="1" t="s">
        <v>56</v>
      </c>
      <c r="Z136" s="1" t="s">
        <v>41</v>
      </c>
      <c r="AA136" s="1" t="s">
        <v>42</v>
      </c>
      <c r="AB136" s="1" t="s">
        <v>41</v>
      </c>
      <c r="AC136" s="1" t="s">
        <v>42</v>
      </c>
      <c r="AD136" s="1" t="s">
        <v>42</v>
      </c>
      <c r="AE136" s="1" t="s">
        <v>56</v>
      </c>
      <c r="AF136" s="1" t="s">
        <v>41</v>
      </c>
      <c r="AG136" s="1" t="s">
        <v>42</v>
      </c>
      <c r="AH136" s="1" t="s">
        <v>41</v>
      </c>
      <c r="AI136" s="3"/>
      <c r="AJ136" s="3"/>
      <c r="AK136" s="3">
        <v>55.66</v>
      </c>
      <c r="AL136" s="3">
        <v>72.2</v>
      </c>
      <c r="AM136" s="1" t="s">
        <v>139</v>
      </c>
      <c r="AN136" s="1" t="s">
        <v>140</v>
      </c>
      <c r="AO136" s="1" t="s">
        <v>43</v>
      </c>
      <c r="AP136" s="16" t="s">
        <v>339</v>
      </c>
      <c r="AQ136" s="16" t="s">
        <v>340</v>
      </c>
      <c r="AR136" s="16" t="s">
        <v>46</v>
      </c>
      <c r="AS136" s="18">
        <v>79.77</v>
      </c>
      <c r="AT136" s="36">
        <v>40</v>
      </c>
      <c r="AU136" s="19">
        <v>36</v>
      </c>
      <c r="AV136" s="18">
        <v>11.02</v>
      </c>
      <c r="AW136" s="15">
        <f>AT136-AZ136</f>
        <v>4</v>
      </c>
      <c r="AX136" s="4">
        <f>AW136/AT136*100</f>
        <v>10</v>
      </c>
      <c r="AY136" s="18">
        <v>100.11</v>
      </c>
      <c r="AZ136" s="19">
        <v>36</v>
      </c>
      <c r="BA136" s="18">
        <v>10.49</v>
      </c>
      <c r="BB136" s="4"/>
      <c r="BC136" s="4"/>
      <c r="BD136" s="4"/>
      <c r="BE136" s="1" t="s">
        <v>47</v>
      </c>
      <c r="BF136" s="1">
        <v>56</v>
      </c>
      <c r="BG136" s="1">
        <v>35</v>
      </c>
      <c r="BH136">
        <f>BF136-BG136</f>
        <v>21</v>
      </c>
      <c r="BI136" s="6"/>
    </row>
    <row r="137" spans="1:61" x14ac:dyDescent="0.2">
      <c r="A137" t="s">
        <v>338</v>
      </c>
      <c r="B137" s="1" t="s">
        <v>135</v>
      </c>
      <c r="C137" s="1">
        <v>2018</v>
      </c>
      <c r="D137" s="1" t="s">
        <v>142</v>
      </c>
      <c r="E137" s="1" t="s">
        <v>51</v>
      </c>
      <c r="F137" s="1" t="s">
        <v>356</v>
      </c>
      <c r="G137" s="2" t="s">
        <v>356</v>
      </c>
      <c r="H137" s="1" t="s">
        <v>51</v>
      </c>
      <c r="I137" s="1" t="s">
        <v>51</v>
      </c>
      <c r="J137" s="1" t="s">
        <v>137</v>
      </c>
      <c r="K137" s="2" t="s">
        <v>372</v>
      </c>
      <c r="L137" s="2"/>
      <c r="M137" s="2"/>
      <c r="N137" s="1" t="s">
        <v>138</v>
      </c>
      <c r="O137" s="1" t="s">
        <v>461</v>
      </c>
      <c r="P137" s="2" t="s">
        <v>379</v>
      </c>
      <c r="Q137" s="2" t="s">
        <v>460</v>
      </c>
      <c r="R137" s="1" t="s">
        <v>373</v>
      </c>
      <c r="S137" s="1" t="s">
        <v>54</v>
      </c>
      <c r="T137" s="1" t="s">
        <v>38</v>
      </c>
      <c r="U137" s="1" t="s">
        <v>55</v>
      </c>
      <c r="V137" s="1" t="s">
        <v>40</v>
      </c>
      <c r="W137" s="1" t="s">
        <v>42</v>
      </c>
      <c r="X137" s="1" t="s">
        <v>42</v>
      </c>
      <c r="Y137" s="1" t="s">
        <v>56</v>
      </c>
      <c r="Z137" s="1" t="s">
        <v>41</v>
      </c>
      <c r="AA137" s="1" t="s">
        <v>42</v>
      </c>
      <c r="AB137" s="1" t="s">
        <v>41</v>
      </c>
      <c r="AC137" s="1" t="s">
        <v>42</v>
      </c>
      <c r="AD137" s="1" t="s">
        <v>42</v>
      </c>
      <c r="AE137" s="1" t="s">
        <v>56</v>
      </c>
      <c r="AF137" s="1" t="s">
        <v>41</v>
      </c>
      <c r="AG137" s="1" t="s">
        <v>42</v>
      </c>
      <c r="AH137" s="1" t="s">
        <v>41</v>
      </c>
      <c r="AI137" s="3"/>
      <c r="AJ137" s="3"/>
      <c r="AK137" s="3">
        <v>55.66</v>
      </c>
      <c r="AL137" s="3">
        <v>72.2</v>
      </c>
      <c r="AM137" s="1" t="s">
        <v>139</v>
      </c>
      <c r="AN137" s="1" t="s">
        <v>140</v>
      </c>
      <c r="AO137" s="1" t="s">
        <v>43</v>
      </c>
      <c r="AP137" s="16" t="s">
        <v>339</v>
      </c>
      <c r="AQ137" s="16" t="s">
        <v>340</v>
      </c>
      <c r="AR137" s="16" t="s">
        <v>46</v>
      </c>
      <c r="AS137" s="18">
        <v>79.77</v>
      </c>
      <c r="AT137" s="36">
        <v>40</v>
      </c>
      <c r="AU137" s="19">
        <v>36</v>
      </c>
      <c r="AV137" s="18">
        <v>11.02</v>
      </c>
      <c r="AW137" s="15">
        <f>AT137-AZ137</f>
        <v>4</v>
      </c>
      <c r="AX137" s="4">
        <f>AW137/AT137*100</f>
        <v>10</v>
      </c>
      <c r="AY137" s="18">
        <v>98.91</v>
      </c>
      <c r="AZ137" s="19">
        <v>36</v>
      </c>
      <c r="BA137" s="18">
        <v>11.23</v>
      </c>
      <c r="BB137" s="4"/>
      <c r="BC137" s="4"/>
      <c r="BD137" s="4"/>
      <c r="BE137" s="1" t="s">
        <v>145</v>
      </c>
      <c r="BF137" s="1">
        <v>140</v>
      </c>
      <c r="BG137" s="1">
        <v>35</v>
      </c>
      <c r="BH137">
        <f>BF137-BG137</f>
        <v>105</v>
      </c>
      <c r="BI137" s="6"/>
    </row>
    <row r="138" spans="1:61" x14ac:dyDescent="0.2">
      <c r="A138" t="s">
        <v>338</v>
      </c>
      <c r="B138" s="1" t="s">
        <v>135</v>
      </c>
      <c r="C138" s="1">
        <v>2018</v>
      </c>
      <c r="D138" s="1" t="s">
        <v>142</v>
      </c>
      <c r="E138" s="1" t="s">
        <v>51</v>
      </c>
      <c r="F138" s="1" t="s">
        <v>356</v>
      </c>
      <c r="G138" s="2" t="s">
        <v>356</v>
      </c>
      <c r="H138" s="1" t="s">
        <v>51</v>
      </c>
      <c r="I138" s="1" t="s">
        <v>51</v>
      </c>
      <c r="J138" s="1" t="s">
        <v>137</v>
      </c>
      <c r="K138" s="2" t="s">
        <v>372</v>
      </c>
      <c r="L138" s="2"/>
      <c r="M138" s="2"/>
      <c r="N138" s="1" t="s">
        <v>138</v>
      </c>
      <c r="O138" s="1" t="s">
        <v>461</v>
      </c>
      <c r="P138" s="2" t="s">
        <v>379</v>
      </c>
      <c r="Q138" s="2" t="s">
        <v>460</v>
      </c>
      <c r="R138" s="1" t="s">
        <v>373</v>
      </c>
      <c r="S138" s="1" t="s">
        <v>54</v>
      </c>
      <c r="T138" s="1" t="s">
        <v>38</v>
      </c>
      <c r="U138" s="1" t="s">
        <v>55</v>
      </c>
      <c r="V138" s="1" t="s">
        <v>40</v>
      </c>
      <c r="W138" s="1" t="s">
        <v>42</v>
      </c>
      <c r="X138" s="1" t="s">
        <v>42</v>
      </c>
      <c r="Y138" s="1" t="s">
        <v>56</v>
      </c>
      <c r="Z138" s="1" t="s">
        <v>41</v>
      </c>
      <c r="AA138" s="1" t="s">
        <v>42</v>
      </c>
      <c r="AB138" s="1" t="s">
        <v>41</v>
      </c>
      <c r="AC138" s="1" t="s">
        <v>42</v>
      </c>
      <c r="AD138" s="1" t="s">
        <v>42</v>
      </c>
      <c r="AE138" s="1" t="s">
        <v>56</v>
      </c>
      <c r="AF138" s="1" t="s">
        <v>41</v>
      </c>
      <c r="AG138" s="1" t="s">
        <v>42</v>
      </c>
      <c r="AH138" s="1" t="s">
        <v>41</v>
      </c>
      <c r="AI138" s="3"/>
      <c r="AJ138" s="3"/>
      <c r="AK138" s="3">
        <v>55.66</v>
      </c>
      <c r="AL138" s="3">
        <v>72.2</v>
      </c>
      <c r="AM138" s="1" t="s">
        <v>139</v>
      </c>
      <c r="AN138" s="1" t="s">
        <v>140</v>
      </c>
      <c r="AO138" s="1" t="s">
        <v>43</v>
      </c>
      <c r="AP138" s="16" t="s">
        <v>339</v>
      </c>
      <c r="AQ138" s="16" t="s">
        <v>340</v>
      </c>
      <c r="AR138" s="16" t="s">
        <v>46</v>
      </c>
      <c r="AS138" s="18">
        <v>79.77</v>
      </c>
      <c r="AT138" s="36">
        <v>40</v>
      </c>
      <c r="AU138" s="19">
        <v>36</v>
      </c>
      <c r="AV138" s="18">
        <v>11.02</v>
      </c>
      <c r="AW138" s="15">
        <f>AT138-AZ138</f>
        <v>4</v>
      </c>
      <c r="AX138" s="4">
        <f>AW138/AT138*100</f>
        <v>10</v>
      </c>
      <c r="AY138" s="18">
        <v>99.8</v>
      </c>
      <c r="AZ138" s="19">
        <v>36</v>
      </c>
      <c r="BA138" s="18">
        <v>11.25</v>
      </c>
      <c r="BB138" s="4"/>
      <c r="BC138" s="4"/>
      <c r="BD138" s="4"/>
      <c r="BE138" s="1" t="s">
        <v>141</v>
      </c>
      <c r="BF138" s="1">
        <f>12*7</f>
        <v>84</v>
      </c>
      <c r="BG138" s="1">
        <v>35</v>
      </c>
      <c r="BH138">
        <f>BF138-BG138</f>
        <v>49</v>
      </c>
      <c r="BI138" s="6"/>
    </row>
    <row r="139" spans="1:61" x14ac:dyDescent="0.2">
      <c r="A139" t="s">
        <v>338</v>
      </c>
      <c r="B139" s="1" t="s">
        <v>146</v>
      </c>
      <c r="C139" s="1">
        <v>2010</v>
      </c>
      <c r="D139" s="1" t="s">
        <v>50</v>
      </c>
      <c r="E139" s="1" t="s">
        <v>51</v>
      </c>
      <c r="F139" s="1" t="s">
        <v>356</v>
      </c>
      <c r="G139" s="2" t="s">
        <v>356</v>
      </c>
      <c r="H139" s="1" t="s">
        <v>51</v>
      </c>
      <c r="I139" s="1" t="s">
        <v>51</v>
      </c>
      <c r="J139" s="1" t="s">
        <v>121</v>
      </c>
      <c r="K139" s="2" t="s">
        <v>372</v>
      </c>
      <c r="L139" s="2" t="s">
        <v>398</v>
      </c>
      <c r="M139" s="2" t="s">
        <v>390</v>
      </c>
      <c r="N139" s="1" t="s">
        <v>147</v>
      </c>
      <c r="O139" s="1" t="s">
        <v>409</v>
      </c>
      <c r="P139" s="2" t="s">
        <v>379</v>
      </c>
      <c r="Q139" s="2" t="s">
        <v>462</v>
      </c>
      <c r="R139" s="1" t="s">
        <v>373</v>
      </c>
      <c r="S139" s="1" t="s">
        <v>54</v>
      </c>
      <c r="T139" s="1" t="s">
        <v>38</v>
      </c>
      <c r="U139" s="1" t="s">
        <v>115</v>
      </c>
      <c r="V139" s="1" t="s">
        <v>40</v>
      </c>
      <c r="W139" s="1" t="s">
        <v>42</v>
      </c>
      <c r="X139" s="1" t="s">
        <v>41</v>
      </c>
      <c r="Y139" s="1" t="s">
        <v>41</v>
      </c>
      <c r="Z139" s="1" t="s">
        <v>41</v>
      </c>
      <c r="AA139" s="1" t="s">
        <v>42</v>
      </c>
      <c r="AB139" s="1" t="s">
        <v>41</v>
      </c>
      <c r="AC139" s="1" t="s">
        <v>42</v>
      </c>
      <c r="AD139" s="1" t="s">
        <v>41</v>
      </c>
      <c r="AE139" s="1" t="s">
        <v>41</v>
      </c>
      <c r="AF139" s="1" t="s">
        <v>41</v>
      </c>
      <c r="AG139" s="1" t="s">
        <v>42</v>
      </c>
      <c r="AH139" s="1" t="s">
        <v>41</v>
      </c>
      <c r="AI139" s="12">
        <v>56</v>
      </c>
      <c r="AJ139" s="3">
        <v>67.72</v>
      </c>
      <c r="AK139" s="3">
        <v>46.56</v>
      </c>
      <c r="AL139" s="3">
        <v>68</v>
      </c>
      <c r="AM139" s="1" t="s">
        <v>50</v>
      </c>
      <c r="AN139" s="1" t="s">
        <v>148</v>
      </c>
      <c r="AO139" s="1"/>
      <c r="AP139" s="1" t="s">
        <v>44</v>
      </c>
      <c r="AQ139" s="1" t="s">
        <v>45</v>
      </c>
      <c r="AR139" s="1" t="s">
        <v>46</v>
      </c>
      <c r="AS139" s="4">
        <v>43.28</v>
      </c>
      <c r="AT139" s="35">
        <v>30</v>
      </c>
      <c r="AU139" s="5">
        <v>25</v>
      </c>
      <c r="AV139" s="4">
        <v>13.08</v>
      </c>
      <c r="AW139" s="15">
        <f>AT139-AZ139</f>
        <v>5</v>
      </c>
      <c r="AX139" s="4">
        <f>AW139/AT139*100</f>
        <v>16.666666666666664</v>
      </c>
      <c r="AY139" s="4">
        <v>46.8</v>
      </c>
      <c r="AZ139" s="5">
        <v>25</v>
      </c>
      <c r="BA139" s="4">
        <v>3.13</v>
      </c>
      <c r="BB139" s="4"/>
      <c r="BC139" s="4"/>
      <c r="BD139" s="4"/>
      <c r="BE139" s="1" t="s">
        <v>260</v>
      </c>
      <c r="BF139" s="1">
        <v>35</v>
      </c>
      <c r="BG139" s="1">
        <v>35</v>
      </c>
      <c r="BH139">
        <f>BF139-BG139</f>
        <v>0</v>
      </c>
      <c r="BI139" s="6"/>
    </row>
    <row r="140" spans="1:61" x14ac:dyDescent="0.2">
      <c r="A140" t="s">
        <v>338</v>
      </c>
      <c r="B140" s="1" t="s">
        <v>146</v>
      </c>
      <c r="C140" s="1">
        <v>2010</v>
      </c>
      <c r="D140" s="1" t="s">
        <v>50</v>
      </c>
      <c r="E140" s="1" t="s">
        <v>51</v>
      </c>
      <c r="F140" s="1" t="s">
        <v>356</v>
      </c>
      <c r="G140" s="2" t="s">
        <v>356</v>
      </c>
      <c r="H140" s="1" t="s">
        <v>51</v>
      </c>
      <c r="I140" s="1" t="s">
        <v>51</v>
      </c>
      <c r="J140" s="1" t="s">
        <v>121</v>
      </c>
      <c r="K140" s="2" t="s">
        <v>372</v>
      </c>
      <c r="L140" s="2" t="s">
        <v>398</v>
      </c>
      <c r="M140" s="2" t="s">
        <v>390</v>
      </c>
      <c r="N140" s="1" t="s">
        <v>147</v>
      </c>
      <c r="O140" s="1" t="s">
        <v>409</v>
      </c>
      <c r="P140" s="2" t="s">
        <v>379</v>
      </c>
      <c r="Q140" s="2" t="s">
        <v>462</v>
      </c>
      <c r="R140" s="1" t="s">
        <v>373</v>
      </c>
      <c r="S140" s="1" t="s">
        <v>54</v>
      </c>
      <c r="T140" s="1" t="s">
        <v>38</v>
      </c>
      <c r="U140" s="1" t="s">
        <v>115</v>
      </c>
      <c r="V140" s="1" t="s">
        <v>40</v>
      </c>
      <c r="W140" s="1" t="s">
        <v>42</v>
      </c>
      <c r="X140" s="1" t="s">
        <v>41</v>
      </c>
      <c r="Y140" s="1" t="s">
        <v>41</v>
      </c>
      <c r="Z140" s="1" t="s">
        <v>41</v>
      </c>
      <c r="AA140" s="1" t="s">
        <v>42</v>
      </c>
      <c r="AB140" s="1" t="s">
        <v>41</v>
      </c>
      <c r="AC140" s="1" t="s">
        <v>42</v>
      </c>
      <c r="AD140" s="1" t="s">
        <v>41</v>
      </c>
      <c r="AE140" s="1" t="s">
        <v>41</v>
      </c>
      <c r="AF140" s="1" t="s">
        <v>41</v>
      </c>
      <c r="AG140" s="1" t="s">
        <v>42</v>
      </c>
      <c r="AH140" s="1" t="s">
        <v>41</v>
      </c>
      <c r="AI140" s="12">
        <v>56</v>
      </c>
      <c r="AJ140" s="3">
        <v>67.72</v>
      </c>
      <c r="AK140" s="3">
        <v>46.56</v>
      </c>
      <c r="AL140" s="3">
        <v>68</v>
      </c>
      <c r="AM140" s="1" t="s">
        <v>50</v>
      </c>
      <c r="AN140" s="1" t="s">
        <v>148</v>
      </c>
      <c r="AO140" s="1"/>
      <c r="AP140" s="1" t="s">
        <v>44</v>
      </c>
      <c r="AQ140" s="1" t="s">
        <v>45</v>
      </c>
      <c r="AR140" s="1" t="s">
        <v>46</v>
      </c>
      <c r="AS140" s="4">
        <v>43.28</v>
      </c>
      <c r="AT140" s="35">
        <v>30</v>
      </c>
      <c r="AU140" s="5">
        <v>25</v>
      </c>
      <c r="AV140" s="4">
        <v>13.08</v>
      </c>
      <c r="AW140" s="15">
        <f>AT140-AZ140</f>
        <v>5</v>
      </c>
      <c r="AX140" s="4">
        <f>AW140/AT140*100</f>
        <v>16.666666666666664</v>
      </c>
      <c r="AY140" s="4">
        <v>64.5</v>
      </c>
      <c r="AZ140" s="5">
        <v>25</v>
      </c>
      <c r="BA140" s="4">
        <v>25.13</v>
      </c>
      <c r="BB140" s="4"/>
      <c r="BC140" s="4"/>
      <c r="BD140" s="4"/>
      <c r="BE140" s="1" t="s">
        <v>153</v>
      </c>
      <c r="BF140" s="1">
        <v>65</v>
      </c>
      <c r="BG140" s="1">
        <v>35</v>
      </c>
      <c r="BH140">
        <f>BF140-BG140</f>
        <v>30</v>
      </c>
      <c r="BI140" s="6"/>
    </row>
    <row r="141" spans="1:61" x14ac:dyDescent="0.2">
      <c r="A141" t="s">
        <v>337</v>
      </c>
      <c r="B141" s="2" t="s">
        <v>292</v>
      </c>
      <c r="C141" s="2">
        <v>2019</v>
      </c>
      <c r="D141" s="2" t="s">
        <v>208</v>
      </c>
      <c r="E141" s="2" t="s">
        <v>51</v>
      </c>
      <c r="F141" s="1" t="s">
        <v>356</v>
      </c>
      <c r="G141" s="2" t="s">
        <v>356</v>
      </c>
      <c r="H141" s="2" t="s">
        <v>51</v>
      </c>
      <c r="I141" s="2" t="s">
        <v>51</v>
      </c>
      <c r="J141" s="2" t="s">
        <v>86</v>
      </c>
      <c r="K141" s="2" t="s">
        <v>372</v>
      </c>
      <c r="L141" s="2" t="s">
        <v>407</v>
      </c>
      <c r="M141" s="2" t="s">
        <v>399</v>
      </c>
      <c r="N141" s="2" t="s">
        <v>293</v>
      </c>
      <c r="O141" s="2" t="s">
        <v>306</v>
      </c>
      <c r="P141" s="2" t="s">
        <v>382</v>
      </c>
      <c r="Q141" s="2" t="s">
        <v>293</v>
      </c>
      <c r="R141" s="1" t="s">
        <v>373</v>
      </c>
      <c r="S141" s="2" t="s">
        <v>294</v>
      </c>
      <c r="T141" s="2" t="s">
        <v>38</v>
      </c>
      <c r="U141" s="2" t="s">
        <v>70</v>
      </c>
      <c r="V141" s="2" t="s">
        <v>40</v>
      </c>
      <c r="W141" s="2" t="s">
        <v>56</v>
      </c>
      <c r="X141" s="2" t="s">
        <v>41</v>
      </c>
      <c r="Y141" s="2" t="s">
        <v>41</v>
      </c>
      <c r="Z141" s="2" t="s">
        <v>41</v>
      </c>
      <c r="AA141" s="2" t="s">
        <v>42</v>
      </c>
      <c r="AB141" s="2" t="s">
        <v>41</v>
      </c>
      <c r="AC141" s="2" t="s">
        <v>56</v>
      </c>
      <c r="AD141" s="2" t="s">
        <v>287</v>
      </c>
      <c r="AE141" s="2" t="s">
        <v>42</v>
      </c>
      <c r="AF141" s="2" t="s">
        <v>42</v>
      </c>
      <c r="AG141" s="2" t="s">
        <v>42</v>
      </c>
      <c r="AH141" s="2" t="s">
        <v>42</v>
      </c>
      <c r="AI141" s="7">
        <v>63.39</v>
      </c>
      <c r="AJ141" s="7">
        <v>79.959999999999994</v>
      </c>
      <c r="AK141" s="7">
        <v>62.09</v>
      </c>
      <c r="AL141" s="7">
        <v>69.64</v>
      </c>
      <c r="AM141" s="2" t="s">
        <v>307</v>
      </c>
      <c r="AN141" s="2"/>
      <c r="AO141" s="2"/>
      <c r="AP141" s="1" t="s">
        <v>134</v>
      </c>
      <c r="AQ141" s="1" t="s">
        <v>323</v>
      </c>
      <c r="AR141" s="1" t="s">
        <v>46</v>
      </c>
      <c r="AS141" s="4">
        <v>13.21</v>
      </c>
      <c r="AT141" s="31">
        <v>56</v>
      </c>
      <c r="AU141" s="5">
        <v>56</v>
      </c>
      <c r="AV141" s="4">
        <v>3.11</v>
      </c>
      <c r="AW141" s="15">
        <f>AT141-AZ141</f>
        <v>11</v>
      </c>
      <c r="AX141" s="4">
        <f>AW141/AT141*100</f>
        <v>19.642857142857142</v>
      </c>
      <c r="AY141" s="4">
        <v>11.96</v>
      </c>
      <c r="AZ141" s="5">
        <v>45</v>
      </c>
      <c r="BA141" s="4">
        <v>3.4</v>
      </c>
      <c r="BB141" s="8"/>
      <c r="BC141" s="8"/>
      <c r="BD141" s="8"/>
      <c r="BE141" s="2" t="s">
        <v>329</v>
      </c>
      <c r="BF141" s="2">
        <v>150</v>
      </c>
      <c r="BG141" s="2">
        <v>150</v>
      </c>
      <c r="BH141">
        <f>BF141-BG141</f>
        <v>0</v>
      </c>
      <c r="BI141" s="6"/>
    </row>
    <row r="142" spans="1:61" x14ac:dyDescent="0.2">
      <c r="A142" t="s">
        <v>337</v>
      </c>
      <c r="B142" s="2" t="s">
        <v>292</v>
      </c>
      <c r="C142" s="2">
        <v>2019</v>
      </c>
      <c r="D142" s="2" t="s">
        <v>208</v>
      </c>
      <c r="E142" s="2" t="s">
        <v>51</v>
      </c>
      <c r="F142" s="1" t="s">
        <v>356</v>
      </c>
      <c r="G142" s="2" t="s">
        <v>356</v>
      </c>
      <c r="H142" s="2" t="s">
        <v>51</v>
      </c>
      <c r="I142" s="2" t="s">
        <v>51</v>
      </c>
      <c r="J142" s="2" t="s">
        <v>86</v>
      </c>
      <c r="K142" s="2" t="s">
        <v>372</v>
      </c>
      <c r="L142" s="2" t="s">
        <v>407</v>
      </c>
      <c r="M142" s="2" t="s">
        <v>399</v>
      </c>
      <c r="N142" s="2" t="s">
        <v>293</v>
      </c>
      <c r="O142" s="2" t="s">
        <v>306</v>
      </c>
      <c r="P142" s="2" t="s">
        <v>382</v>
      </c>
      <c r="Q142" s="2" t="s">
        <v>293</v>
      </c>
      <c r="R142" s="1" t="s">
        <v>373</v>
      </c>
      <c r="S142" s="2" t="s">
        <v>294</v>
      </c>
      <c r="T142" s="2" t="s">
        <v>38</v>
      </c>
      <c r="U142" s="2" t="s">
        <v>70</v>
      </c>
      <c r="V142" s="2" t="s">
        <v>40</v>
      </c>
      <c r="W142" s="2" t="s">
        <v>56</v>
      </c>
      <c r="X142" s="2" t="s">
        <v>41</v>
      </c>
      <c r="Y142" s="2" t="s">
        <v>41</v>
      </c>
      <c r="Z142" s="2" t="s">
        <v>41</v>
      </c>
      <c r="AA142" s="2" t="s">
        <v>42</v>
      </c>
      <c r="AB142" s="2" t="s">
        <v>41</v>
      </c>
      <c r="AC142" s="2" t="s">
        <v>56</v>
      </c>
      <c r="AD142" s="2" t="s">
        <v>287</v>
      </c>
      <c r="AE142" s="2" t="s">
        <v>42</v>
      </c>
      <c r="AF142" s="2" t="s">
        <v>42</v>
      </c>
      <c r="AG142" s="2" t="s">
        <v>42</v>
      </c>
      <c r="AH142" s="2" t="s">
        <v>42</v>
      </c>
      <c r="AI142" s="7">
        <v>63.39</v>
      </c>
      <c r="AJ142" s="7">
        <v>79.959999999999994</v>
      </c>
      <c r="AK142" s="7">
        <v>62.09</v>
      </c>
      <c r="AL142" s="7">
        <v>69.64</v>
      </c>
      <c r="AM142" s="2" t="s">
        <v>307</v>
      </c>
      <c r="AN142" s="2"/>
      <c r="AO142" s="2"/>
      <c r="AP142" s="1" t="s">
        <v>134</v>
      </c>
      <c r="AQ142" s="1" t="s">
        <v>323</v>
      </c>
      <c r="AR142" s="1" t="s">
        <v>46</v>
      </c>
      <c r="AS142" s="4">
        <v>13.21</v>
      </c>
      <c r="AT142" s="31">
        <v>56</v>
      </c>
      <c r="AU142" s="5">
        <v>56</v>
      </c>
      <c r="AV142" s="4">
        <v>3.11</v>
      </c>
      <c r="AW142" s="15">
        <f>AT142-AZ142</f>
        <v>21</v>
      </c>
      <c r="AX142" s="4">
        <f>AW142/AT142*100</f>
        <v>37.5</v>
      </c>
      <c r="AY142" s="4">
        <v>12.21</v>
      </c>
      <c r="AZ142" s="5">
        <v>35</v>
      </c>
      <c r="BA142" s="4">
        <v>3.56</v>
      </c>
      <c r="BB142" s="8"/>
      <c r="BC142" s="8"/>
      <c r="BD142" s="8"/>
      <c r="BE142" s="2" t="s">
        <v>330</v>
      </c>
      <c r="BF142" s="2">
        <v>210</v>
      </c>
      <c r="BG142" s="2">
        <v>150</v>
      </c>
      <c r="BH142">
        <f>BF142-BG142</f>
        <v>60</v>
      </c>
      <c r="BI142" s="6"/>
    </row>
    <row r="143" spans="1:61" x14ac:dyDescent="0.2">
      <c r="A143" t="s">
        <v>337</v>
      </c>
      <c r="B143" s="2" t="s">
        <v>292</v>
      </c>
      <c r="C143" s="2">
        <v>2019</v>
      </c>
      <c r="D143" s="2" t="s">
        <v>208</v>
      </c>
      <c r="E143" s="2" t="s">
        <v>51</v>
      </c>
      <c r="F143" s="1" t="s">
        <v>356</v>
      </c>
      <c r="G143" s="2" t="s">
        <v>356</v>
      </c>
      <c r="H143" s="2" t="s">
        <v>51</v>
      </c>
      <c r="I143" s="2" t="s">
        <v>51</v>
      </c>
      <c r="J143" s="2" t="s">
        <v>86</v>
      </c>
      <c r="K143" s="2" t="s">
        <v>372</v>
      </c>
      <c r="L143" s="2" t="s">
        <v>407</v>
      </c>
      <c r="M143" s="2" t="s">
        <v>399</v>
      </c>
      <c r="N143" s="2" t="s">
        <v>293</v>
      </c>
      <c r="O143" s="2" t="s">
        <v>306</v>
      </c>
      <c r="P143" s="2" t="s">
        <v>382</v>
      </c>
      <c r="Q143" s="2" t="s">
        <v>293</v>
      </c>
      <c r="R143" s="1" t="s">
        <v>373</v>
      </c>
      <c r="S143" s="2" t="s">
        <v>294</v>
      </c>
      <c r="T143" s="2" t="s">
        <v>38</v>
      </c>
      <c r="U143" s="2" t="s">
        <v>70</v>
      </c>
      <c r="V143" s="2" t="s">
        <v>40</v>
      </c>
      <c r="W143" s="2" t="s">
        <v>56</v>
      </c>
      <c r="X143" s="2" t="s">
        <v>41</v>
      </c>
      <c r="Y143" s="2" t="s">
        <v>41</v>
      </c>
      <c r="Z143" s="2" t="s">
        <v>41</v>
      </c>
      <c r="AA143" s="2" t="s">
        <v>42</v>
      </c>
      <c r="AB143" s="2" t="s">
        <v>41</v>
      </c>
      <c r="AC143" s="2" t="s">
        <v>56</v>
      </c>
      <c r="AD143" s="2" t="s">
        <v>287</v>
      </c>
      <c r="AE143" s="2" t="s">
        <v>42</v>
      </c>
      <c r="AF143" s="2" t="s">
        <v>42</v>
      </c>
      <c r="AG143" s="2" t="s">
        <v>42</v>
      </c>
      <c r="AH143" s="2" t="s">
        <v>42</v>
      </c>
      <c r="AI143" s="7">
        <v>63.39</v>
      </c>
      <c r="AJ143" s="7">
        <v>79.959999999999994</v>
      </c>
      <c r="AK143" s="7">
        <v>62.09</v>
      </c>
      <c r="AL143" s="7">
        <v>69.64</v>
      </c>
      <c r="AM143" s="2" t="s">
        <v>307</v>
      </c>
      <c r="AN143" s="2"/>
      <c r="AO143" s="2"/>
      <c r="AP143" s="1" t="s">
        <v>464</v>
      </c>
      <c r="AQ143" s="1" t="s">
        <v>465</v>
      </c>
      <c r="AR143" s="1" t="s">
        <v>46</v>
      </c>
      <c r="AS143" s="4">
        <v>1.1499999999999999</v>
      </c>
      <c r="AT143" s="31">
        <v>56</v>
      </c>
      <c r="AU143" s="5">
        <v>56</v>
      </c>
      <c r="AV143" s="4">
        <v>0.51</v>
      </c>
      <c r="AW143" s="15">
        <f>AT143-AZ143</f>
        <v>11</v>
      </c>
      <c r="AX143" s="4">
        <f>AW143/AT143*100</f>
        <v>19.642857142857142</v>
      </c>
      <c r="AY143" s="4">
        <v>1.19</v>
      </c>
      <c r="AZ143" s="5">
        <v>45</v>
      </c>
      <c r="BA143" s="4">
        <v>0.42</v>
      </c>
      <c r="BB143" s="8"/>
      <c r="BC143" s="8"/>
      <c r="BD143" s="8"/>
      <c r="BE143" s="2" t="s">
        <v>329</v>
      </c>
      <c r="BF143" s="2">
        <v>150</v>
      </c>
      <c r="BG143" s="2">
        <v>150</v>
      </c>
      <c r="BH143">
        <f>BF143-BG143</f>
        <v>0</v>
      </c>
      <c r="BI143" s="6"/>
    </row>
    <row r="144" spans="1:61" x14ac:dyDescent="0.2">
      <c r="A144" t="s">
        <v>337</v>
      </c>
      <c r="B144" s="2" t="s">
        <v>292</v>
      </c>
      <c r="C144" s="2">
        <v>2019</v>
      </c>
      <c r="D144" s="2" t="s">
        <v>208</v>
      </c>
      <c r="E144" s="2" t="s">
        <v>51</v>
      </c>
      <c r="F144" s="1" t="s">
        <v>356</v>
      </c>
      <c r="G144" s="2" t="s">
        <v>356</v>
      </c>
      <c r="H144" s="2" t="s">
        <v>51</v>
      </c>
      <c r="I144" s="2" t="s">
        <v>51</v>
      </c>
      <c r="J144" s="2" t="s">
        <v>86</v>
      </c>
      <c r="K144" s="2" t="s">
        <v>372</v>
      </c>
      <c r="L144" s="2" t="s">
        <v>407</v>
      </c>
      <c r="M144" s="2" t="s">
        <v>399</v>
      </c>
      <c r="N144" s="2" t="s">
        <v>293</v>
      </c>
      <c r="O144" s="2" t="s">
        <v>306</v>
      </c>
      <c r="P144" s="2" t="s">
        <v>382</v>
      </c>
      <c r="Q144" s="2" t="s">
        <v>293</v>
      </c>
      <c r="R144" s="1" t="s">
        <v>373</v>
      </c>
      <c r="S144" s="2" t="s">
        <v>294</v>
      </c>
      <c r="T144" s="2" t="s">
        <v>38</v>
      </c>
      <c r="U144" s="2" t="s">
        <v>70</v>
      </c>
      <c r="V144" s="2" t="s">
        <v>40</v>
      </c>
      <c r="W144" s="2" t="s">
        <v>56</v>
      </c>
      <c r="X144" s="2" t="s">
        <v>41</v>
      </c>
      <c r="Y144" s="2" t="s">
        <v>41</v>
      </c>
      <c r="Z144" s="2" t="s">
        <v>41</v>
      </c>
      <c r="AA144" s="2" t="s">
        <v>42</v>
      </c>
      <c r="AB144" s="2" t="s">
        <v>41</v>
      </c>
      <c r="AC144" s="2" t="s">
        <v>56</v>
      </c>
      <c r="AD144" s="2" t="s">
        <v>287</v>
      </c>
      <c r="AE144" s="2" t="s">
        <v>42</v>
      </c>
      <c r="AF144" s="2" t="s">
        <v>42</v>
      </c>
      <c r="AG144" s="2" t="s">
        <v>42</v>
      </c>
      <c r="AH144" s="2" t="s">
        <v>42</v>
      </c>
      <c r="AI144" s="7">
        <v>63.39</v>
      </c>
      <c r="AJ144" s="7">
        <v>79.959999999999994</v>
      </c>
      <c r="AK144" s="7">
        <v>62.09</v>
      </c>
      <c r="AL144" s="7">
        <v>69.64</v>
      </c>
      <c r="AM144" s="2" t="s">
        <v>307</v>
      </c>
      <c r="AN144" s="2"/>
      <c r="AO144" s="2"/>
      <c r="AP144" s="1" t="s">
        <v>464</v>
      </c>
      <c r="AQ144" s="1" t="s">
        <v>465</v>
      </c>
      <c r="AR144" s="1" t="s">
        <v>46</v>
      </c>
      <c r="AS144" s="4">
        <v>1.1499999999999999</v>
      </c>
      <c r="AT144" s="31">
        <v>56</v>
      </c>
      <c r="AU144" s="5">
        <v>56</v>
      </c>
      <c r="AV144" s="4">
        <v>0.51</v>
      </c>
      <c r="AW144" s="15">
        <f>AT144-AZ144</f>
        <v>21</v>
      </c>
      <c r="AX144" s="4">
        <f>AW144/AT144*100</f>
        <v>37.5</v>
      </c>
      <c r="AY144" s="4">
        <v>1.1299999999999999</v>
      </c>
      <c r="AZ144" s="5">
        <v>35</v>
      </c>
      <c r="BA144" s="4">
        <v>0.5</v>
      </c>
      <c r="BB144" s="8"/>
      <c r="BC144" s="8"/>
      <c r="BD144" s="8"/>
      <c r="BE144" s="2" t="s">
        <v>330</v>
      </c>
      <c r="BF144" s="2">
        <v>210</v>
      </c>
      <c r="BG144" s="2">
        <v>150</v>
      </c>
      <c r="BH144">
        <f>BF144-BG144</f>
        <v>60</v>
      </c>
      <c r="BI144" s="6"/>
    </row>
    <row r="145" spans="1:61" x14ac:dyDescent="0.2">
      <c r="A145" t="s">
        <v>337</v>
      </c>
      <c r="B145" s="2" t="s">
        <v>292</v>
      </c>
      <c r="C145" s="2">
        <v>2019</v>
      </c>
      <c r="D145" s="2" t="s">
        <v>208</v>
      </c>
      <c r="E145" s="2" t="s">
        <v>51</v>
      </c>
      <c r="F145" s="1" t="s">
        <v>356</v>
      </c>
      <c r="G145" s="2" t="s">
        <v>356</v>
      </c>
      <c r="H145" s="2" t="s">
        <v>51</v>
      </c>
      <c r="I145" s="2" t="s">
        <v>51</v>
      </c>
      <c r="J145" s="2" t="s">
        <v>86</v>
      </c>
      <c r="K145" s="2" t="s">
        <v>372</v>
      </c>
      <c r="L145" s="2" t="s">
        <v>407</v>
      </c>
      <c r="M145" s="2" t="s">
        <v>399</v>
      </c>
      <c r="N145" s="2" t="s">
        <v>293</v>
      </c>
      <c r="O145" s="2" t="s">
        <v>306</v>
      </c>
      <c r="P145" s="2" t="s">
        <v>382</v>
      </c>
      <c r="Q145" s="2" t="s">
        <v>293</v>
      </c>
      <c r="R145" s="1" t="s">
        <v>373</v>
      </c>
      <c r="S145" s="2" t="s">
        <v>294</v>
      </c>
      <c r="T145" s="2" t="s">
        <v>38</v>
      </c>
      <c r="U145" s="2" t="s">
        <v>70</v>
      </c>
      <c r="V145" s="2" t="s">
        <v>40</v>
      </c>
      <c r="W145" s="2" t="s">
        <v>56</v>
      </c>
      <c r="X145" s="2" t="s">
        <v>41</v>
      </c>
      <c r="Y145" s="2" t="s">
        <v>41</v>
      </c>
      <c r="Z145" s="2" t="s">
        <v>41</v>
      </c>
      <c r="AA145" s="2" t="s">
        <v>42</v>
      </c>
      <c r="AB145" s="2" t="s">
        <v>41</v>
      </c>
      <c r="AC145" s="2" t="s">
        <v>56</v>
      </c>
      <c r="AD145" s="2" t="s">
        <v>287</v>
      </c>
      <c r="AE145" s="2" t="s">
        <v>42</v>
      </c>
      <c r="AF145" s="2" t="s">
        <v>42</v>
      </c>
      <c r="AG145" s="2" t="s">
        <v>42</v>
      </c>
      <c r="AH145" s="2" t="s">
        <v>42</v>
      </c>
      <c r="AI145" s="7">
        <v>63.39</v>
      </c>
      <c r="AJ145" s="7">
        <v>79.959999999999994</v>
      </c>
      <c r="AK145" s="7">
        <v>62.09</v>
      </c>
      <c r="AL145" s="7">
        <v>69.64</v>
      </c>
      <c r="AM145" s="2" t="s">
        <v>307</v>
      </c>
      <c r="AN145" s="2"/>
      <c r="AO145" s="2"/>
      <c r="AP145" s="1" t="s">
        <v>467</v>
      </c>
      <c r="AQ145" s="1" t="s">
        <v>463</v>
      </c>
      <c r="AR145" s="1" t="s">
        <v>46</v>
      </c>
      <c r="AS145" s="20">
        <v>1.18</v>
      </c>
      <c r="AT145" s="31">
        <v>56</v>
      </c>
      <c r="AU145" s="5">
        <v>56</v>
      </c>
      <c r="AV145" s="20">
        <v>0.37</v>
      </c>
      <c r="AW145" s="15">
        <f>AT145-AZ145</f>
        <v>11</v>
      </c>
      <c r="AX145" s="4">
        <f>AW145/AT145*100</f>
        <v>19.642857142857142</v>
      </c>
      <c r="AY145" s="4">
        <v>1.28</v>
      </c>
      <c r="AZ145" s="5">
        <v>45</v>
      </c>
      <c r="BA145" s="4">
        <v>0.38</v>
      </c>
      <c r="BB145" s="8"/>
      <c r="BC145" s="8"/>
      <c r="BD145" s="8"/>
      <c r="BE145" s="2" t="s">
        <v>329</v>
      </c>
      <c r="BF145" s="2">
        <v>150</v>
      </c>
      <c r="BG145" s="2">
        <v>150</v>
      </c>
      <c r="BH145">
        <f>BF145-BG145</f>
        <v>0</v>
      </c>
      <c r="BI145" s="6"/>
    </row>
    <row r="146" spans="1:61" x14ac:dyDescent="0.2">
      <c r="A146" t="s">
        <v>337</v>
      </c>
      <c r="B146" s="2" t="s">
        <v>292</v>
      </c>
      <c r="C146" s="2">
        <v>2019</v>
      </c>
      <c r="D146" s="2" t="s">
        <v>208</v>
      </c>
      <c r="E146" s="2" t="s">
        <v>51</v>
      </c>
      <c r="F146" s="1" t="s">
        <v>356</v>
      </c>
      <c r="G146" s="2" t="s">
        <v>356</v>
      </c>
      <c r="H146" s="2" t="s">
        <v>51</v>
      </c>
      <c r="I146" s="2" t="s">
        <v>51</v>
      </c>
      <c r="J146" s="2" t="s">
        <v>86</v>
      </c>
      <c r="K146" s="2" t="s">
        <v>372</v>
      </c>
      <c r="L146" s="2" t="s">
        <v>407</v>
      </c>
      <c r="M146" s="2" t="s">
        <v>399</v>
      </c>
      <c r="N146" s="2" t="s">
        <v>293</v>
      </c>
      <c r="O146" s="2" t="s">
        <v>306</v>
      </c>
      <c r="P146" s="2" t="s">
        <v>382</v>
      </c>
      <c r="Q146" s="2" t="s">
        <v>293</v>
      </c>
      <c r="R146" s="1" t="s">
        <v>373</v>
      </c>
      <c r="S146" s="2" t="s">
        <v>294</v>
      </c>
      <c r="T146" s="2" t="s">
        <v>38</v>
      </c>
      <c r="U146" s="2" t="s">
        <v>70</v>
      </c>
      <c r="V146" s="2" t="s">
        <v>40</v>
      </c>
      <c r="W146" s="2" t="s">
        <v>56</v>
      </c>
      <c r="X146" s="2" t="s">
        <v>41</v>
      </c>
      <c r="Y146" s="2" t="s">
        <v>41</v>
      </c>
      <c r="Z146" s="2" t="s">
        <v>41</v>
      </c>
      <c r="AA146" s="2" t="s">
        <v>42</v>
      </c>
      <c r="AB146" s="2" t="s">
        <v>41</v>
      </c>
      <c r="AC146" s="2" t="s">
        <v>56</v>
      </c>
      <c r="AD146" s="2" t="s">
        <v>287</v>
      </c>
      <c r="AE146" s="2" t="s">
        <v>42</v>
      </c>
      <c r="AF146" s="2" t="s">
        <v>42</v>
      </c>
      <c r="AG146" s="2" t="s">
        <v>42</v>
      </c>
      <c r="AH146" s="2" t="s">
        <v>42</v>
      </c>
      <c r="AI146" s="7">
        <v>63.39</v>
      </c>
      <c r="AJ146" s="7">
        <v>79.959999999999994</v>
      </c>
      <c r="AK146" s="7">
        <v>62.09</v>
      </c>
      <c r="AL146" s="7">
        <v>69.64</v>
      </c>
      <c r="AM146" s="2" t="s">
        <v>307</v>
      </c>
      <c r="AN146" s="2"/>
      <c r="AO146" s="2"/>
      <c r="AP146" s="1" t="s">
        <v>467</v>
      </c>
      <c r="AQ146" s="1" t="s">
        <v>463</v>
      </c>
      <c r="AR146" s="1" t="s">
        <v>46</v>
      </c>
      <c r="AS146" s="4">
        <v>1.18</v>
      </c>
      <c r="AT146" s="31">
        <v>56</v>
      </c>
      <c r="AU146" s="5">
        <v>56</v>
      </c>
      <c r="AV146" s="4">
        <v>0.37</v>
      </c>
      <c r="AW146" s="15">
        <f>AT146-AZ146</f>
        <v>21</v>
      </c>
      <c r="AX146" s="4">
        <f>AW146/AT146*100</f>
        <v>37.5</v>
      </c>
      <c r="AY146" s="4">
        <v>1.24</v>
      </c>
      <c r="AZ146" s="5">
        <v>35</v>
      </c>
      <c r="BA146" s="4">
        <v>0.32</v>
      </c>
      <c r="BB146" s="8"/>
      <c r="BC146" s="8"/>
      <c r="BD146" s="8"/>
      <c r="BE146" s="2" t="s">
        <v>330</v>
      </c>
      <c r="BF146" s="2">
        <v>210</v>
      </c>
      <c r="BG146" s="2">
        <v>150</v>
      </c>
      <c r="BH146">
        <f>BF146-BG146</f>
        <v>60</v>
      </c>
      <c r="BI146" s="6"/>
    </row>
    <row r="147" spans="1:61" x14ac:dyDescent="0.2">
      <c r="A147" t="s">
        <v>337</v>
      </c>
      <c r="B147" s="2" t="s">
        <v>292</v>
      </c>
      <c r="C147" s="2">
        <v>2019</v>
      </c>
      <c r="D147" s="2" t="s">
        <v>208</v>
      </c>
      <c r="E147" s="2" t="s">
        <v>51</v>
      </c>
      <c r="F147" s="1" t="s">
        <v>356</v>
      </c>
      <c r="G147" s="2" t="s">
        <v>356</v>
      </c>
      <c r="H147" s="2" t="s">
        <v>51</v>
      </c>
      <c r="I147" s="2" t="s">
        <v>51</v>
      </c>
      <c r="J147" s="2" t="s">
        <v>86</v>
      </c>
      <c r="K147" s="2" t="s">
        <v>372</v>
      </c>
      <c r="L147" s="2" t="s">
        <v>407</v>
      </c>
      <c r="M147" s="2" t="s">
        <v>399</v>
      </c>
      <c r="N147" s="2" t="s">
        <v>293</v>
      </c>
      <c r="O147" s="2" t="s">
        <v>306</v>
      </c>
      <c r="P147" s="2" t="s">
        <v>382</v>
      </c>
      <c r="Q147" s="2" t="s">
        <v>293</v>
      </c>
      <c r="R147" s="1" t="s">
        <v>373</v>
      </c>
      <c r="S147" s="2" t="s">
        <v>294</v>
      </c>
      <c r="T147" s="2" t="s">
        <v>38</v>
      </c>
      <c r="U147" s="2" t="s">
        <v>70</v>
      </c>
      <c r="V147" s="2" t="s">
        <v>40</v>
      </c>
      <c r="W147" s="2" t="s">
        <v>56</v>
      </c>
      <c r="X147" s="2" t="s">
        <v>41</v>
      </c>
      <c r="Y147" s="2" t="s">
        <v>41</v>
      </c>
      <c r="Z147" s="2" t="s">
        <v>41</v>
      </c>
      <c r="AA147" s="2" t="s">
        <v>42</v>
      </c>
      <c r="AB147" s="2" t="s">
        <v>41</v>
      </c>
      <c r="AC147" s="2" t="s">
        <v>56</v>
      </c>
      <c r="AD147" s="2" t="s">
        <v>287</v>
      </c>
      <c r="AE147" s="2" t="s">
        <v>42</v>
      </c>
      <c r="AF147" s="2" t="s">
        <v>42</v>
      </c>
      <c r="AG147" s="2" t="s">
        <v>42</v>
      </c>
      <c r="AH147" s="2" t="s">
        <v>42</v>
      </c>
      <c r="AI147" s="7">
        <v>63.39</v>
      </c>
      <c r="AJ147" s="7">
        <v>79.959999999999994</v>
      </c>
      <c r="AK147" s="7">
        <v>62.09</v>
      </c>
      <c r="AL147" s="7">
        <v>69.64</v>
      </c>
      <c r="AM147" s="2" t="s">
        <v>307</v>
      </c>
      <c r="AN147" s="2"/>
      <c r="AO147" s="2"/>
      <c r="AP147" s="1" t="s">
        <v>466</v>
      </c>
      <c r="AQ147" s="1" t="s">
        <v>463</v>
      </c>
      <c r="AR147" s="1" t="s">
        <v>46</v>
      </c>
      <c r="AS147" s="4">
        <v>1.39</v>
      </c>
      <c r="AT147" s="31">
        <v>56</v>
      </c>
      <c r="AU147" s="5">
        <v>56</v>
      </c>
      <c r="AV147" s="4">
        <v>0.35</v>
      </c>
      <c r="AW147" s="15">
        <f>AT147-AZ147</f>
        <v>11</v>
      </c>
      <c r="AX147" s="4">
        <f>AW147/AT147*100</f>
        <v>19.642857142857142</v>
      </c>
      <c r="AY147" s="4">
        <v>1.29</v>
      </c>
      <c r="AZ147" s="5">
        <v>45</v>
      </c>
      <c r="BA147" s="4">
        <v>0.32</v>
      </c>
      <c r="BB147" s="8"/>
      <c r="BC147" s="8"/>
      <c r="BD147" s="8"/>
      <c r="BE147" s="2" t="s">
        <v>329</v>
      </c>
      <c r="BF147" s="2">
        <v>150</v>
      </c>
      <c r="BG147" s="2">
        <v>150</v>
      </c>
      <c r="BH147">
        <f>BF147-BG147</f>
        <v>0</v>
      </c>
      <c r="BI147" s="6"/>
    </row>
    <row r="148" spans="1:61" x14ac:dyDescent="0.2">
      <c r="A148" t="s">
        <v>337</v>
      </c>
      <c r="B148" s="2" t="s">
        <v>292</v>
      </c>
      <c r="C148" s="2">
        <v>2019</v>
      </c>
      <c r="D148" s="2" t="s">
        <v>208</v>
      </c>
      <c r="E148" s="2" t="s">
        <v>51</v>
      </c>
      <c r="F148" s="1" t="s">
        <v>356</v>
      </c>
      <c r="G148" s="2" t="s">
        <v>356</v>
      </c>
      <c r="H148" s="2" t="s">
        <v>51</v>
      </c>
      <c r="I148" s="2" t="s">
        <v>51</v>
      </c>
      <c r="J148" s="2" t="s">
        <v>86</v>
      </c>
      <c r="K148" s="2" t="s">
        <v>372</v>
      </c>
      <c r="L148" s="2" t="s">
        <v>407</v>
      </c>
      <c r="M148" s="2" t="s">
        <v>399</v>
      </c>
      <c r="N148" s="2" t="s">
        <v>293</v>
      </c>
      <c r="O148" s="2" t="s">
        <v>306</v>
      </c>
      <c r="P148" s="2" t="s">
        <v>382</v>
      </c>
      <c r="Q148" s="2" t="s">
        <v>293</v>
      </c>
      <c r="R148" s="1" t="s">
        <v>373</v>
      </c>
      <c r="S148" s="2" t="s">
        <v>294</v>
      </c>
      <c r="T148" s="2" t="s">
        <v>38</v>
      </c>
      <c r="U148" s="2" t="s">
        <v>70</v>
      </c>
      <c r="V148" s="2" t="s">
        <v>40</v>
      </c>
      <c r="W148" s="2" t="s">
        <v>56</v>
      </c>
      <c r="X148" s="2" t="s">
        <v>41</v>
      </c>
      <c r="Y148" s="2" t="s">
        <v>41</v>
      </c>
      <c r="Z148" s="2" t="s">
        <v>41</v>
      </c>
      <c r="AA148" s="2" t="s">
        <v>42</v>
      </c>
      <c r="AB148" s="2" t="s">
        <v>41</v>
      </c>
      <c r="AC148" s="2" t="s">
        <v>56</v>
      </c>
      <c r="AD148" s="2" t="s">
        <v>287</v>
      </c>
      <c r="AE148" s="2" t="s">
        <v>42</v>
      </c>
      <c r="AF148" s="2" t="s">
        <v>42</v>
      </c>
      <c r="AG148" s="2" t="s">
        <v>42</v>
      </c>
      <c r="AH148" s="2" t="s">
        <v>42</v>
      </c>
      <c r="AI148" s="7">
        <v>63.39</v>
      </c>
      <c r="AJ148" s="7">
        <v>79.959999999999994</v>
      </c>
      <c r="AK148" s="7">
        <v>62.09</v>
      </c>
      <c r="AL148" s="7">
        <v>69.64</v>
      </c>
      <c r="AM148" s="2" t="s">
        <v>307</v>
      </c>
      <c r="AN148" s="2"/>
      <c r="AO148" s="2"/>
      <c r="AP148" s="1" t="s">
        <v>466</v>
      </c>
      <c r="AQ148" s="1" t="s">
        <v>463</v>
      </c>
      <c r="AR148" s="1" t="s">
        <v>46</v>
      </c>
      <c r="AS148" s="4">
        <v>1.39</v>
      </c>
      <c r="AT148" s="31">
        <v>56</v>
      </c>
      <c r="AU148" s="5">
        <v>56</v>
      </c>
      <c r="AV148" s="4">
        <v>0.35</v>
      </c>
      <c r="AW148" s="15">
        <f>AT148-AZ148</f>
        <v>21</v>
      </c>
      <c r="AX148" s="4">
        <f>AW148/AT148*100</f>
        <v>37.5</v>
      </c>
      <c r="AY148" s="4">
        <v>1.1299999999999999</v>
      </c>
      <c r="AZ148" s="5">
        <v>35</v>
      </c>
      <c r="BA148" s="4">
        <v>0.39</v>
      </c>
      <c r="BB148" s="8"/>
      <c r="BC148" s="8"/>
      <c r="BD148" s="8"/>
      <c r="BE148" s="2" t="s">
        <v>330</v>
      </c>
      <c r="BF148" s="2">
        <v>210</v>
      </c>
      <c r="BG148" s="2">
        <v>150</v>
      </c>
      <c r="BH148">
        <f>BF148-BG148</f>
        <v>60</v>
      </c>
      <c r="BI148" s="6"/>
    </row>
    <row r="149" spans="1:61" x14ac:dyDescent="0.2">
      <c r="A149" t="s">
        <v>338</v>
      </c>
      <c r="B149" s="1" t="s">
        <v>154</v>
      </c>
      <c r="C149" s="1">
        <v>2017</v>
      </c>
      <c r="D149" s="1" t="s">
        <v>50</v>
      </c>
      <c r="E149" s="1" t="s">
        <v>51</v>
      </c>
      <c r="F149" s="1" t="s">
        <v>356</v>
      </c>
      <c r="G149" s="2" t="s">
        <v>356</v>
      </c>
      <c r="H149" s="1" t="s">
        <v>51</v>
      </c>
      <c r="I149" s="1" t="s">
        <v>51</v>
      </c>
      <c r="J149" s="1" t="s">
        <v>121</v>
      </c>
      <c r="K149" s="2" t="s">
        <v>372</v>
      </c>
      <c r="L149" s="2"/>
      <c r="M149" s="2"/>
      <c r="N149" s="1" t="s">
        <v>155</v>
      </c>
      <c r="O149" s="1" t="s">
        <v>469</v>
      </c>
      <c r="P149" s="2" t="s">
        <v>379</v>
      </c>
      <c r="Q149" s="2" t="s">
        <v>468</v>
      </c>
      <c r="R149" s="1" t="s">
        <v>373</v>
      </c>
      <c r="S149" s="1" t="s">
        <v>37</v>
      </c>
      <c r="T149" s="1" t="s">
        <v>38</v>
      </c>
      <c r="U149" s="1" t="s">
        <v>115</v>
      </c>
      <c r="V149" s="1" t="s">
        <v>40</v>
      </c>
      <c r="W149" s="1" t="s">
        <v>42</v>
      </c>
      <c r="X149" s="1" t="s">
        <v>41</v>
      </c>
      <c r="Y149" s="1" t="s">
        <v>41</v>
      </c>
      <c r="Z149" s="1" t="s">
        <v>41</v>
      </c>
      <c r="AA149" s="1" t="s">
        <v>42</v>
      </c>
      <c r="AB149" s="1" t="s">
        <v>41</v>
      </c>
      <c r="AC149" s="1" t="s">
        <v>42</v>
      </c>
      <c r="AD149" s="1" t="s">
        <v>41</v>
      </c>
      <c r="AE149" s="1" t="s">
        <v>41</v>
      </c>
      <c r="AF149" s="1" t="s">
        <v>41</v>
      </c>
      <c r="AG149" s="1" t="s">
        <v>42</v>
      </c>
      <c r="AH149" s="1" t="s">
        <v>41</v>
      </c>
      <c r="AI149" s="3"/>
      <c r="AJ149" s="3"/>
      <c r="AK149" s="3">
        <v>50.57</v>
      </c>
      <c r="AL149" s="3">
        <v>89.3</v>
      </c>
      <c r="AM149" s="1" t="s">
        <v>50</v>
      </c>
      <c r="AN149" s="1" t="s">
        <v>156</v>
      </c>
      <c r="AO149" s="1"/>
      <c r="AP149" s="1" t="s">
        <v>157</v>
      </c>
      <c r="AQ149" s="1" t="s">
        <v>334</v>
      </c>
      <c r="AR149" s="1" t="s">
        <v>46</v>
      </c>
      <c r="AS149" s="4">
        <v>28.39</v>
      </c>
      <c r="AT149" s="35">
        <v>30</v>
      </c>
      <c r="AU149" s="5">
        <v>28</v>
      </c>
      <c r="AV149" s="4">
        <v>6.41</v>
      </c>
      <c r="AW149" s="15">
        <f>AT149-AZ149</f>
        <v>2</v>
      </c>
      <c r="AX149" s="4">
        <f>AW149/AT149*100</f>
        <v>6.666666666666667</v>
      </c>
      <c r="AY149" s="4">
        <v>27.85</v>
      </c>
      <c r="AZ149" s="5">
        <v>28</v>
      </c>
      <c r="BA149" s="4">
        <v>5.98</v>
      </c>
      <c r="BB149" s="4"/>
      <c r="BC149" s="4"/>
      <c r="BD149" s="4"/>
      <c r="BE149" s="1" t="s">
        <v>261</v>
      </c>
      <c r="BF149" s="1">
        <v>56</v>
      </c>
      <c r="BG149" s="1">
        <v>35</v>
      </c>
      <c r="BH149">
        <f>BF149-BG149</f>
        <v>21</v>
      </c>
      <c r="BI149" s="6"/>
    </row>
    <row r="150" spans="1:61" x14ac:dyDescent="0.2">
      <c r="A150" t="s">
        <v>338</v>
      </c>
      <c r="B150" s="1" t="s">
        <v>161</v>
      </c>
      <c r="C150" s="1">
        <v>2017</v>
      </c>
      <c r="D150" s="1" t="s">
        <v>162</v>
      </c>
      <c r="E150" s="1" t="s">
        <v>51</v>
      </c>
      <c r="F150" s="1" t="s">
        <v>356</v>
      </c>
      <c r="G150" s="2" t="s">
        <v>356</v>
      </c>
      <c r="H150" s="1" t="s">
        <v>51</v>
      </c>
      <c r="I150" s="1" t="s">
        <v>51</v>
      </c>
      <c r="J150" s="1" t="s">
        <v>163</v>
      </c>
      <c r="K150" s="2" t="s">
        <v>372</v>
      </c>
      <c r="L150" s="2" t="s">
        <v>380</v>
      </c>
      <c r="M150" s="2" t="s">
        <v>380</v>
      </c>
      <c r="N150" s="1" t="s">
        <v>164</v>
      </c>
      <c r="O150" s="1" t="s">
        <v>471</v>
      </c>
      <c r="P150" s="2" t="s">
        <v>379</v>
      </c>
      <c r="Q150" s="2" t="s">
        <v>470</v>
      </c>
      <c r="R150" s="1" t="s">
        <v>373</v>
      </c>
      <c r="S150" s="1" t="s">
        <v>54</v>
      </c>
      <c r="T150" s="1" t="s">
        <v>38</v>
      </c>
      <c r="U150" s="1" t="s">
        <v>115</v>
      </c>
      <c r="V150" s="1" t="s">
        <v>40</v>
      </c>
      <c r="W150" s="1" t="s">
        <v>56</v>
      </c>
      <c r="X150" s="1" t="s">
        <v>41</v>
      </c>
      <c r="Y150" s="1" t="s">
        <v>41</v>
      </c>
      <c r="Z150" s="1" t="s">
        <v>41</v>
      </c>
      <c r="AA150" s="1" t="s">
        <v>42</v>
      </c>
      <c r="AB150" s="1" t="s">
        <v>41</v>
      </c>
      <c r="AC150" s="1" t="s">
        <v>56</v>
      </c>
      <c r="AD150" s="1" t="s">
        <v>41</v>
      </c>
      <c r="AE150" s="1" t="s">
        <v>41</v>
      </c>
      <c r="AF150" s="1" t="s">
        <v>41</v>
      </c>
      <c r="AG150" s="1" t="s">
        <v>42</v>
      </c>
      <c r="AH150" s="1" t="s">
        <v>41</v>
      </c>
      <c r="AI150" s="13">
        <v>67.5</v>
      </c>
      <c r="AJ150" s="3">
        <v>69.290000000000006</v>
      </c>
      <c r="AK150" s="3">
        <v>47.97</v>
      </c>
      <c r="AL150" s="3">
        <v>69.5</v>
      </c>
      <c r="AM150" s="1" t="s">
        <v>51</v>
      </c>
      <c r="AN150" s="1" t="s">
        <v>51</v>
      </c>
      <c r="AO150" s="1"/>
      <c r="AP150" s="1" t="s">
        <v>324</v>
      </c>
      <c r="AQ150" s="1" t="s">
        <v>473</v>
      </c>
      <c r="AR150" s="1" t="s">
        <v>472</v>
      </c>
      <c r="AS150" s="4"/>
      <c r="AT150" s="35">
        <v>60</v>
      </c>
      <c r="AU150" s="5">
        <v>59</v>
      </c>
      <c r="AV150" s="4"/>
      <c r="AW150" s="15">
        <f>AT150-AZ150</f>
        <v>1</v>
      </c>
      <c r="AX150" s="4">
        <f>AW150/AT150*100</f>
        <v>1.6666666666666667</v>
      </c>
      <c r="AY150" s="4">
        <v>1.1299999999999999</v>
      </c>
      <c r="AZ150" s="5">
        <v>59</v>
      </c>
      <c r="BA150" s="4">
        <v>1.04</v>
      </c>
      <c r="BB150" s="4"/>
      <c r="BC150" s="4"/>
      <c r="BD150" s="38">
        <v>-9.25</v>
      </c>
      <c r="BE150" s="1" t="s">
        <v>165</v>
      </c>
      <c r="BF150" s="1">
        <f>56+90</f>
        <v>146</v>
      </c>
      <c r="BG150" s="1">
        <v>56</v>
      </c>
      <c r="BH150">
        <f>BF150-BG150</f>
        <v>90</v>
      </c>
      <c r="BI150" s="6"/>
    </row>
    <row r="151" spans="1:61" x14ac:dyDescent="0.2">
      <c r="A151" t="s">
        <v>338</v>
      </c>
      <c r="B151" s="1" t="s">
        <v>161</v>
      </c>
      <c r="C151" s="1">
        <v>2017</v>
      </c>
      <c r="D151" s="1" t="s">
        <v>162</v>
      </c>
      <c r="E151" s="1" t="s">
        <v>51</v>
      </c>
      <c r="F151" s="1" t="s">
        <v>356</v>
      </c>
      <c r="G151" s="2" t="s">
        <v>356</v>
      </c>
      <c r="H151" s="1" t="s">
        <v>51</v>
      </c>
      <c r="I151" s="1" t="s">
        <v>51</v>
      </c>
      <c r="J151" s="1" t="s">
        <v>163</v>
      </c>
      <c r="K151" s="2" t="s">
        <v>372</v>
      </c>
      <c r="L151" s="2" t="s">
        <v>380</v>
      </c>
      <c r="M151" s="2" t="s">
        <v>380</v>
      </c>
      <c r="N151" s="1" t="s">
        <v>164</v>
      </c>
      <c r="O151" s="1" t="s">
        <v>471</v>
      </c>
      <c r="P151" s="2" t="s">
        <v>379</v>
      </c>
      <c r="Q151" s="2" t="s">
        <v>470</v>
      </c>
      <c r="R151" s="1" t="s">
        <v>373</v>
      </c>
      <c r="S151" s="1" t="s">
        <v>54</v>
      </c>
      <c r="T151" s="1" t="s">
        <v>38</v>
      </c>
      <c r="U151" s="1" t="s">
        <v>115</v>
      </c>
      <c r="V151" s="1" t="s">
        <v>40</v>
      </c>
      <c r="W151" s="1" t="s">
        <v>56</v>
      </c>
      <c r="X151" s="1" t="s">
        <v>41</v>
      </c>
      <c r="Y151" s="1" t="s">
        <v>41</v>
      </c>
      <c r="Z151" s="1" t="s">
        <v>41</v>
      </c>
      <c r="AA151" s="1" t="s">
        <v>42</v>
      </c>
      <c r="AB151" s="1" t="s">
        <v>41</v>
      </c>
      <c r="AC151" s="1" t="s">
        <v>56</v>
      </c>
      <c r="AD151" s="1" t="s">
        <v>41</v>
      </c>
      <c r="AE151" s="1" t="s">
        <v>41</v>
      </c>
      <c r="AF151" s="1" t="s">
        <v>41</v>
      </c>
      <c r="AG151" s="1" t="s">
        <v>42</v>
      </c>
      <c r="AH151" s="1" t="s">
        <v>41</v>
      </c>
      <c r="AI151" s="13">
        <v>67.5</v>
      </c>
      <c r="AJ151" s="3">
        <v>69.290000000000006</v>
      </c>
      <c r="AK151" s="3">
        <v>47.97</v>
      </c>
      <c r="AL151" s="3">
        <v>69.5</v>
      </c>
      <c r="AM151" s="1" t="s">
        <v>51</v>
      </c>
      <c r="AN151" s="1" t="s">
        <v>51</v>
      </c>
      <c r="AO151" s="1"/>
      <c r="AP151" s="1" t="s">
        <v>324</v>
      </c>
      <c r="AQ151" s="1" t="s">
        <v>473</v>
      </c>
      <c r="AR151" s="1" t="s">
        <v>472</v>
      </c>
      <c r="AS151" s="4"/>
      <c r="AT151" s="35">
        <v>60</v>
      </c>
      <c r="AU151" s="5">
        <v>59</v>
      </c>
      <c r="AV151" s="4"/>
      <c r="AW151" s="15">
        <f>AT151-AZ151</f>
        <v>1</v>
      </c>
      <c r="AX151" s="4">
        <f>AW151/AT151*100</f>
        <v>1.6666666666666667</v>
      </c>
      <c r="AY151" s="4">
        <v>0.49</v>
      </c>
      <c r="AZ151" s="5">
        <v>59</v>
      </c>
      <c r="BA151" s="4">
        <v>0.67</v>
      </c>
      <c r="BB151" s="4"/>
      <c r="BC151" s="4"/>
      <c r="BD151" s="38">
        <v>-9.36</v>
      </c>
      <c r="BE151" s="1" t="s">
        <v>259</v>
      </c>
      <c r="BF151" s="1">
        <v>56</v>
      </c>
      <c r="BG151" s="1">
        <v>56</v>
      </c>
      <c r="BH151">
        <f>BF151-BG151</f>
        <v>0</v>
      </c>
      <c r="BI151" s="6"/>
    </row>
    <row r="152" spans="1:61" x14ac:dyDescent="0.2">
      <c r="A152" t="s">
        <v>338</v>
      </c>
      <c r="B152" s="1" t="s">
        <v>161</v>
      </c>
      <c r="C152" s="1">
        <v>2017</v>
      </c>
      <c r="D152" s="1" t="s">
        <v>162</v>
      </c>
      <c r="E152" s="1" t="s">
        <v>51</v>
      </c>
      <c r="F152" s="1" t="s">
        <v>356</v>
      </c>
      <c r="G152" s="2" t="s">
        <v>356</v>
      </c>
      <c r="H152" s="1" t="s">
        <v>51</v>
      </c>
      <c r="I152" s="1" t="s">
        <v>51</v>
      </c>
      <c r="J152" s="1" t="s">
        <v>163</v>
      </c>
      <c r="K152" s="2" t="s">
        <v>372</v>
      </c>
      <c r="L152" s="2" t="s">
        <v>380</v>
      </c>
      <c r="M152" s="2" t="s">
        <v>380</v>
      </c>
      <c r="N152" s="1" t="s">
        <v>164</v>
      </c>
      <c r="O152" s="1" t="s">
        <v>471</v>
      </c>
      <c r="P152" s="2" t="s">
        <v>379</v>
      </c>
      <c r="Q152" s="2" t="s">
        <v>470</v>
      </c>
      <c r="R152" s="1" t="s">
        <v>373</v>
      </c>
      <c r="S152" s="1" t="s">
        <v>54</v>
      </c>
      <c r="T152" s="1" t="s">
        <v>38</v>
      </c>
      <c r="U152" s="1" t="s">
        <v>115</v>
      </c>
      <c r="V152" s="1" t="s">
        <v>40</v>
      </c>
      <c r="W152" s="1" t="s">
        <v>56</v>
      </c>
      <c r="X152" s="1" t="s">
        <v>41</v>
      </c>
      <c r="Y152" s="1" t="s">
        <v>41</v>
      </c>
      <c r="Z152" s="1" t="s">
        <v>41</v>
      </c>
      <c r="AA152" s="1" t="s">
        <v>42</v>
      </c>
      <c r="AB152" s="1" t="s">
        <v>41</v>
      </c>
      <c r="AC152" s="1" t="s">
        <v>56</v>
      </c>
      <c r="AD152" s="1" t="s">
        <v>41</v>
      </c>
      <c r="AE152" s="1" t="s">
        <v>41</v>
      </c>
      <c r="AF152" s="1" t="s">
        <v>41</v>
      </c>
      <c r="AG152" s="1" t="s">
        <v>42</v>
      </c>
      <c r="AH152" s="1" t="s">
        <v>41</v>
      </c>
      <c r="AI152" s="13">
        <v>67.5</v>
      </c>
      <c r="AJ152" s="3">
        <v>69.290000000000006</v>
      </c>
      <c r="AK152" s="3">
        <v>47.97</v>
      </c>
      <c r="AL152" s="3">
        <v>69.5</v>
      </c>
      <c r="AM152" s="1" t="s">
        <v>51</v>
      </c>
      <c r="AN152" s="1" t="s">
        <v>51</v>
      </c>
      <c r="AO152" s="1"/>
      <c r="AP152" s="1" t="s">
        <v>44</v>
      </c>
      <c r="AQ152" s="1" t="s">
        <v>45</v>
      </c>
      <c r="AR152" s="1" t="s">
        <v>472</v>
      </c>
      <c r="AS152" s="4"/>
      <c r="AT152" s="35">
        <v>60</v>
      </c>
      <c r="AU152" s="5">
        <v>59</v>
      </c>
      <c r="AV152" s="4"/>
      <c r="AW152" s="15">
        <f>AT152-AZ152</f>
        <v>1</v>
      </c>
      <c r="AX152" s="4">
        <f>AW152/AT152*100</f>
        <v>1.6666666666666667</v>
      </c>
      <c r="AY152" s="4">
        <v>0.74</v>
      </c>
      <c r="AZ152" s="5">
        <v>59</v>
      </c>
      <c r="BA152" s="4">
        <v>0.84</v>
      </c>
      <c r="BB152" s="4"/>
      <c r="BC152" s="4"/>
      <c r="BD152" s="38">
        <v>-9.08</v>
      </c>
      <c r="BE152" s="1" t="s">
        <v>165</v>
      </c>
      <c r="BF152" s="1">
        <f>56+90</f>
        <v>146</v>
      </c>
      <c r="BG152" s="1">
        <v>56</v>
      </c>
      <c r="BH152">
        <f>BF152-BG152</f>
        <v>90</v>
      </c>
      <c r="BI152" s="6"/>
    </row>
    <row r="153" spans="1:61" x14ac:dyDescent="0.2">
      <c r="A153" t="s">
        <v>338</v>
      </c>
      <c r="B153" s="1" t="s">
        <v>161</v>
      </c>
      <c r="C153" s="1">
        <v>2017</v>
      </c>
      <c r="D153" s="1" t="s">
        <v>162</v>
      </c>
      <c r="E153" s="1" t="s">
        <v>51</v>
      </c>
      <c r="F153" s="1" t="s">
        <v>356</v>
      </c>
      <c r="G153" s="2" t="s">
        <v>356</v>
      </c>
      <c r="H153" s="1" t="s">
        <v>51</v>
      </c>
      <c r="I153" s="1" t="s">
        <v>51</v>
      </c>
      <c r="J153" s="1" t="s">
        <v>163</v>
      </c>
      <c r="K153" s="2" t="s">
        <v>372</v>
      </c>
      <c r="L153" s="2" t="s">
        <v>380</v>
      </c>
      <c r="M153" s="2" t="s">
        <v>380</v>
      </c>
      <c r="N153" s="1" t="s">
        <v>164</v>
      </c>
      <c r="O153" s="1" t="s">
        <v>471</v>
      </c>
      <c r="P153" s="2" t="s">
        <v>379</v>
      </c>
      <c r="Q153" s="2" t="s">
        <v>470</v>
      </c>
      <c r="R153" s="1" t="s">
        <v>373</v>
      </c>
      <c r="S153" s="1" t="s">
        <v>54</v>
      </c>
      <c r="T153" s="1" t="s">
        <v>38</v>
      </c>
      <c r="U153" s="1" t="s">
        <v>115</v>
      </c>
      <c r="V153" s="1" t="s">
        <v>40</v>
      </c>
      <c r="W153" s="1" t="s">
        <v>56</v>
      </c>
      <c r="X153" s="1" t="s">
        <v>41</v>
      </c>
      <c r="Y153" s="1" t="s">
        <v>41</v>
      </c>
      <c r="Z153" s="1" t="s">
        <v>41</v>
      </c>
      <c r="AA153" s="1" t="s">
        <v>42</v>
      </c>
      <c r="AB153" s="1" t="s">
        <v>41</v>
      </c>
      <c r="AC153" s="1" t="s">
        <v>56</v>
      </c>
      <c r="AD153" s="1" t="s">
        <v>41</v>
      </c>
      <c r="AE153" s="1" t="s">
        <v>41</v>
      </c>
      <c r="AF153" s="1" t="s">
        <v>41</v>
      </c>
      <c r="AG153" s="1" t="s">
        <v>42</v>
      </c>
      <c r="AH153" s="1" t="s">
        <v>41</v>
      </c>
      <c r="AI153" s="13">
        <v>67.5</v>
      </c>
      <c r="AJ153" s="3">
        <v>69.290000000000006</v>
      </c>
      <c r="AK153" s="3">
        <v>47.97</v>
      </c>
      <c r="AL153" s="3">
        <v>69.5</v>
      </c>
      <c r="AM153" s="1" t="s">
        <v>51</v>
      </c>
      <c r="AN153" s="1" t="s">
        <v>51</v>
      </c>
      <c r="AO153" s="1"/>
      <c r="AP153" s="1" t="s">
        <v>44</v>
      </c>
      <c r="AQ153" s="1" t="s">
        <v>45</v>
      </c>
      <c r="AR153" s="1" t="s">
        <v>472</v>
      </c>
      <c r="AS153" s="4"/>
      <c r="AT153" s="35">
        <v>60</v>
      </c>
      <c r="AU153" s="5">
        <v>59</v>
      </c>
      <c r="AV153" s="4"/>
      <c r="AW153" s="15">
        <f>AT153-AZ153</f>
        <v>1</v>
      </c>
      <c r="AX153" s="4">
        <f>AW153/AT153*100</f>
        <v>1.6666666666666667</v>
      </c>
      <c r="AY153" s="4">
        <v>0.15</v>
      </c>
      <c r="AZ153" s="5">
        <v>59</v>
      </c>
      <c r="BA153" s="4">
        <v>0.4</v>
      </c>
      <c r="BB153" s="4"/>
      <c r="BC153" s="4"/>
      <c r="BD153" s="38">
        <v>-9.52</v>
      </c>
      <c r="BE153" s="1" t="s">
        <v>259</v>
      </c>
      <c r="BF153" s="1">
        <v>56</v>
      </c>
      <c r="BG153" s="1">
        <v>56</v>
      </c>
      <c r="BH153">
        <f>BF153-BG153</f>
        <v>0</v>
      </c>
      <c r="BI153" s="6"/>
    </row>
    <row r="154" spans="1:61" x14ac:dyDescent="0.2">
      <c r="A154" t="s">
        <v>338</v>
      </c>
      <c r="B154" s="1" t="s">
        <v>161</v>
      </c>
      <c r="C154" s="1">
        <v>2017</v>
      </c>
      <c r="D154" s="1" t="s">
        <v>162</v>
      </c>
      <c r="E154" s="1" t="s">
        <v>51</v>
      </c>
      <c r="F154" s="1" t="s">
        <v>356</v>
      </c>
      <c r="G154" s="2" t="s">
        <v>356</v>
      </c>
      <c r="H154" s="1" t="s">
        <v>51</v>
      </c>
      <c r="I154" s="1" t="s">
        <v>51</v>
      </c>
      <c r="J154" s="1" t="s">
        <v>163</v>
      </c>
      <c r="K154" s="2" t="s">
        <v>372</v>
      </c>
      <c r="L154" s="2" t="s">
        <v>380</v>
      </c>
      <c r="M154" s="2" t="s">
        <v>380</v>
      </c>
      <c r="N154" s="1" t="s">
        <v>164</v>
      </c>
      <c r="O154" s="1" t="s">
        <v>471</v>
      </c>
      <c r="P154" s="2" t="s">
        <v>379</v>
      </c>
      <c r="Q154" s="2" t="s">
        <v>470</v>
      </c>
      <c r="R154" s="1" t="s">
        <v>373</v>
      </c>
      <c r="S154" s="1" t="s">
        <v>54</v>
      </c>
      <c r="T154" s="1" t="s">
        <v>38</v>
      </c>
      <c r="U154" s="1" t="s">
        <v>115</v>
      </c>
      <c r="V154" s="1" t="s">
        <v>40</v>
      </c>
      <c r="W154" s="1" t="s">
        <v>56</v>
      </c>
      <c r="X154" s="1" t="s">
        <v>41</v>
      </c>
      <c r="Y154" s="1" t="s">
        <v>41</v>
      </c>
      <c r="Z154" s="1" t="s">
        <v>41</v>
      </c>
      <c r="AA154" s="1" t="s">
        <v>42</v>
      </c>
      <c r="AB154" s="1" t="s">
        <v>41</v>
      </c>
      <c r="AC154" s="1" t="s">
        <v>56</v>
      </c>
      <c r="AD154" s="1" t="s">
        <v>41</v>
      </c>
      <c r="AE154" s="1" t="s">
        <v>41</v>
      </c>
      <c r="AF154" s="1" t="s">
        <v>41</v>
      </c>
      <c r="AG154" s="1" t="s">
        <v>42</v>
      </c>
      <c r="AH154" s="1" t="s">
        <v>41</v>
      </c>
      <c r="AI154" s="13">
        <v>67.5</v>
      </c>
      <c r="AJ154" s="3">
        <v>69.290000000000006</v>
      </c>
      <c r="AK154" s="3">
        <v>47.97</v>
      </c>
      <c r="AL154" s="3">
        <v>69.5</v>
      </c>
      <c r="AM154" s="1" t="s">
        <v>51</v>
      </c>
      <c r="AN154" s="1" t="s">
        <v>51</v>
      </c>
      <c r="AO154" s="1"/>
      <c r="AP154" s="1" t="s">
        <v>134</v>
      </c>
      <c r="AQ154" s="1" t="s">
        <v>257</v>
      </c>
      <c r="AR154" s="1" t="s">
        <v>472</v>
      </c>
      <c r="AS154" s="4"/>
      <c r="AT154" s="35">
        <v>60</v>
      </c>
      <c r="AU154" s="5">
        <v>59</v>
      </c>
      <c r="AV154" s="4"/>
      <c r="AW154" s="15">
        <f>AT154-AZ154</f>
        <v>1</v>
      </c>
      <c r="AX154" s="4">
        <f>AW154/AT154*100</f>
        <v>1.6666666666666667</v>
      </c>
      <c r="AY154" s="4">
        <v>0.49</v>
      </c>
      <c r="AZ154" s="5">
        <v>59</v>
      </c>
      <c r="BA154" s="4">
        <v>0.67</v>
      </c>
      <c r="BB154" s="4"/>
      <c r="BC154" s="4"/>
      <c r="BD154" s="38">
        <v>-9.43</v>
      </c>
      <c r="BE154" s="1" t="s">
        <v>165</v>
      </c>
      <c r="BF154" s="1">
        <f>56+90</f>
        <v>146</v>
      </c>
      <c r="BG154" s="1">
        <v>56</v>
      </c>
      <c r="BH154">
        <f>BF154-BG154</f>
        <v>90</v>
      </c>
      <c r="BI154" s="6"/>
    </row>
    <row r="155" spans="1:61" x14ac:dyDescent="0.2">
      <c r="A155" t="s">
        <v>338</v>
      </c>
      <c r="B155" s="1" t="s">
        <v>161</v>
      </c>
      <c r="C155" s="1">
        <v>2017</v>
      </c>
      <c r="D155" s="1" t="s">
        <v>162</v>
      </c>
      <c r="E155" s="1" t="s">
        <v>51</v>
      </c>
      <c r="F155" s="1" t="s">
        <v>356</v>
      </c>
      <c r="G155" s="2" t="s">
        <v>356</v>
      </c>
      <c r="H155" s="1" t="s">
        <v>51</v>
      </c>
      <c r="I155" s="1" t="s">
        <v>51</v>
      </c>
      <c r="J155" s="1" t="s">
        <v>163</v>
      </c>
      <c r="K155" s="2" t="s">
        <v>372</v>
      </c>
      <c r="L155" s="2" t="s">
        <v>380</v>
      </c>
      <c r="M155" s="2" t="s">
        <v>380</v>
      </c>
      <c r="N155" s="1" t="s">
        <v>164</v>
      </c>
      <c r="O155" s="1" t="s">
        <v>471</v>
      </c>
      <c r="P155" s="2" t="s">
        <v>379</v>
      </c>
      <c r="Q155" s="2" t="s">
        <v>470</v>
      </c>
      <c r="R155" s="1" t="s">
        <v>373</v>
      </c>
      <c r="S155" s="1" t="s">
        <v>54</v>
      </c>
      <c r="T155" s="1" t="s">
        <v>38</v>
      </c>
      <c r="U155" s="1" t="s">
        <v>115</v>
      </c>
      <c r="V155" s="1" t="s">
        <v>40</v>
      </c>
      <c r="W155" s="1" t="s">
        <v>56</v>
      </c>
      <c r="X155" s="1" t="s">
        <v>41</v>
      </c>
      <c r="Y155" s="1" t="s">
        <v>41</v>
      </c>
      <c r="Z155" s="1" t="s">
        <v>41</v>
      </c>
      <c r="AA155" s="1" t="s">
        <v>42</v>
      </c>
      <c r="AB155" s="1" t="s">
        <v>41</v>
      </c>
      <c r="AC155" s="1" t="s">
        <v>56</v>
      </c>
      <c r="AD155" s="1" t="s">
        <v>41</v>
      </c>
      <c r="AE155" s="1" t="s">
        <v>41</v>
      </c>
      <c r="AF155" s="1" t="s">
        <v>41</v>
      </c>
      <c r="AG155" s="1" t="s">
        <v>42</v>
      </c>
      <c r="AH155" s="1" t="s">
        <v>41</v>
      </c>
      <c r="AI155" s="13">
        <v>67.5</v>
      </c>
      <c r="AJ155" s="3">
        <v>69.290000000000006</v>
      </c>
      <c r="AK155" s="3">
        <v>47.97</v>
      </c>
      <c r="AL155" s="3">
        <v>69.5</v>
      </c>
      <c r="AM155" s="1" t="s">
        <v>51</v>
      </c>
      <c r="AN155" s="1" t="s">
        <v>51</v>
      </c>
      <c r="AO155" s="1"/>
      <c r="AP155" s="1" t="s">
        <v>134</v>
      </c>
      <c r="AQ155" s="1" t="s">
        <v>257</v>
      </c>
      <c r="AR155" s="1" t="s">
        <v>472</v>
      </c>
      <c r="AS155" s="4"/>
      <c r="AT155" s="35">
        <v>60</v>
      </c>
      <c r="AU155" s="5">
        <v>59</v>
      </c>
      <c r="AV155" s="4"/>
      <c r="AW155" s="15">
        <f>AT155-AZ155</f>
        <v>1</v>
      </c>
      <c r="AX155" s="4">
        <f>AW155/AT155*100</f>
        <v>1.6666666666666667</v>
      </c>
      <c r="AY155" s="4">
        <v>0.08</v>
      </c>
      <c r="AZ155" s="5">
        <v>59</v>
      </c>
      <c r="BA155" s="4">
        <v>0.28000000000000003</v>
      </c>
      <c r="BB155" s="4"/>
      <c r="BC155" s="4"/>
      <c r="BD155" s="38">
        <v>-9.73</v>
      </c>
      <c r="BE155" s="1" t="s">
        <v>259</v>
      </c>
      <c r="BF155" s="1">
        <v>56</v>
      </c>
      <c r="BG155" s="1">
        <v>56</v>
      </c>
      <c r="BH155">
        <f>BF155-BG155</f>
        <v>0</v>
      </c>
      <c r="BI155" s="6"/>
    </row>
    <row r="156" spans="1:61" x14ac:dyDescent="0.2">
      <c r="A156" t="s">
        <v>338</v>
      </c>
      <c r="B156" s="1" t="s">
        <v>169</v>
      </c>
      <c r="C156" s="1">
        <v>2016</v>
      </c>
      <c r="D156" s="1" t="s">
        <v>176</v>
      </c>
      <c r="E156" s="1" t="s">
        <v>51</v>
      </c>
      <c r="F156" s="1" t="s">
        <v>356</v>
      </c>
      <c r="G156" s="2" t="s">
        <v>356</v>
      </c>
      <c r="H156" s="1" t="s">
        <v>51</v>
      </c>
      <c r="I156" s="1" t="s">
        <v>51</v>
      </c>
      <c r="J156" s="1" t="s">
        <v>113</v>
      </c>
      <c r="K156" s="2" t="s">
        <v>372</v>
      </c>
      <c r="L156" s="2" t="s">
        <v>400</v>
      </c>
      <c r="M156" s="2" t="s">
        <v>390</v>
      </c>
      <c r="N156" s="1" t="s">
        <v>171</v>
      </c>
      <c r="O156" s="1" t="s">
        <v>474</v>
      </c>
      <c r="P156" s="1" t="s">
        <v>383</v>
      </c>
      <c r="Q156" s="1" t="s">
        <v>475</v>
      </c>
      <c r="R156" s="1" t="s">
        <v>373</v>
      </c>
      <c r="S156" s="1" t="s">
        <v>37</v>
      </c>
      <c r="T156" s="1" t="s">
        <v>38</v>
      </c>
      <c r="U156" s="1" t="s">
        <v>172</v>
      </c>
      <c r="V156" s="1" t="s">
        <v>40</v>
      </c>
      <c r="W156" s="1" t="s">
        <v>42</v>
      </c>
      <c r="X156" s="1" t="s">
        <v>42</v>
      </c>
      <c r="Y156" s="1" t="s">
        <v>42</v>
      </c>
      <c r="Z156" s="1" t="s">
        <v>41</v>
      </c>
      <c r="AA156" s="1" t="s">
        <v>42</v>
      </c>
      <c r="AB156" s="1" t="s">
        <v>41</v>
      </c>
      <c r="AC156" s="1" t="s">
        <v>42</v>
      </c>
      <c r="AD156" s="1" t="s">
        <v>42</v>
      </c>
      <c r="AE156" s="1" t="s">
        <v>42</v>
      </c>
      <c r="AF156" s="1" t="s">
        <v>41</v>
      </c>
      <c r="AG156" s="1" t="s">
        <v>42</v>
      </c>
      <c r="AH156" s="1" t="s">
        <v>41</v>
      </c>
      <c r="AI156" s="3">
        <v>54</v>
      </c>
      <c r="AJ156" s="3">
        <v>76.290000000000006</v>
      </c>
      <c r="AK156" s="3">
        <v>62.28</v>
      </c>
      <c r="AL156" s="3">
        <v>71</v>
      </c>
      <c r="AM156" s="1" t="s">
        <v>177</v>
      </c>
      <c r="AN156" s="1" t="s">
        <v>178</v>
      </c>
      <c r="AO156" s="1"/>
      <c r="AP156" s="1" t="s">
        <v>44</v>
      </c>
      <c r="AQ156" s="1" t="s">
        <v>175</v>
      </c>
      <c r="AR156" s="1" t="s">
        <v>46</v>
      </c>
      <c r="AS156" s="4">
        <v>31.19</v>
      </c>
      <c r="AT156" s="31">
        <v>35</v>
      </c>
      <c r="AU156" s="5">
        <v>35</v>
      </c>
      <c r="AV156" s="4">
        <v>16.54</v>
      </c>
      <c r="AW156" s="15">
        <f>AT156-AZ156</f>
        <v>1</v>
      </c>
      <c r="AX156" s="4">
        <f>AW156/AT156*100</f>
        <v>2.8571428571428572</v>
      </c>
      <c r="AY156" s="4">
        <v>35.659999999999897</v>
      </c>
      <c r="AZ156" s="5">
        <v>34</v>
      </c>
      <c r="BA156" s="4">
        <v>17.07</v>
      </c>
      <c r="BB156" s="4"/>
      <c r="BC156" s="4"/>
      <c r="BD156" s="4"/>
      <c r="BE156" s="1" t="s">
        <v>61</v>
      </c>
      <c r="BF156" s="1">
        <v>180</v>
      </c>
      <c r="BG156" s="1">
        <v>90</v>
      </c>
      <c r="BH156">
        <f>BF156-BG156</f>
        <v>90</v>
      </c>
      <c r="BI156" s="6"/>
    </row>
    <row r="157" spans="1:61" x14ac:dyDescent="0.2">
      <c r="A157" t="s">
        <v>338</v>
      </c>
      <c r="B157" s="1" t="s">
        <v>169</v>
      </c>
      <c r="C157" s="1">
        <v>2016</v>
      </c>
      <c r="D157" s="1" t="s">
        <v>176</v>
      </c>
      <c r="E157" s="1" t="s">
        <v>51</v>
      </c>
      <c r="F157" s="1" t="s">
        <v>356</v>
      </c>
      <c r="G157" s="2" t="s">
        <v>356</v>
      </c>
      <c r="H157" s="1" t="s">
        <v>51</v>
      </c>
      <c r="I157" s="1" t="s">
        <v>51</v>
      </c>
      <c r="J157" s="1" t="s">
        <v>113</v>
      </c>
      <c r="K157" s="2" t="s">
        <v>372</v>
      </c>
      <c r="L157" s="2" t="s">
        <v>400</v>
      </c>
      <c r="M157" s="2" t="s">
        <v>390</v>
      </c>
      <c r="N157" s="1" t="s">
        <v>171</v>
      </c>
      <c r="O157" s="1" t="s">
        <v>474</v>
      </c>
      <c r="P157" s="1" t="s">
        <v>383</v>
      </c>
      <c r="Q157" s="1" t="s">
        <v>475</v>
      </c>
      <c r="R157" s="1" t="s">
        <v>373</v>
      </c>
      <c r="S157" s="1" t="s">
        <v>37</v>
      </c>
      <c r="T157" s="1" t="s">
        <v>38</v>
      </c>
      <c r="U157" s="1" t="s">
        <v>172</v>
      </c>
      <c r="V157" s="1" t="s">
        <v>40</v>
      </c>
      <c r="W157" s="1" t="s">
        <v>42</v>
      </c>
      <c r="X157" s="1" t="s">
        <v>42</v>
      </c>
      <c r="Y157" s="1" t="s">
        <v>42</v>
      </c>
      <c r="Z157" s="1" t="s">
        <v>41</v>
      </c>
      <c r="AA157" s="1" t="s">
        <v>42</v>
      </c>
      <c r="AB157" s="1" t="s">
        <v>41</v>
      </c>
      <c r="AC157" s="1" t="s">
        <v>42</v>
      </c>
      <c r="AD157" s="1" t="s">
        <v>42</v>
      </c>
      <c r="AE157" s="1" t="s">
        <v>42</v>
      </c>
      <c r="AF157" s="1" t="s">
        <v>41</v>
      </c>
      <c r="AG157" s="1" t="s">
        <v>42</v>
      </c>
      <c r="AH157" s="1" t="s">
        <v>41</v>
      </c>
      <c r="AI157" s="3">
        <v>54</v>
      </c>
      <c r="AJ157" s="3">
        <v>76.290000000000006</v>
      </c>
      <c r="AK157" s="3">
        <v>62.28</v>
      </c>
      <c r="AL157" s="3">
        <v>71</v>
      </c>
      <c r="AM157" s="1" t="s">
        <v>177</v>
      </c>
      <c r="AN157" s="1" t="s">
        <v>178</v>
      </c>
      <c r="AO157" s="1"/>
      <c r="AP157" s="1" t="s">
        <v>44</v>
      </c>
      <c r="AQ157" s="1" t="s">
        <v>175</v>
      </c>
      <c r="AR157" s="1" t="s">
        <v>46</v>
      </c>
      <c r="AS157" s="4">
        <v>31.19</v>
      </c>
      <c r="AT157" s="31">
        <v>35</v>
      </c>
      <c r="AU157" s="5">
        <v>35</v>
      </c>
      <c r="AV157" s="4">
        <v>16.54</v>
      </c>
      <c r="AW157" s="15">
        <f>AT157-AZ157</f>
        <v>1</v>
      </c>
      <c r="AX157" s="4">
        <f>AW157/AT157*100</f>
        <v>2.8571428571428572</v>
      </c>
      <c r="AY157" s="4">
        <v>32.86</v>
      </c>
      <c r="AZ157" s="5">
        <v>34</v>
      </c>
      <c r="BA157" s="4">
        <v>16.100000000000001</v>
      </c>
      <c r="BB157" s="4"/>
      <c r="BC157" s="4"/>
      <c r="BD157" s="4"/>
      <c r="BE157" s="1" t="s">
        <v>106</v>
      </c>
      <c r="BF157" s="1">
        <v>90</v>
      </c>
      <c r="BG157" s="1">
        <v>90</v>
      </c>
      <c r="BH157">
        <f>BF157-BG157</f>
        <v>0</v>
      </c>
      <c r="BI157" s="6"/>
    </row>
    <row r="158" spans="1:61" x14ac:dyDescent="0.2">
      <c r="A158" t="s">
        <v>338</v>
      </c>
      <c r="B158" s="1" t="s">
        <v>169</v>
      </c>
      <c r="C158" s="1">
        <v>2016</v>
      </c>
      <c r="D158" s="1" t="s">
        <v>176</v>
      </c>
      <c r="E158" s="1" t="s">
        <v>51</v>
      </c>
      <c r="F158" s="1" t="s">
        <v>356</v>
      </c>
      <c r="G158" s="2" t="s">
        <v>356</v>
      </c>
      <c r="H158" s="1" t="s">
        <v>51</v>
      </c>
      <c r="I158" s="1" t="s">
        <v>51</v>
      </c>
      <c r="J158" s="1" t="s">
        <v>113</v>
      </c>
      <c r="K158" s="2" t="s">
        <v>372</v>
      </c>
      <c r="L158" s="2" t="s">
        <v>400</v>
      </c>
      <c r="M158" s="2" t="s">
        <v>390</v>
      </c>
      <c r="N158" s="1" t="s">
        <v>171</v>
      </c>
      <c r="O158" s="1" t="s">
        <v>474</v>
      </c>
      <c r="P158" s="1" t="s">
        <v>383</v>
      </c>
      <c r="Q158" s="1" t="s">
        <v>475</v>
      </c>
      <c r="R158" s="1" t="s">
        <v>373</v>
      </c>
      <c r="S158" s="1" t="s">
        <v>37</v>
      </c>
      <c r="T158" s="1" t="s">
        <v>38</v>
      </c>
      <c r="U158" s="1" t="s">
        <v>172</v>
      </c>
      <c r="V158" s="1" t="s">
        <v>40</v>
      </c>
      <c r="W158" s="1" t="s">
        <v>42</v>
      </c>
      <c r="X158" s="1" t="s">
        <v>42</v>
      </c>
      <c r="Y158" s="1" t="s">
        <v>42</v>
      </c>
      <c r="Z158" s="1" t="s">
        <v>41</v>
      </c>
      <c r="AA158" s="1" t="s">
        <v>42</v>
      </c>
      <c r="AB158" s="1" t="s">
        <v>41</v>
      </c>
      <c r="AC158" s="1" t="s">
        <v>42</v>
      </c>
      <c r="AD158" s="1" t="s">
        <v>42</v>
      </c>
      <c r="AE158" s="1" t="s">
        <v>42</v>
      </c>
      <c r="AF158" s="1" t="s">
        <v>41</v>
      </c>
      <c r="AG158" s="1" t="s">
        <v>42</v>
      </c>
      <c r="AH158" s="1" t="s">
        <v>41</v>
      </c>
      <c r="AI158" s="3">
        <v>54</v>
      </c>
      <c r="AJ158" s="3">
        <v>76.290000000000006</v>
      </c>
      <c r="AK158" s="3">
        <v>62.28</v>
      </c>
      <c r="AL158" s="3">
        <v>71</v>
      </c>
      <c r="AM158" s="1" t="s">
        <v>177</v>
      </c>
      <c r="AN158" s="1" t="s">
        <v>178</v>
      </c>
      <c r="AO158" s="1"/>
      <c r="AP158" s="1" t="s">
        <v>179</v>
      </c>
      <c r="AQ158" s="1" t="s">
        <v>78</v>
      </c>
      <c r="AR158" s="1" t="s">
        <v>46</v>
      </c>
      <c r="AS158" s="4">
        <v>87.2</v>
      </c>
      <c r="AT158" s="31">
        <v>35</v>
      </c>
      <c r="AU158" s="5">
        <v>35</v>
      </c>
      <c r="AV158" s="4">
        <v>5.69</v>
      </c>
      <c r="AW158" s="15">
        <f>AT158-AZ158</f>
        <v>1</v>
      </c>
      <c r="AX158" s="4">
        <f>AW158/AT158*100</f>
        <v>2.8571428571428572</v>
      </c>
      <c r="AY158" s="4">
        <v>85.23</v>
      </c>
      <c r="AZ158" s="5">
        <v>34</v>
      </c>
      <c r="BA158" s="4">
        <v>5.68</v>
      </c>
      <c r="BB158" s="4"/>
      <c r="BC158" s="4"/>
      <c r="BD158" s="4"/>
      <c r="BE158" s="1" t="s">
        <v>61</v>
      </c>
      <c r="BF158" s="1">
        <v>180</v>
      </c>
      <c r="BG158" s="1">
        <v>90</v>
      </c>
      <c r="BH158">
        <f>BF158-BG158</f>
        <v>90</v>
      </c>
      <c r="BI158" s="6"/>
    </row>
    <row r="159" spans="1:61" x14ac:dyDescent="0.2">
      <c r="A159" t="s">
        <v>338</v>
      </c>
      <c r="B159" s="1" t="s">
        <v>169</v>
      </c>
      <c r="C159" s="1">
        <v>2016</v>
      </c>
      <c r="D159" s="1" t="s">
        <v>176</v>
      </c>
      <c r="E159" s="1" t="s">
        <v>51</v>
      </c>
      <c r="F159" s="1" t="s">
        <v>356</v>
      </c>
      <c r="G159" s="2" t="s">
        <v>356</v>
      </c>
      <c r="H159" s="1" t="s">
        <v>51</v>
      </c>
      <c r="I159" s="1" t="s">
        <v>51</v>
      </c>
      <c r="J159" s="1" t="s">
        <v>113</v>
      </c>
      <c r="K159" s="2" t="s">
        <v>372</v>
      </c>
      <c r="L159" s="2" t="s">
        <v>400</v>
      </c>
      <c r="M159" s="2" t="s">
        <v>390</v>
      </c>
      <c r="N159" s="1" t="s">
        <v>171</v>
      </c>
      <c r="O159" s="1" t="s">
        <v>474</v>
      </c>
      <c r="P159" s="1" t="s">
        <v>383</v>
      </c>
      <c r="Q159" s="1" t="s">
        <v>475</v>
      </c>
      <c r="R159" s="1" t="s">
        <v>373</v>
      </c>
      <c r="S159" s="1" t="s">
        <v>37</v>
      </c>
      <c r="T159" s="1" t="s">
        <v>38</v>
      </c>
      <c r="U159" s="1" t="s">
        <v>172</v>
      </c>
      <c r="V159" s="1" t="s">
        <v>40</v>
      </c>
      <c r="W159" s="1" t="s">
        <v>42</v>
      </c>
      <c r="X159" s="1" t="s">
        <v>42</v>
      </c>
      <c r="Y159" s="1" t="s">
        <v>42</v>
      </c>
      <c r="Z159" s="1" t="s">
        <v>41</v>
      </c>
      <c r="AA159" s="1" t="s">
        <v>42</v>
      </c>
      <c r="AB159" s="1" t="s">
        <v>41</v>
      </c>
      <c r="AC159" s="1" t="s">
        <v>42</v>
      </c>
      <c r="AD159" s="1" t="s">
        <v>42</v>
      </c>
      <c r="AE159" s="1" t="s">
        <v>42</v>
      </c>
      <c r="AF159" s="1" t="s">
        <v>41</v>
      </c>
      <c r="AG159" s="1" t="s">
        <v>42</v>
      </c>
      <c r="AH159" s="1" t="s">
        <v>41</v>
      </c>
      <c r="AI159" s="3">
        <v>54</v>
      </c>
      <c r="AJ159" s="3">
        <v>76.290000000000006</v>
      </c>
      <c r="AK159" s="3">
        <v>62.28</v>
      </c>
      <c r="AL159" s="3">
        <v>71</v>
      </c>
      <c r="AM159" s="1" t="s">
        <v>177</v>
      </c>
      <c r="AN159" s="1" t="s">
        <v>178</v>
      </c>
      <c r="AO159" s="1"/>
      <c r="AP159" s="1" t="s">
        <v>179</v>
      </c>
      <c r="AQ159" s="1" t="s">
        <v>78</v>
      </c>
      <c r="AR159" s="1" t="s">
        <v>46</v>
      </c>
      <c r="AS159" s="4">
        <v>87.2</v>
      </c>
      <c r="AT159" s="31">
        <v>35</v>
      </c>
      <c r="AU159" s="5">
        <v>35</v>
      </c>
      <c r="AV159" s="4">
        <v>5.69</v>
      </c>
      <c r="AW159" s="15">
        <f>AT159-AZ159</f>
        <v>1</v>
      </c>
      <c r="AX159" s="4">
        <f>AW159/AT159*100</f>
        <v>2.8571428571428572</v>
      </c>
      <c r="AY159" s="4">
        <v>86.2</v>
      </c>
      <c r="AZ159" s="5">
        <v>34</v>
      </c>
      <c r="BA159" s="4">
        <v>5.21</v>
      </c>
      <c r="BB159" s="4"/>
      <c r="BC159" s="4"/>
      <c r="BD159" s="4"/>
      <c r="BE159" s="1" t="s">
        <v>106</v>
      </c>
      <c r="BF159" s="1">
        <v>90</v>
      </c>
      <c r="BG159" s="1">
        <v>90</v>
      </c>
      <c r="BH159">
        <f>BF159-BG159</f>
        <v>0</v>
      </c>
      <c r="BI159" s="6"/>
    </row>
    <row r="160" spans="1:61" x14ac:dyDescent="0.2">
      <c r="A160" t="s">
        <v>338</v>
      </c>
      <c r="B160" s="1" t="s">
        <v>169</v>
      </c>
      <c r="C160" s="1">
        <v>2016</v>
      </c>
      <c r="D160" s="1" t="s">
        <v>176</v>
      </c>
      <c r="E160" s="1" t="s">
        <v>51</v>
      </c>
      <c r="F160" s="1" t="s">
        <v>356</v>
      </c>
      <c r="G160" s="2" t="s">
        <v>356</v>
      </c>
      <c r="H160" s="1" t="s">
        <v>51</v>
      </c>
      <c r="I160" s="1" t="s">
        <v>51</v>
      </c>
      <c r="J160" s="1" t="s">
        <v>113</v>
      </c>
      <c r="K160" s="2" t="s">
        <v>372</v>
      </c>
      <c r="L160" s="2" t="s">
        <v>400</v>
      </c>
      <c r="M160" s="2" t="s">
        <v>390</v>
      </c>
      <c r="N160" s="1" t="s">
        <v>171</v>
      </c>
      <c r="O160" s="1" t="s">
        <v>474</v>
      </c>
      <c r="P160" s="1" t="s">
        <v>383</v>
      </c>
      <c r="Q160" s="1" t="s">
        <v>475</v>
      </c>
      <c r="R160" s="1" t="s">
        <v>373</v>
      </c>
      <c r="S160" s="1" t="s">
        <v>37</v>
      </c>
      <c r="T160" s="1" t="s">
        <v>38</v>
      </c>
      <c r="U160" s="1" t="s">
        <v>172</v>
      </c>
      <c r="V160" s="1" t="s">
        <v>40</v>
      </c>
      <c r="W160" s="1" t="s">
        <v>42</v>
      </c>
      <c r="X160" s="1" t="s">
        <v>42</v>
      </c>
      <c r="Y160" s="1" t="s">
        <v>42</v>
      </c>
      <c r="Z160" s="1" t="s">
        <v>41</v>
      </c>
      <c r="AA160" s="1" t="s">
        <v>42</v>
      </c>
      <c r="AB160" s="1" t="s">
        <v>41</v>
      </c>
      <c r="AC160" s="1" t="s">
        <v>42</v>
      </c>
      <c r="AD160" s="1" t="s">
        <v>42</v>
      </c>
      <c r="AE160" s="1" t="s">
        <v>42</v>
      </c>
      <c r="AF160" s="1" t="s">
        <v>41</v>
      </c>
      <c r="AG160" s="1" t="s">
        <v>42</v>
      </c>
      <c r="AH160" s="1" t="s">
        <v>41</v>
      </c>
      <c r="AI160" s="3">
        <v>54</v>
      </c>
      <c r="AJ160" s="3">
        <v>76.290000000000006</v>
      </c>
      <c r="AK160" s="3">
        <v>62.28</v>
      </c>
      <c r="AL160" s="3">
        <v>71</v>
      </c>
      <c r="AM160" s="1" t="s">
        <v>177</v>
      </c>
      <c r="AN160" s="1" t="s">
        <v>178</v>
      </c>
      <c r="AO160" s="1"/>
      <c r="AP160" s="1" t="s">
        <v>134</v>
      </c>
      <c r="AQ160" s="1" t="s">
        <v>321</v>
      </c>
      <c r="AR160" s="1" t="s">
        <v>46</v>
      </c>
      <c r="AS160" s="4">
        <v>8.6300000000000008</v>
      </c>
      <c r="AT160" s="31">
        <v>35</v>
      </c>
      <c r="AU160" s="5">
        <v>35</v>
      </c>
      <c r="AV160" s="4">
        <v>3.18</v>
      </c>
      <c r="AW160" s="15">
        <f>AT160-AZ160</f>
        <v>1</v>
      </c>
      <c r="AX160" s="4">
        <f>AW160/AT160*100</f>
        <v>2.8571428571428572</v>
      </c>
      <c r="AY160" s="4">
        <v>9.86</v>
      </c>
      <c r="AZ160" s="5">
        <v>34</v>
      </c>
      <c r="BA160" s="4">
        <v>3.47</v>
      </c>
      <c r="BB160" s="4"/>
      <c r="BC160" s="4"/>
      <c r="BD160" s="4"/>
      <c r="BE160" s="1" t="s">
        <v>61</v>
      </c>
      <c r="BF160" s="1">
        <v>180</v>
      </c>
      <c r="BG160" s="1">
        <v>90</v>
      </c>
      <c r="BH160">
        <f>BF160-BG160</f>
        <v>90</v>
      </c>
      <c r="BI160" s="6"/>
    </row>
    <row r="161" spans="1:61" x14ac:dyDescent="0.2">
      <c r="A161" t="s">
        <v>338</v>
      </c>
      <c r="B161" s="1" t="s">
        <v>169</v>
      </c>
      <c r="C161" s="1">
        <v>2016</v>
      </c>
      <c r="D161" s="1" t="s">
        <v>176</v>
      </c>
      <c r="E161" s="1" t="s">
        <v>51</v>
      </c>
      <c r="F161" s="1" t="s">
        <v>356</v>
      </c>
      <c r="G161" s="2" t="s">
        <v>356</v>
      </c>
      <c r="H161" s="1" t="s">
        <v>51</v>
      </c>
      <c r="I161" s="1" t="s">
        <v>51</v>
      </c>
      <c r="J161" s="1" t="s">
        <v>113</v>
      </c>
      <c r="K161" s="2" t="s">
        <v>372</v>
      </c>
      <c r="L161" s="2" t="s">
        <v>400</v>
      </c>
      <c r="M161" s="2" t="s">
        <v>390</v>
      </c>
      <c r="N161" s="1" t="s">
        <v>171</v>
      </c>
      <c r="O161" s="1" t="s">
        <v>474</v>
      </c>
      <c r="P161" s="1" t="s">
        <v>383</v>
      </c>
      <c r="Q161" s="1" t="s">
        <v>475</v>
      </c>
      <c r="R161" s="1" t="s">
        <v>373</v>
      </c>
      <c r="S161" s="1" t="s">
        <v>37</v>
      </c>
      <c r="T161" s="1" t="s">
        <v>38</v>
      </c>
      <c r="U161" s="1" t="s">
        <v>172</v>
      </c>
      <c r="V161" s="1" t="s">
        <v>40</v>
      </c>
      <c r="W161" s="1" t="s">
        <v>42</v>
      </c>
      <c r="X161" s="1" t="s">
        <v>42</v>
      </c>
      <c r="Y161" s="1" t="s">
        <v>42</v>
      </c>
      <c r="Z161" s="1" t="s">
        <v>41</v>
      </c>
      <c r="AA161" s="1" t="s">
        <v>42</v>
      </c>
      <c r="AB161" s="1" t="s">
        <v>41</v>
      </c>
      <c r="AC161" s="1" t="s">
        <v>42</v>
      </c>
      <c r="AD161" s="1" t="s">
        <v>42</v>
      </c>
      <c r="AE161" s="1" t="s">
        <v>42</v>
      </c>
      <c r="AF161" s="1" t="s">
        <v>41</v>
      </c>
      <c r="AG161" s="1" t="s">
        <v>42</v>
      </c>
      <c r="AH161" s="1" t="s">
        <v>41</v>
      </c>
      <c r="AI161" s="3">
        <v>54</v>
      </c>
      <c r="AJ161" s="3">
        <v>76.290000000000006</v>
      </c>
      <c r="AK161" s="3">
        <v>62.28</v>
      </c>
      <c r="AL161" s="3">
        <v>71</v>
      </c>
      <c r="AM161" s="1" t="s">
        <v>177</v>
      </c>
      <c r="AN161" s="1" t="s">
        <v>178</v>
      </c>
      <c r="AO161" s="1"/>
      <c r="AP161" s="1" t="s">
        <v>82</v>
      </c>
      <c r="AQ161" s="1" t="s">
        <v>476</v>
      </c>
      <c r="AR161" s="1" t="s">
        <v>46</v>
      </c>
      <c r="AS161" s="4">
        <v>32.83</v>
      </c>
      <c r="AT161" s="31">
        <v>35</v>
      </c>
      <c r="AU161" s="5">
        <v>35</v>
      </c>
      <c r="AV161" s="4">
        <v>4.6900000000000004</v>
      </c>
      <c r="AW161" s="15">
        <f>AT161-AZ161</f>
        <v>1</v>
      </c>
      <c r="AX161" s="4">
        <f>AW161/AT161*100</f>
        <v>2.8571428571428572</v>
      </c>
      <c r="AY161" s="4">
        <v>32.630000000000003</v>
      </c>
      <c r="AZ161" s="5">
        <v>34</v>
      </c>
      <c r="BA161" s="4">
        <v>4.6399999999999997</v>
      </c>
      <c r="BB161" s="4"/>
      <c r="BC161" s="4"/>
      <c r="BD161" s="4"/>
      <c r="BE161" s="1" t="s">
        <v>106</v>
      </c>
      <c r="BF161" s="1">
        <v>90</v>
      </c>
      <c r="BG161" s="1">
        <v>90</v>
      </c>
      <c r="BH161">
        <f>BF161-BG161</f>
        <v>0</v>
      </c>
      <c r="BI161" s="6"/>
    </row>
    <row r="162" spans="1:61" x14ac:dyDescent="0.2">
      <c r="A162" t="s">
        <v>338</v>
      </c>
      <c r="B162" s="1" t="s">
        <v>169</v>
      </c>
      <c r="C162" s="1">
        <v>2016</v>
      </c>
      <c r="D162" s="1" t="s">
        <v>176</v>
      </c>
      <c r="E162" s="1" t="s">
        <v>51</v>
      </c>
      <c r="F162" s="1" t="s">
        <v>356</v>
      </c>
      <c r="G162" s="2" t="s">
        <v>356</v>
      </c>
      <c r="H162" s="1" t="s">
        <v>51</v>
      </c>
      <c r="I162" s="1" t="s">
        <v>51</v>
      </c>
      <c r="J162" s="1" t="s">
        <v>113</v>
      </c>
      <c r="K162" s="2" t="s">
        <v>372</v>
      </c>
      <c r="L162" s="2" t="s">
        <v>400</v>
      </c>
      <c r="M162" s="2" t="s">
        <v>390</v>
      </c>
      <c r="N162" s="1" t="s">
        <v>171</v>
      </c>
      <c r="O162" s="1" t="s">
        <v>474</v>
      </c>
      <c r="P162" s="1" t="s">
        <v>383</v>
      </c>
      <c r="Q162" s="1" t="s">
        <v>475</v>
      </c>
      <c r="R162" s="1" t="s">
        <v>373</v>
      </c>
      <c r="S162" s="1" t="s">
        <v>37</v>
      </c>
      <c r="T162" s="1" t="s">
        <v>38</v>
      </c>
      <c r="U162" s="1" t="s">
        <v>172</v>
      </c>
      <c r="V162" s="1" t="s">
        <v>40</v>
      </c>
      <c r="W162" s="1" t="s">
        <v>42</v>
      </c>
      <c r="X162" s="1" t="s">
        <v>42</v>
      </c>
      <c r="Y162" s="1" t="s">
        <v>42</v>
      </c>
      <c r="Z162" s="1" t="s">
        <v>41</v>
      </c>
      <c r="AA162" s="1" t="s">
        <v>42</v>
      </c>
      <c r="AB162" s="1" t="s">
        <v>41</v>
      </c>
      <c r="AC162" s="1" t="s">
        <v>42</v>
      </c>
      <c r="AD162" s="1" t="s">
        <v>42</v>
      </c>
      <c r="AE162" s="1" t="s">
        <v>42</v>
      </c>
      <c r="AF162" s="1" t="s">
        <v>41</v>
      </c>
      <c r="AG162" s="1" t="s">
        <v>42</v>
      </c>
      <c r="AH162" s="1" t="s">
        <v>41</v>
      </c>
      <c r="AI162" s="3">
        <v>54</v>
      </c>
      <c r="AJ162" s="3">
        <v>76.290000000000006</v>
      </c>
      <c r="AK162" s="3">
        <v>62.28</v>
      </c>
      <c r="AL162" s="3">
        <v>71</v>
      </c>
      <c r="AM162" s="1" t="s">
        <v>177</v>
      </c>
      <c r="AN162" s="1" t="s">
        <v>178</v>
      </c>
      <c r="AO162" s="1"/>
      <c r="AP162" s="1" t="s">
        <v>134</v>
      </c>
      <c r="AQ162" s="1" t="s">
        <v>321</v>
      </c>
      <c r="AR162" s="1" t="s">
        <v>46</v>
      </c>
      <c r="AS162" s="4">
        <v>8.6300000000000008</v>
      </c>
      <c r="AT162" s="31">
        <v>35</v>
      </c>
      <c r="AU162" s="5">
        <v>35</v>
      </c>
      <c r="AV162" s="4">
        <v>3.18</v>
      </c>
      <c r="AW162" s="15">
        <f>AT162-AZ162</f>
        <v>1</v>
      </c>
      <c r="AX162" s="4">
        <f>AW162/AT162*100</f>
        <v>2.8571428571428572</v>
      </c>
      <c r="AY162" s="4">
        <v>8.83</v>
      </c>
      <c r="AZ162" s="5">
        <v>34</v>
      </c>
      <c r="BA162" s="4">
        <v>3.34</v>
      </c>
      <c r="BB162" s="4"/>
      <c r="BC162" s="4"/>
      <c r="BD162" s="4"/>
      <c r="BE162" s="1" t="s">
        <v>106</v>
      </c>
      <c r="BF162" s="1">
        <v>90</v>
      </c>
      <c r="BG162" s="1">
        <v>90</v>
      </c>
      <c r="BH162">
        <f>BF162-BG162</f>
        <v>0</v>
      </c>
      <c r="BI162" s="6"/>
    </row>
    <row r="163" spans="1:61" x14ac:dyDescent="0.2">
      <c r="A163" t="s">
        <v>338</v>
      </c>
      <c r="B163" s="1" t="s">
        <v>169</v>
      </c>
      <c r="C163" s="1">
        <v>2016</v>
      </c>
      <c r="D163" s="1" t="s">
        <v>176</v>
      </c>
      <c r="E163" s="1" t="s">
        <v>51</v>
      </c>
      <c r="F163" s="1" t="s">
        <v>356</v>
      </c>
      <c r="G163" s="2" t="s">
        <v>356</v>
      </c>
      <c r="H163" s="1" t="s">
        <v>51</v>
      </c>
      <c r="I163" s="1" t="s">
        <v>51</v>
      </c>
      <c r="J163" s="1" t="s">
        <v>113</v>
      </c>
      <c r="K163" s="2" t="s">
        <v>372</v>
      </c>
      <c r="L163" s="2" t="s">
        <v>400</v>
      </c>
      <c r="M163" s="2" t="s">
        <v>390</v>
      </c>
      <c r="N163" s="1" t="s">
        <v>171</v>
      </c>
      <c r="O163" s="1" t="s">
        <v>474</v>
      </c>
      <c r="P163" s="1" t="s">
        <v>383</v>
      </c>
      <c r="Q163" s="1" t="s">
        <v>475</v>
      </c>
      <c r="R163" s="1" t="s">
        <v>373</v>
      </c>
      <c r="S163" s="1" t="s">
        <v>37</v>
      </c>
      <c r="T163" s="1" t="s">
        <v>38</v>
      </c>
      <c r="U163" s="1" t="s">
        <v>172</v>
      </c>
      <c r="V163" s="1" t="s">
        <v>40</v>
      </c>
      <c r="W163" s="1" t="s">
        <v>42</v>
      </c>
      <c r="X163" s="1" t="s">
        <v>42</v>
      </c>
      <c r="Y163" s="1" t="s">
        <v>42</v>
      </c>
      <c r="Z163" s="1" t="s">
        <v>41</v>
      </c>
      <c r="AA163" s="1" t="s">
        <v>42</v>
      </c>
      <c r="AB163" s="1" t="s">
        <v>41</v>
      </c>
      <c r="AC163" s="1" t="s">
        <v>42</v>
      </c>
      <c r="AD163" s="1" t="s">
        <v>42</v>
      </c>
      <c r="AE163" s="1" t="s">
        <v>42</v>
      </c>
      <c r="AF163" s="1" t="s">
        <v>41</v>
      </c>
      <c r="AG163" s="1" t="s">
        <v>42</v>
      </c>
      <c r="AH163" s="1" t="s">
        <v>41</v>
      </c>
      <c r="AI163" s="3">
        <v>54</v>
      </c>
      <c r="AJ163" s="3">
        <v>76.290000000000006</v>
      </c>
      <c r="AK163" s="3">
        <v>62.28</v>
      </c>
      <c r="AL163" s="3">
        <v>71</v>
      </c>
      <c r="AM163" s="1" t="s">
        <v>177</v>
      </c>
      <c r="AN163" s="1" t="s">
        <v>178</v>
      </c>
      <c r="AO163" s="1"/>
      <c r="AP163" s="1" t="s">
        <v>82</v>
      </c>
      <c r="AQ163" s="1" t="s">
        <v>476</v>
      </c>
      <c r="AR163" s="1" t="s">
        <v>46</v>
      </c>
      <c r="AS163" s="4">
        <v>32.83</v>
      </c>
      <c r="AT163" s="31">
        <v>35</v>
      </c>
      <c r="AU163" s="5">
        <v>35</v>
      </c>
      <c r="AV163" s="4">
        <v>4.6900000000000004</v>
      </c>
      <c r="AW163" s="15">
        <f>AT163-AZ163</f>
        <v>1</v>
      </c>
      <c r="AX163" s="4">
        <f>AW163/AT163*100</f>
        <v>2.8571428571428572</v>
      </c>
      <c r="AY163" s="4">
        <v>31.91</v>
      </c>
      <c r="AZ163" s="5">
        <v>34</v>
      </c>
      <c r="BA163" s="4">
        <v>4.3</v>
      </c>
      <c r="BB163" s="4"/>
      <c r="BC163" s="4"/>
      <c r="BD163" s="4"/>
      <c r="BE163" s="1" t="s">
        <v>61</v>
      </c>
      <c r="BF163" s="1">
        <v>180</v>
      </c>
      <c r="BG163" s="1">
        <v>90</v>
      </c>
      <c r="BH163">
        <f>BF163-BG163</f>
        <v>90</v>
      </c>
      <c r="BI163" s="6"/>
    </row>
    <row r="164" spans="1:61" x14ac:dyDescent="0.2">
      <c r="A164" t="s">
        <v>338</v>
      </c>
      <c r="B164" s="1" t="s">
        <v>180</v>
      </c>
      <c r="C164" s="1">
        <v>2012</v>
      </c>
      <c r="D164" s="1" t="s">
        <v>50</v>
      </c>
      <c r="E164" s="1" t="s">
        <v>51</v>
      </c>
      <c r="F164" s="1" t="s">
        <v>356</v>
      </c>
      <c r="G164" s="2" t="s">
        <v>356</v>
      </c>
      <c r="H164" s="1" t="s">
        <v>51</v>
      </c>
      <c r="I164" s="1" t="s">
        <v>51</v>
      </c>
      <c r="J164" s="1" t="s">
        <v>86</v>
      </c>
      <c r="K164" s="1" t="s">
        <v>371</v>
      </c>
      <c r="L164" s="2"/>
      <c r="M164" s="2"/>
      <c r="N164" s="1" t="s">
        <v>87</v>
      </c>
      <c r="O164" s="1" t="s">
        <v>477</v>
      </c>
      <c r="P164" s="1" t="s">
        <v>404</v>
      </c>
      <c r="Q164" s="1" t="s">
        <v>478</v>
      </c>
      <c r="R164" s="1" t="s">
        <v>373</v>
      </c>
      <c r="S164" s="1" t="s">
        <v>37</v>
      </c>
      <c r="T164" s="1" t="s">
        <v>38</v>
      </c>
      <c r="U164" s="1" t="s">
        <v>115</v>
      </c>
      <c r="V164" s="1" t="s">
        <v>182</v>
      </c>
      <c r="W164" s="1" t="s">
        <v>42</v>
      </c>
      <c r="X164" s="1" t="s">
        <v>42</v>
      </c>
      <c r="Y164" s="1" t="s">
        <v>56</v>
      </c>
      <c r="Z164" s="1" t="s">
        <v>41</v>
      </c>
      <c r="AA164" s="1" t="s">
        <v>42</v>
      </c>
      <c r="AB164" s="1" t="s">
        <v>41</v>
      </c>
      <c r="AC164" s="1" t="s">
        <v>42</v>
      </c>
      <c r="AD164" s="1" t="s">
        <v>42</v>
      </c>
      <c r="AE164" s="1" t="s">
        <v>56</v>
      </c>
      <c r="AF164" s="1" t="s">
        <v>41</v>
      </c>
      <c r="AG164" s="1" t="s">
        <v>42</v>
      </c>
      <c r="AH164" s="1" t="s">
        <v>41</v>
      </c>
      <c r="AI164" s="3">
        <v>55</v>
      </c>
      <c r="AJ164" s="3">
        <v>68</v>
      </c>
      <c r="AK164" s="3"/>
      <c r="AL164" s="3"/>
      <c r="AM164" s="1" t="s">
        <v>186</v>
      </c>
      <c r="AN164" s="1" t="s">
        <v>187</v>
      </c>
      <c r="AO164" s="1" t="s">
        <v>188</v>
      </c>
      <c r="AP164" s="1" t="s">
        <v>93</v>
      </c>
      <c r="AQ164" s="1" t="s">
        <v>89</v>
      </c>
      <c r="AR164" s="1" t="s">
        <v>46</v>
      </c>
      <c r="AS164" s="4">
        <v>18.559999999999899</v>
      </c>
      <c r="AT164" s="31">
        <v>20</v>
      </c>
      <c r="AU164" s="5">
        <v>20</v>
      </c>
      <c r="AV164" s="4">
        <v>3.67</v>
      </c>
      <c r="AW164" s="15">
        <f>AT164-AZ164</f>
        <v>0</v>
      </c>
      <c r="AX164" s="4">
        <f>AW164/AT164*100</f>
        <v>0</v>
      </c>
      <c r="AY164" s="4">
        <v>19.329999999999899</v>
      </c>
      <c r="AZ164" s="5">
        <v>20</v>
      </c>
      <c r="BA164" s="4">
        <v>4.1500000000000004</v>
      </c>
      <c r="BB164" s="4"/>
      <c r="BC164" s="4"/>
      <c r="BD164" s="4"/>
      <c r="BE164" s="1" t="s">
        <v>262</v>
      </c>
      <c r="BF164" s="1">
        <v>194</v>
      </c>
      <c r="BG164" s="1">
        <v>14</v>
      </c>
      <c r="BH164">
        <f>BF164-BG164</f>
        <v>180</v>
      </c>
      <c r="BI164" s="6"/>
    </row>
    <row r="165" spans="1:61" x14ac:dyDescent="0.2">
      <c r="A165" t="s">
        <v>338</v>
      </c>
      <c r="B165" s="1" t="s">
        <v>180</v>
      </c>
      <c r="C165" s="1">
        <v>2012</v>
      </c>
      <c r="D165" s="1" t="s">
        <v>50</v>
      </c>
      <c r="E165" s="1" t="s">
        <v>51</v>
      </c>
      <c r="F165" s="1" t="s">
        <v>356</v>
      </c>
      <c r="G165" s="2" t="s">
        <v>356</v>
      </c>
      <c r="H165" s="1" t="s">
        <v>51</v>
      </c>
      <c r="I165" s="1" t="s">
        <v>51</v>
      </c>
      <c r="J165" s="1" t="s">
        <v>86</v>
      </c>
      <c r="K165" s="1" t="s">
        <v>371</v>
      </c>
      <c r="L165" s="2"/>
      <c r="M165" s="2"/>
      <c r="N165" s="1" t="s">
        <v>87</v>
      </c>
      <c r="O165" s="1" t="s">
        <v>477</v>
      </c>
      <c r="P165" s="1" t="s">
        <v>404</v>
      </c>
      <c r="Q165" s="1" t="s">
        <v>478</v>
      </c>
      <c r="R165" s="1" t="s">
        <v>373</v>
      </c>
      <c r="S165" s="1" t="s">
        <v>37</v>
      </c>
      <c r="T165" s="1" t="s">
        <v>38</v>
      </c>
      <c r="U165" s="1" t="s">
        <v>115</v>
      </c>
      <c r="V165" s="1" t="s">
        <v>182</v>
      </c>
      <c r="W165" s="1" t="s">
        <v>42</v>
      </c>
      <c r="X165" s="1" t="s">
        <v>42</v>
      </c>
      <c r="Y165" s="1" t="s">
        <v>56</v>
      </c>
      <c r="Z165" s="1" t="s">
        <v>41</v>
      </c>
      <c r="AA165" s="1" t="s">
        <v>42</v>
      </c>
      <c r="AB165" s="1" t="s">
        <v>41</v>
      </c>
      <c r="AC165" s="1" t="s">
        <v>42</v>
      </c>
      <c r="AD165" s="1" t="s">
        <v>42</v>
      </c>
      <c r="AE165" s="1" t="s">
        <v>56</v>
      </c>
      <c r="AF165" s="1" t="s">
        <v>41</v>
      </c>
      <c r="AG165" s="1" t="s">
        <v>42</v>
      </c>
      <c r="AH165" s="1" t="s">
        <v>41</v>
      </c>
      <c r="AI165" s="3">
        <v>55</v>
      </c>
      <c r="AJ165" s="3">
        <v>68</v>
      </c>
      <c r="AK165" s="3"/>
      <c r="AL165" s="3"/>
      <c r="AM165" s="1" t="s">
        <v>186</v>
      </c>
      <c r="AN165" s="1" t="s">
        <v>187</v>
      </c>
      <c r="AO165" s="1" t="s">
        <v>188</v>
      </c>
      <c r="AP165" s="1" t="s">
        <v>252</v>
      </c>
      <c r="AQ165" s="1" t="s">
        <v>318</v>
      </c>
      <c r="AR165" s="1" t="s">
        <v>46</v>
      </c>
      <c r="AS165" s="4">
        <v>23.6</v>
      </c>
      <c r="AT165" s="31">
        <v>20</v>
      </c>
      <c r="AU165" s="5">
        <v>20</v>
      </c>
      <c r="AV165" s="4">
        <v>3.3</v>
      </c>
      <c r="AW165" s="15">
        <f>AT165-AZ165</f>
        <v>0</v>
      </c>
      <c r="AX165" s="4">
        <f>AW165/AT165*100</f>
        <v>0</v>
      </c>
      <c r="AY165" s="4">
        <v>22.2</v>
      </c>
      <c r="AZ165" s="5">
        <v>20</v>
      </c>
      <c r="BA165" s="4">
        <v>2.9</v>
      </c>
      <c r="BB165" s="4"/>
      <c r="BC165" s="4"/>
      <c r="BD165" s="4"/>
      <c r="BE165" s="1" t="s">
        <v>262</v>
      </c>
      <c r="BF165" s="1">
        <v>194</v>
      </c>
      <c r="BG165" s="1">
        <v>14</v>
      </c>
      <c r="BH165">
        <f>BF165-BG165</f>
        <v>180</v>
      </c>
      <c r="BI165" s="6"/>
    </row>
    <row r="166" spans="1:61" x14ac:dyDescent="0.2">
      <c r="A166" t="s">
        <v>406</v>
      </c>
      <c r="B166" s="1" t="s">
        <v>189</v>
      </c>
      <c r="C166" s="1">
        <v>2010</v>
      </c>
      <c r="D166" s="1" t="s">
        <v>190</v>
      </c>
      <c r="E166" s="1" t="s">
        <v>51</v>
      </c>
      <c r="F166" s="1" t="s">
        <v>356</v>
      </c>
      <c r="G166" s="2" t="s">
        <v>356</v>
      </c>
      <c r="H166" s="1" t="s">
        <v>51</v>
      </c>
      <c r="I166" s="1" t="s">
        <v>51</v>
      </c>
      <c r="J166" s="1" t="s">
        <v>86</v>
      </c>
      <c r="K166" s="1" t="s">
        <v>371</v>
      </c>
      <c r="L166" s="2"/>
      <c r="M166" s="2"/>
      <c r="N166" s="1" t="s">
        <v>191</v>
      </c>
      <c r="O166" s="1" t="s">
        <v>480</v>
      </c>
      <c r="P166" s="1" t="s">
        <v>404</v>
      </c>
      <c r="Q166" s="1" t="s">
        <v>479</v>
      </c>
      <c r="R166" s="1" t="s">
        <v>373</v>
      </c>
      <c r="S166" s="1" t="s">
        <v>37</v>
      </c>
      <c r="T166" s="1" t="s">
        <v>38</v>
      </c>
      <c r="U166" s="1" t="s">
        <v>55</v>
      </c>
      <c r="V166" s="1" t="s">
        <v>88</v>
      </c>
      <c r="W166" s="1" t="s">
        <v>42</v>
      </c>
      <c r="X166" s="1" t="s">
        <v>42</v>
      </c>
      <c r="Y166" s="1" t="s">
        <v>56</v>
      </c>
      <c r="Z166" s="1" t="s">
        <v>42</v>
      </c>
      <c r="AA166" s="1" t="s">
        <v>42</v>
      </c>
      <c r="AB166" s="1" t="s">
        <v>42</v>
      </c>
      <c r="AC166" s="1" t="s">
        <v>42</v>
      </c>
      <c r="AD166" s="1" t="s">
        <v>42</v>
      </c>
      <c r="AE166" s="1" t="s">
        <v>56</v>
      </c>
      <c r="AF166" s="1" t="s">
        <v>42</v>
      </c>
      <c r="AG166" s="1" t="s">
        <v>42</v>
      </c>
      <c r="AH166" s="1" t="s">
        <v>42</v>
      </c>
      <c r="AI166" s="3">
        <v>52.63</v>
      </c>
      <c r="AJ166" s="3">
        <v>73.2</v>
      </c>
      <c r="AK166" s="3"/>
      <c r="AL166" s="3"/>
      <c r="AM166" s="1" t="s">
        <v>192</v>
      </c>
      <c r="AN166" s="1" t="s">
        <v>193</v>
      </c>
      <c r="AO166" s="1" t="s">
        <v>194</v>
      </c>
      <c r="AP166" s="1" t="s">
        <v>82</v>
      </c>
      <c r="AQ166" s="1" t="s">
        <v>195</v>
      </c>
      <c r="AR166" s="1" t="s">
        <v>46</v>
      </c>
      <c r="AS166" s="4">
        <v>450.1</v>
      </c>
      <c r="AT166" s="35">
        <v>19</v>
      </c>
      <c r="AU166" s="5">
        <v>19</v>
      </c>
      <c r="AV166" s="4">
        <v>151</v>
      </c>
      <c r="AW166" s="15">
        <f>AT166-AZ166</f>
        <v>0</v>
      </c>
      <c r="AX166" s="4">
        <f>AW166/AT166*100</f>
        <v>0</v>
      </c>
      <c r="AY166" s="4">
        <v>405.1</v>
      </c>
      <c r="AZ166" s="5">
        <v>19</v>
      </c>
      <c r="BA166" s="4">
        <v>146.4</v>
      </c>
      <c r="BB166" s="4"/>
      <c r="BC166" s="4"/>
      <c r="BD166" s="4"/>
      <c r="BE166" s="1" t="s">
        <v>196</v>
      </c>
      <c r="BF166" s="1">
        <v>365</v>
      </c>
      <c r="BG166" s="1">
        <v>365</v>
      </c>
      <c r="BH166">
        <f>BF166-BG166</f>
        <v>0</v>
      </c>
      <c r="BI166" s="6"/>
    </row>
    <row r="167" spans="1:61" x14ac:dyDescent="0.2">
      <c r="A167" t="s">
        <v>338</v>
      </c>
      <c r="B167" s="1" t="s">
        <v>201</v>
      </c>
      <c r="C167" s="1">
        <v>2010</v>
      </c>
      <c r="D167" s="1" t="s">
        <v>190</v>
      </c>
      <c r="E167" s="1" t="s">
        <v>51</v>
      </c>
      <c r="F167" s="1" t="s">
        <v>356</v>
      </c>
      <c r="G167" s="2" t="s">
        <v>356</v>
      </c>
      <c r="H167" s="1" t="s">
        <v>51</v>
      </c>
      <c r="I167" s="1" t="s">
        <v>51</v>
      </c>
      <c r="J167" s="1" t="s">
        <v>86</v>
      </c>
      <c r="K167" s="1" t="s">
        <v>371</v>
      </c>
      <c r="L167" s="2"/>
      <c r="M167" s="2"/>
      <c r="N167" s="1" t="s">
        <v>202</v>
      </c>
      <c r="O167" s="1" t="s">
        <v>482</v>
      </c>
      <c r="P167" s="1" t="s">
        <v>404</v>
      </c>
      <c r="Q167" s="1" t="s">
        <v>481</v>
      </c>
      <c r="R167" s="1" t="s">
        <v>373</v>
      </c>
      <c r="S167" s="1" t="s">
        <v>37</v>
      </c>
      <c r="T167" s="1" t="s">
        <v>38</v>
      </c>
      <c r="U167" s="1" t="s">
        <v>55</v>
      </c>
      <c r="V167" s="1" t="s">
        <v>278</v>
      </c>
      <c r="W167" s="1" t="s">
        <v>42</v>
      </c>
      <c r="X167" s="1" t="s">
        <v>42</v>
      </c>
      <c r="Y167" s="1" t="s">
        <v>56</v>
      </c>
      <c r="Z167" s="1" t="s">
        <v>42</v>
      </c>
      <c r="AA167" s="1" t="s">
        <v>42</v>
      </c>
      <c r="AB167" s="1" t="s">
        <v>42</v>
      </c>
      <c r="AC167" s="1" t="s">
        <v>42</v>
      </c>
      <c r="AD167" s="1" t="s">
        <v>42</v>
      </c>
      <c r="AE167" s="1" t="s">
        <v>56</v>
      </c>
      <c r="AF167" s="1" t="s">
        <v>42</v>
      </c>
      <c r="AG167" s="1" t="s">
        <v>42</v>
      </c>
      <c r="AH167" s="1" t="s">
        <v>42</v>
      </c>
      <c r="AI167" s="3">
        <v>61.53</v>
      </c>
      <c r="AJ167" s="3">
        <v>68.430000000000007</v>
      </c>
      <c r="AK167" s="3"/>
      <c r="AL167" s="3"/>
      <c r="AM167" s="1" t="s">
        <v>203</v>
      </c>
      <c r="AN167" s="1"/>
      <c r="AO167" s="1"/>
      <c r="AP167" s="1" t="s">
        <v>93</v>
      </c>
      <c r="AQ167" s="1" t="s">
        <v>89</v>
      </c>
      <c r="AR167" s="1" t="s">
        <v>46</v>
      </c>
      <c r="AS167" s="4">
        <v>15.32</v>
      </c>
      <c r="AT167" s="31">
        <v>26</v>
      </c>
      <c r="AU167" s="5">
        <v>26</v>
      </c>
      <c r="AV167" s="4">
        <v>1.98</v>
      </c>
      <c r="AW167" s="15">
        <f>AT167-AZ167</f>
        <v>0</v>
      </c>
      <c r="AX167" s="4">
        <f>AW167/AT167*100</f>
        <v>0</v>
      </c>
      <c r="AY167" s="4">
        <v>14.07</v>
      </c>
      <c r="AZ167" s="5">
        <v>26</v>
      </c>
      <c r="BA167" s="4">
        <v>1.63</v>
      </c>
      <c r="BB167" s="4"/>
      <c r="BC167" s="4"/>
      <c r="BD167" s="4"/>
      <c r="BE167" s="1" t="s">
        <v>362</v>
      </c>
      <c r="BF167" s="1">
        <v>365</v>
      </c>
      <c r="BG167" s="1">
        <v>365</v>
      </c>
      <c r="BH167">
        <f>BF167-BG167</f>
        <v>0</v>
      </c>
      <c r="BI167" s="6"/>
    </row>
    <row r="168" spans="1:61" x14ac:dyDescent="0.2">
      <c r="A168" t="s">
        <v>338</v>
      </c>
      <c r="B168" s="1" t="s">
        <v>201</v>
      </c>
      <c r="C168" s="1">
        <v>2010</v>
      </c>
      <c r="D168" s="1" t="s">
        <v>190</v>
      </c>
      <c r="E168" s="1" t="s">
        <v>51</v>
      </c>
      <c r="F168" s="1" t="s">
        <v>356</v>
      </c>
      <c r="G168" s="2" t="s">
        <v>356</v>
      </c>
      <c r="H168" s="1" t="s">
        <v>51</v>
      </c>
      <c r="I168" s="1" t="s">
        <v>51</v>
      </c>
      <c r="J168" s="1" t="s">
        <v>86</v>
      </c>
      <c r="K168" s="1" t="s">
        <v>371</v>
      </c>
      <c r="L168" s="2"/>
      <c r="M168" s="2"/>
      <c r="N168" s="1" t="s">
        <v>202</v>
      </c>
      <c r="O168" s="1" t="s">
        <v>482</v>
      </c>
      <c r="P168" s="1" t="s">
        <v>404</v>
      </c>
      <c r="Q168" s="1" t="s">
        <v>481</v>
      </c>
      <c r="R168" s="1" t="s">
        <v>373</v>
      </c>
      <c r="S168" s="1" t="s">
        <v>37</v>
      </c>
      <c r="T168" s="1" t="s">
        <v>38</v>
      </c>
      <c r="U168" s="1" t="s">
        <v>55</v>
      </c>
      <c r="V168" s="1" t="s">
        <v>278</v>
      </c>
      <c r="W168" s="1" t="s">
        <v>42</v>
      </c>
      <c r="X168" s="1" t="s">
        <v>42</v>
      </c>
      <c r="Y168" s="1" t="s">
        <v>56</v>
      </c>
      <c r="Z168" s="1" t="s">
        <v>42</v>
      </c>
      <c r="AA168" s="1" t="s">
        <v>42</v>
      </c>
      <c r="AB168" s="1" t="s">
        <v>42</v>
      </c>
      <c r="AC168" s="1" t="s">
        <v>42</v>
      </c>
      <c r="AD168" s="1" t="s">
        <v>42</v>
      </c>
      <c r="AE168" s="1" t="s">
        <v>56</v>
      </c>
      <c r="AF168" s="1" t="s">
        <v>42</v>
      </c>
      <c r="AG168" s="1" t="s">
        <v>42</v>
      </c>
      <c r="AH168" s="1" t="s">
        <v>42</v>
      </c>
      <c r="AI168" s="3">
        <v>61.53</v>
      </c>
      <c r="AJ168" s="3">
        <v>68.430000000000007</v>
      </c>
      <c r="AK168" s="3"/>
      <c r="AL168" s="3"/>
      <c r="AM168" s="1" t="s">
        <v>203</v>
      </c>
      <c r="AN168" s="1"/>
      <c r="AO168" s="1"/>
      <c r="AP168" s="1" t="s">
        <v>252</v>
      </c>
      <c r="AQ168" s="1" t="s">
        <v>435</v>
      </c>
      <c r="AR168" s="1" t="s">
        <v>46</v>
      </c>
      <c r="AS168" s="4">
        <v>15.94</v>
      </c>
      <c r="AT168" s="31">
        <v>26</v>
      </c>
      <c r="AU168" s="5">
        <v>26</v>
      </c>
      <c r="AV168" s="4">
        <v>3.91</v>
      </c>
      <c r="AW168" s="15">
        <f>AT168-AZ168</f>
        <v>0</v>
      </c>
      <c r="AX168" s="4">
        <f>AW168/AT168*100</f>
        <v>0</v>
      </c>
      <c r="AY168" s="4">
        <v>12.61</v>
      </c>
      <c r="AZ168" s="5">
        <v>26</v>
      </c>
      <c r="BA168" s="4">
        <v>4.96</v>
      </c>
      <c r="BB168" s="4"/>
      <c r="BC168" s="4"/>
      <c r="BD168" s="4"/>
      <c r="BE168" s="1" t="s">
        <v>362</v>
      </c>
      <c r="BF168" s="1">
        <v>365</v>
      </c>
      <c r="BG168" s="1">
        <v>365</v>
      </c>
      <c r="BH168">
        <f>BF168-BG168</f>
        <v>0</v>
      </c>
      <c r="BI168" s="6"/>
    </row>
    <row r="169" spans="1:61" x14ac:dyDescent="0.2">
      <c r="A169" t="s">
        <v>337</v>
      </c>
      <c r="B169" s="2" t="s">
        <v>279</v>
      </c>
      <c r="C169" s="2">
        <v>2019</v>
      </c>
      <c r="D169" s="2" t="s">
        <v>50</v>
      </c>
      <c r="E169" s="2" t="s">
        <v>51</v>
      </c>
      <c r="F169" s="1" t="s">
        <v>356</v>
      </c>
      <c r="G169" s="2" t="s">
        <v>356</v>
      </c>
      <c r="H169" s="2" t="s">
        <v>51</v>
      </c>
      <c r="I169" s="2" t="s">
        <v>51</v>
      </c>
      <c r="J169" s="2" t="s">
        <v>113</v>
      </c>
      <c r="K169" s="2" t="s">
        <v>372</v>
      </c>
      <c r="L169" s="2"/>
      <c r="M169" s="2"/>
      <c r="N169" s="2" t="s">
        <v>280</v>
      </c>
      <c r="O169" s="2" t="s">
        <v>483</v>
      </c>
      <c r="P169" s="1" t="s">
        <v>408</v>
      </c>
      <c r="Q169" s="1" t="s">
        <v>484</v>
      </c>
      <c r="R169" s="2" t="s">
        <v>373</v>
      </c>
      <c r="S169" s="2" t="s">
        <v>281</v>
      </c>
      <c r="T169" s="2" t="s">
        <v>281</v>
      </c>
      <c r="U169" s="2" t="s">
        <v>282</v>
      </c>
      <c r="V169" s="2" t="s">
        <v>40</v>
      </c>
      <c r="W169" s="2" t="s">
        <v>41</v>
      </c>
      <c r="X169" s="2" t="s">
        <v>41</v>
      </c>
      <c r="Y169" s="2" t="s">
        <v>56</v>
      </c>
      <c r="Z169" s="2" t="s">
        <v>41</v>
      </c>
      <c r="AA169" s="2" t="s">
        <v>41</v>
      </c>
      <c r="AB169" s="2" t="s">
        <v>41</v>
      </c>
      <c r="AC169" s="2" t="s">
        <v>56</v>
      </c>
      <c r="AD169" s="2" t="s">
        <v>41</v>
      </c>
      <c r="AE169" s="2" t="s">
        <v>56</v>
      </c>
      <c r="AF169" s="2" t="s">
        <v>42</v>
      </c>
      <c r="AG169" s="2" t="s">
        <v>42</v>
      </c>
      <c r="AH169" s="2" t="s">
        <v>41</v>
      </c>
      <c r="AI169" s="7">
        <v>67.739999999999995</v>
      </c>
      <c r="AJ169" s="7">
        <v>76.7</v>
      </c>
      <c r="AK169" s="7">
        <v>53.6</v>
      </c>
      <c r="AL169" s="7">
        <v>74.23</v>
      </c>
      <c r="AM169" s="2" t="s">
        <v>301</v>
      </c>
      <c r="AN169" s="2"/>
      <c r="AO169" s="2"/>
      <c r="AP169" s="1" t="s">
        <v>82</v>
      </c>
      <c r="AQ169" s="1" t="s">
        <v>325</v>
      </c>
      <c r="AR169" s="1" t="s">
        <v>46</v>
      </c>
      <c r="AS169" s="4">
        <v>33.29</v>
      </c>
      <c r="AT169" s="31">
        <v>20</v>
      </c>
      <c r="AU169" s="5">
        <v>20</v>
      </c>
      <c r="AV169" s="4">
        <v>4.96</v>
      </c>
      <c r="AW169" s="15">
        <f>AT169-AZ169</f>
        <v>3</v>
      </c>
      <c r="AX169" s="4">
        <f>AW169/AT169*100</f>
        <v>15</v>
      </c>
      <c r="AY169" s="4">
        <v>32.39</v>
      </c>
      <c r="AZ169" s="5">
        <v>17</v>
      </c>
      <c r="BA169" s="4">
        <v>4.33</v>
      </c>
      <c r="BB169" s="4"/>
      <c r="BC169" s="8"/>
      <c r="BD169" s="8"/>
      <c r="BE169" s="2" t="s">
        <v>311</v>
      </c>
      <c r="BF169" s="2">
        <v>112</v>
      </c>
      <c r="BG169" s="2">
        <v>112</v>
      </c>
      <c r="BH169">
        <f>BF169-BG169</f>
        <v>0</v>
      </c>
      <c r="BI169" s="6"/>
    </row>
    <row r="170" spans="1:61" x14ac:dyDescent="0.2">
      <c r="A170" t="s">
        <v>337</v>
      </c>
      <c r="B170" s="2" t="s">
        <v>279</v>
      </c>
      <c r="C170" s="2">
        <v>2019</v>
      </c>
      <c r="D170" s="2" t="s">
        <v>50</v>
      </c>
      <c r="E170" s="2" t="s">
        <v>51</v>
      </c>
      <c r="F170" s="1" t="s">
        <v>356</v>
      </c>
      <c r="G170" s="2" t="s">
        <v>356</v>
      </c>
      <c r="H170" s="2" t="s">
        <v>51</v>
      </c>
      <c r="I170" s="2" t="s">
        <v>51</v>
      </c>
      <c r="J170" s="2" t="s">
        <v>113</v>
      </c>
      <c r="K170" s="2" t="s">
        <v>372</v>
      </c>
      <c r="L170" s="2"/>
      <c r="M170" s="2"/>
      <c r="N170" s="2" t="s">
        <v>280</v>
      </c>
      <c r="O170" s="2" t="s">
        <v>483</v>
      </c>
      <c r="P170" s="1" t="s">
        <v>408</v>
      </c>
      <c r="Q170" s="1" t="s">
        <v>484</v>
      </c>
      <c r="R170" s="2" t="s">
        <v>373</v>
      </c>
      <c r="S170" s="2" t="s">
        <v>281</v>
      </c>
      <c r="T170" s="2" t="s">
        <v>281</v>
      </c>
      <c r="U170" s="2" t="s">
        <v>282</v>
      </c>
      <c r="V170" s="2" t="s">
        <v>40</v>
      </c>
      <c r="W170" s="2" t="s">
        <v>41</v>
      </c>
      <c r="X170" s="2" t="s">
        <v>41</v>
      </c>
      <c r="Y170" s="2" t="s">
        <v>56</v>
      </c>
      <c r="Z170" s="2" t="s">
        <v>41</v>
      </c>
      <c r="AA170" s="2" t="s">
        <v>41</v>
      </c>
      <c r="AB170" s="2" t="s">
        <v>41</v>
      </c>
      <c r="AC170" s="2" t="s">
        <v>56</v>
      </c>
      <c r="AD170" s="2" t="s">
        <v>41</v>
      </c>
      <c r="AE170" s="2" t="s">
        <v>56</v>
      </c>
      <c r="AF170" s="2" t="s">
        <v>42</v>
      </c>
      <c r="AG170" s="2" t="s">
        <v>42</v>
      </c>
      <c r="AH170" s="2" t="s">
        <v>41</v>
      </c>
      <c r="AI170" s="7">
        <v>67.739999999999995</v>
      </c>
      <c r="AJ170" s="7">
        <v>76.7</v>
      </c>
      <c r="AK170" s="7">
        <v>53.6</v>
      </c>
      <c r="AL170" s="7">
        <v>74.23</v>
      </c>
      <c r="AM170" s="2" t="s">
        <v>301</v>
      </c>
      <c r="AN170" s="2"/>
      <c r="AO170" s="2"/>
      <c r="AP170" s="1" t="s">
        <v>324</v>
      </c>
      <c r="AQ170" s="1" t="s">
        <v>322</v>
      </c>
      <c r="AR170" s="1" t="s">
        <v>46</v>
      </c>
      <c r="AS170" s="4">
        <v>12.23</v>
      </c>
      <c r="AT170" s="31">
        <v>31</v>
      </c>
      <c r="AU170" s="5">
        <v>31</v>
      </c>
      <c r="AV170" s="4">
        <v>8.0500000000000007</v>
      </c>
      <c r="AW170" s="15">
        <f>AT170-AZ170</f>
        <v>3</v>
      </c>
      <c r="AX170" s="4">
        <f>AW170/AT170*100</f>
        <v>9.67741935483871</v>
      </c>
      <c r="AY170" s="4">
        <v>15.47</v>
      </c>
      <c r="AZ170" s="5">
        <v>28</v>
      </c>
      <c r="BA170" s="4">
        <v>9.2799999999999994</v>
      </c>
      <c r="BB170" s="4"/>
      <c r="BC170" s="8"/>
      <c r="BD170" s="8"/>
      <c r="BE170" s="2" t="s">
        <v>311</v>
      </c>
      <c r="BF170" s="2">
        <v>112</v>
      </c>
      <c r="BG170" s="2">
        <v>112</v>
      </c>
      <c r="BH170">
        <f>BF170-BG170</f>
        <v>0</v>
      </c>
      <c r="BI170" s="6"/>
    </row>
    <row r="171" spans="1:61" x14ac:dyDescent="0.2">
      <c r="A171" t="s">
        <v>337</v>
      </c>
      <c r="B171" s="2" t="s">
        <v>279</v>
      </c>
      <c r="C171" s="2">
        <v>2019</v>
      </c>
      <c r="D171" s="2" t="s">
        <v>50</v>
      </c>
      <c r="E171" s="2" t="s">
        <v>51</v>
      </c>
      <c r="F171" s="1" t="s">
        <v>356</v>
      </c>
      <c r="G171" s="2" t="s">
        <v>356</v>
      </c>
      <c r="H171" s="2" t="s">
        <v>51</v>
      </c>
      <c r="I171" s="2" t="s">
        <v>51</v>
      </c>
      <c r="J171" s="2" t="s">
        <v>113</v>
      </c>
      <c r="K171" s="2" t="s">
        <v>372</v>
      </c>
      <c r="L171" s="2"/>
      <c r="M171" s="2"/>
      <c r="N171" s="2" t="s">
        <v>280</v>
      </c>
      <c r="O171" s="2" t="s">
        <v>483</v>
      </c>
      <c r="P171" s="1" t="s">
        <v>408</v>
      </c>
      <c r="Q171" s="1" t="s">
        <v>484</v>
      </c>
      <c r="R171" s="2" t="s">
        <v>373</v>
      </c>
      <c r="S171" s="2" t="s">
        <v>281</v>
      </c>
      <c r="T171" s="2" t="s">
        <v>281</v>
      </c>
      <c r="U171" s="2" t="s">
        <v>282</v>
      </c>
      <c r="V171" s="2" t="s">
        <v>40</v>
      </c>
      <c r="W171" s="2" t="s">
        <v>41</v>
      </c>
      <c r="X171" s="2" t="s">
        <v>41</v>
      </c>
      <c r="Y171" s="2" t="s">
        <v>56</v>
      </c>
      <c r="Z171" s="2" t="s">
        <v>41</v>
      </c>
      <c r="AA171" s="2" t="s">
        <v>41</v>
      </c>
      <c r="AB171" s="2" t="s">
        <v>41</v>
      </c>
      <c r="AC171" s="2" t="s">
        <v>56</v>
      </c>
      <c r="AD171" s="2" t="s">
        <v>41</v>
      </c>
      <c r="AE171" s="2" t="s">
        <v>56</v>
      </c>
      <c r="AF171" s="2" t="s">
        <v>42</v>
      </c>
      <c r="AG171" s="2" t="s">
        <v>42</v>
      </c>
      <c r="AH171" s="2" t="s">
        <v>41</v>
      </c>
      <c r="AI171" s="7">
        <v>67.739999999999995</v>
      </c>
      <c r="AJ171" s="7">
        <v>76.7</v>
      </c>
      <c r="AK171" s="7">
        <v>53.6</v>
      </c>
      <c r="AL171" s="7">
        <v>74.23</v>
      </c>
      <c r="AM171" s="2" t="s">
        <v>301</v>
      </c>
      <c r="AN171" s="2"/>
      <c r="AO171" s="2"/>
      <c r="AP171" s="2" t="s">
        <v>44</v>
      </c>
      <c r="AQ171" s="2" t="s">
        <v>45</v>
      </c>
      <c r="AR171" s="2" t="s">
        <v>46</v>
      </c>
      <c r="AS171" s="8">
        <v>40.17</v>
      </c>
      <c r="AT171" s="31">
        <v>31</v>
      </c>
      <c r="AU171" s="5">
        <v>31</v>
      </c>
      <c r="AV171" s="8">
        <v>18.100000000000001</v>
      </c>
      <c r="AW171" s="15">
        <f>AT171-AZ171</f>
        <v>3</v>
      </c>
      <c r="AX171" s="4">
        <f>AW171/AT171*100</f>
        <v>9.67741935483871</v>
      </c>
      <c r="AY171" s="8">
        <v>40.700000000000003</v>
      </c>
      <c r="AZ171" s="9">
        <v>28</v>
      </c>
      <c r="BA171" s="8">
        <v>17.66</v>
      </c>
      <c r="BB171" s="8"/>
      <c r="BC171" s="8"/>
      <c r="BD171" s="8"/>
      <c r="BE171" s="2" t="s">
        <v>311</v>
      </c>
      <c r="BF171" s="2">
        <v>112</v>
      </c>
      <c r="BG171" s="2">
        <v>112</v>
      </c>
      <c r="BH171">
        <f>BF171-BG171</f>
        <v>0</v>
      </c>
      <c r="BI171" s="6"/>
    </row>
    <row r="172" spans="1:61" x14ac:dyDescent="0.2">
      <c r="A172" t="s">
        <v>337</v>
      </c>
      <c r="B172" s="2" t="s">
        <v>279</v>
      </c>
      <c r="C172" s="2">
        <v>2019</v>
      </c>
      <c r="D172" s="2" t="s">
        <v>50</v>
      </c>
      <c r="E172" s="2" t="s">
        <v>51</v>
      </c>
      <c r="F172" s="1" t="s">
        <v>356</v>
      </c>
      <c r="G172" s="2" t="s">
        <v>356</v>
      </c>
      <c r="H172" s="2" t="s">
        <v>51</v>
      </c>
      <c r="I172" s="2" t="s">
        <v>51</v>
      </c>
      <c r="J172" s="2" t="s">
        <v>113</v>
      </c>
      <c r="K172" s="2" t="s">
        <v>372</v>
      </c>
      <c r="L172" s="2"/>
      <c r="M172" s="2"/>
      <c r="N172" s="2" t="s">
        <v>280</v>
      </c>
      <c r="O172" s="2" t="s">
        <v>483</v>
      </c>
      <c r="P172" s="1" t="s">
        <v>408</v>
      </c>
      <c r="Q172" s="1" t="s">
        <v>484</v>
      </c>
      <c r="R172" s="2" t="s">
        <v>373</v>
      </c>
      <c r="S172" s="2" t="s">
        <v>281</v>
      </c>
      <c r="T172" s="2" t="s">
        <v>281</v>
      </c>
      <c r="U172" s="2" t="s">
        <v>282</v>
      </c>
      <c r="V172" s="2" t="s">
        <v>40</v>
      </c>
      <c r="W172" s="2" t="s">
        <v>41</v>
      </c>
      <c r="X172" s="2" t="s">
        <v>41</v>
      </c>
      <c r="Y172" s="2" t="s">
        <v>56</v>
      </c>
      <c r="Z172" s="2" t="s">
        <v>41</v>
      </c>
      <c r="AA172" s="2" t="s">
        <v>41</v>
      </c>
      <c r="AB172" s="2" t="s">
        <v>41</v>
      </c>
      <c r="AC172" s="2" t="s">
        <v>56</v>
      </c>
      <c r="AD172" s="2" t="s">
        <v>41</v>
      </c>
      <c r="AE172" s="2" t="s">
        <v>56</v>
      </c>
      <c r="AF172" s="2" t="s">
        <v>42</v>
      </c>
      <c r="AG172" s="2" t="s">
        <v>42</v>
      </c>
      <c r="AH172" s="2" t="s">
        <v>41</v>
      </c>
      <c r="AI172" s="7">
        <v>67.739999999999995</v>
      </c>
      <c r="AJ172" s="7">
        <v>76.7</v>
      </c>
      <c r="AK172" s="7">
        <v>53.6</v>
      </c>
      <c r="AL172" s="7">
        <v>74.23</v>
      </c>
      <c r="AM172" s="2" t="s">
        <v>301</v>
      </c>
      <c r="AN172" s="2"/>
      <c r="AO172" s="2"/>
      <c r="AP172" s="1" t="s">
        <v>134</v>
      </c>
      <c r="AQ172" s="1" t="s">
        <v>321</v>
      </c>
      <c r="AR172" s="1" t="s">
        <v>46</v>
      </c>
      <c r="AS172" s="4">
        <v>15.23</v>
      </c>
      <c r="AT172" s="31">
        <v>31</v>
      </c>
      <c r="AU172" s="5">
        <v>31</v>
      </c>
      <c r="AV172" s="4">
        <v>7.7</v>
      </c>
      <c r="AW172" s="15">
        <f>AT172-AZ172</f>
        <v>3</v>
      </c>
      <c r="AX172" s="4">
        <f>AW172/AT172*100</f>
        <v>9.67741935483871</v>
      </c>
      <c r="AY172" s="4">
        <v>20.64</v>
      </c>
      <c r="AZ172" s="5">
        <v>28</v>
      </c>
      <c r="BA172" s="4">
        <v>8.94</v>
      </c>
      <c r="BB172" s="4"/>
      <c r="BC172" s="8"/>
      <c r="BD172" s="8"/>
      <c r="BE172" s="2" t="s">
        <v>311</v>
      </c>
      <c r="BF172" s="2">
        <v>112</v>
      </c>
      <c r="BG172" s="2">
        <v>112</v>
      </c>
      <c r="BH172">
        <f>BF172-BG172</f>
        <v>0</v>
      </c>
      <c r="BI172" s="6"/>
    </row>
    <row r="173" spans="1:61" x14ac:dyDescent="0.2">
      <c r="A173" t="s">
        <v>337</v>
      </c>
      <c r="B173" s="2" t="s">
        <v>279</v>
      </c>
      <c r="C173" s="2">
        <v>2019</v>
      </c>
      <c r="D173" s="2" t="s">
        <v>50</v>
      </c>
      <c r="E173" s="2" t="s">
        <v>51</v>
      </c>
      <c r="F173" s="1" t="s">
        <v>356</v>
      </c>
      <c r="G173" s="2" t="s">
        <v>356</v>
      </c>
      <c r="H173" s="2" t="s">
        <v>51</v>
      </c>
      <c r="I173" s="2" t="s">
        <v>51</v>
      </c>
      <c r="J173" s="2" t="s">
        <v>113</v>
      </c>
      <c r="K173" s="2" t="s">
        <v>372</v>
      </c>
      <c r="L173" s="2"/>
      <c r="M173" s="2"/>
      <c r="N173" s="2" t="s">
        <v>280</v>
      </c>
      <c r="O173" s="2" t="s">
        <v>483</v>
      </c>
      <c r="P173" s="1" t="s">
        <v>408</v>
      </c>
      <c r="Q173" s="1" t="s">
        <v>484</v>
      </c>
      <c r="R173" s="2" t="s">
        <v>373</v>
      </c>
      <c r="S173" s="2" t="s">
        <v>281</v>
      </c>
      <c r="T173" s="2" t="s">
        <v>281</v>
      </c>
      <c r="U173" s="2" t="s">
        <v>282</v>
      </c>
      <c r="V173" s="2" t="s">
        <v>40</v>
      </c>
      <c r="W173" s="2" t="s">
        <v>41</v>
      </c>
      <c r="X173" s="2" t="s">
        <v>41</v>
      </c>
      <c r="Y173" s="2" t="s">
        <v>56</v>
      </c>
      <c r="Z173" s="2" t="s">
        <v>41</v>
      </c>
      <c r="AA173" s="2" t="s">
        <v>41</v>
      </c>
      <c r="AB173" s="2" t="s">
        <v>41</v>
      </c>
      <c r="AC173" s="2" t="s">
        <v>56</v>
      </c>
      <c r="AD173" s="2" t="s">
        <v>41</v>
      </c>
      <c r="AE173" s="2" t="s">
        <v>56</v>
      </c>
      <c r="AF173" s="2" t="s">
        <v>42</v>
      </c>
      <c r="AG173" s="2" t="s">
        <v>42</v>
      </c>
      <c r="AH173" s="2" t="s">
        <v>41</v>
      </c>
      <c r="AI173" s="7">
        <v>67.739999999999995</v>
      </c>
      <c r="AJ173" s="7">
        <v>76.7</v>
      </c>
      <c r="AK173" s="7">
        <v>53.6</v>
      </c>
      <c r="AL173" s="7">
        <v>74.23</v>
      </c>
      <c r="AM173" s="2" t="s">
        <v>301</v>
      </c>
      <c r="AN173" s="2"/>
      <c r="AO173" s="2"/>
      <c r="AP173" s="1" t="s">
        <v>73</v>
      </c>
      <c r="AQ173" s="1" t="s">
        <v>333</v>
      </c>
      <c r="AR173" s="1" t="s">
        <v>46</v>
      </c>
      <c r="AS173" s="4">
        <v>9.35</v>
      </c>
      <c r="AT173" s="31">
        <v>31</v>
      </c>
      <c r="AU173" s="5">
        <v>31</v>
      </c>
      <c r="AV173" s="4">
        <v>8.06</v>
      </c>
      <c r="AW173" s="15">
        <f>AT173-AZ173</f>
        <v>3</v>
      </c>
      <c r="AX173" s="4">
        <f>AW173/AT173*100</f>
        <v>9.67741935483871</v>
      </c>
      <c r="AY173" s="4">
        <v>14.64</v>
      </c>
      <c r="AZ173" s="5">
        <v>28</v>
      </c>
      <c r="BA173" s="4">
        <v>10.06</v>
      </c>
      <c r="BB173" s="4"/>
      <c r="BC173" s="8"/>
      <c r="BD173" s="8"/>
      <c r="BE173" s="2" t="s">
        <v>311</v>
      </c>
      <c r="BF173" s="2">
        <v>112</v>
      </c>
      <c r="BG173" s="2">
        <v>112</v>
      </c>
      <c r="BH173">
        <f>BF173-BG173</f>
        <v>0</v>
      </c>
      <c r="BI173" s="6"/>
    </row>
    <row r="174" spans="1:61" x14ac:dyDescent="0.2">
      <c r="A174" t="s">
        <v>337</v>
      </c>
      <c r="B174" s="2" t="s">
        <v>279</v>
      </c>
      <c r="C174" s="2">
        <v>2019</v>
      </c>
      <c r="D174" s="2" t="s">
        <v>50</v>
      </c>
      <c r="E174" s="2" t="s">
        <v>51</v>
      </c>
      <c r="F174" s="1" t="s">
        <v>356</v>
      </c>
      <c r="G174" s="2" t="s">
        <v>356</v>
      </c>
      <c r="H174" s="2" t="s">
        <v>51</v>
      </c>
      <c r="I174" s="2" t="s">
        <v>51</v>
      </c>
      <c r="J174" s="2" t="s">
        <v>113</v>
      </c>
      <c r="K174" s="2" t="s">
        <v>372</v>
      </c>
      <c r="L174" s="2"/>
      <c r="M174" s="2"/>
      <c r="N174" s="2" t="s">
        <v>280</v>
      </c>
      <c r="O174" s="2" t="s">
        <v>483</v>
      </c>
      <c r="P174" s="1" t="s">
        <v>408</v>
      </c>
      <c r="Q174" s="1" t="s">
        <v>484</v>
      </c>
      <c r="R174" s="2" t="s">
        <v>373</v>
      </c>
      <c r="S174" s="2" t="s">
        <v>281</v>
      </c>
      <c r="T174" s="2" t="s">
        <v>281</v>
      </c>
      <c r="U174" s="2" t="s">
        <v>282</v>
      </c>
      <c r="V174" s="2" t="s">
        <v>40</v>
      </c>
      <c r="W174" s="2" t="s">
        <v>41</v>
      </c>
      <c r="X174" s="2" t="s">
        <v>41</v>
      </c>
      <c r="Y174" s="2" t="s">
        <v>56</v>
      </c>
      <c r="Z174" s="2" t="s">
        <v>41</v>
      </c>
      <c r="AA174" s="2" t="s">
        <v>41</v>
      </c>
      <c r="AB174" s="2" t="s">
        <v>41</v>
      </c>
      <c r="AC174" s="2" t="s">
        <v>56</v>
      </c>
      <c r="AD174" s="2" t="s">
        <v>41</v>
      </c>
      <c r="AE174" s="2" t="s">
        <v>56</v>
      </c>
      <c r="AF174" s="2" t="s">
        <v>42</v>
      </c>
      <c r="AG174" s="2" t="s">
        <v>42</v>
      </c>
      <c r="AH174" s="2" t="s">
        <v>41</v>
      </c>
      <c r="AI174" s="7">
        <v>67.739999999999995</v>
      </c>
      <c r="AJ174" s="7">
        <v>76.7</v>
      </c>
      <c r="AK174" s="7">
        <v>53.6</v>
      </c>
      <c r="AL174" s="7">
        <v>74.23</v>
      </c>
      <c r="AM174" s="2" t="s">
        <v>301</v>
      </c>
      <c r="AN174" s="2"/>
      <c r="AO174" s="2"/>
      <c r="AP174" s="1" t="s">
        <v>79</v>
      </c>
      <c r="AQ174" s="1" t="s">
        <v>320</v>
      </c>
      <c r="AR174" s="1" t="s">
        <v>46</v>
      </c>
      <c r="AS174" s="4">
        <v>41.59</v>
      </c>
      <c r="AT174" s="31">
        <v>31</v>
      </c>
      <c r="AU174" s="5">
        <v>31</v>
      </c>
      <c r="AV174" s="4">
        <v>9.7799999999999994</v>
      </c>
      <c r="AW174" s="15">
        <f>AT174-AZ174</f>
        <v>3</v>
      </c>
      <c r="AX174" s="4">
        <f>AW174/AT174*100</f>
        <v>9.67741935483871</v>
      </c>
      <c r="AY174" s="4">
        <v>37.74</v>
      </c>
      <c r="AZ174" s="5">
        <v>28</v>
      </c>
      <c r="BA174" s="4">
        <v>10.77</v>
      </c>
      <c r="BB174" s="4"/>
      <c r="BC174" s="8"/>
      <c r="BD174" s="8"/>
      <c r="BE174" s="2" t="s">
        <v>311</v>
      </c>
      <c r="BF174" s="2">
        <v>112</v>
      </c>
      <c r="BG174" s="2">
        <v>112</v>
      </c>
      <c r="BH174">
        <f>BF174-BG174</f>
        <v>0</v>
      </c>
      <c r="BI174" s="6"/>
    </row>
    <row r="175" spans="1:61" x14ac:dyDescent="0.2">
      <c r="A175" t="s">
        <v>337</v>
      </c>
      <c r="B175" s="2" t="s">
        <v>279</v>
      </c>
      <c r="C175" s="2">
        <v>2019</v>
      </c>
      <c r="D175" s="2" t="s">
        <v>50</v>
      </c>
      <c r="E175" s="2" t="s">
        <v>51</v>
      </c>
      <c r="F175" s="1" t="s">
        <v>356</v>
      </c>
      <c r="G175" s="2" t="s">
        <v>356</v>
      </c>
      <c r="H175" s="2" t="s">
        <v>51</v>
      </c>
      <c r="I175" s="2" t="s">
        <v>51</v>
      </c>
      <c r="J175" s="2" t="s">
        <v>113</v>
      </c>
      <c r="K175" s="2" t="s">
        <v>372</v>
      </c>
      <c r="L175" s="2"/>
      <c r="M175" s="2"/>
      <c r="N175" s="2" t="s">
        <v>280</v>
      </c>
      <c r="O175" s="2" t="s">
        <v>483</v>
      </c>
      <c r="P175" s="1" t="s">
        <v>408</v>
      </c>
      <c r="Q175" s="1" t="s">
        <v>484</v>
      </c>
      <c r="R175" s="2" t="s">
        <v>373</v>
      </c>
      <c r="S175" s="2" t="s">
        <v>281</v>
      </c>
      <c r="T175" s="2" t="s">
        <v>281</v>
      </c>
      <c r="U175" s="2" t="s">
        <v>282</v>
      </c>
      <c r="V175" s="2" t="s">
        <v>40</v>
      </c>
      <c r="W175" s="2" t="s">
        <v>41</v>
      </c>
      <c r="X175" s="2" t="s">
        <v>41</v>
      </c>
      <c r="Y175" s="2" t="s">
        <v>56</v>
      </c>
      <c r="Z175" s="2" t="s">
        <v>41</v>
      </c>
      <c r="AA175" s="2" t="s">
        <v>41</v>
      </c>
      <c r="AB175" s="2" t="s">
        <v>41</v>
      </c>
      <c r="AC175" s="2" t="s">
        <v>56</v>
      </c>
      <c r="AD175" s="2" t="s">
        <v>41</v>
      </c>
      <c r="AE175" s="2" t="s">
        <v>56</v>
      </c>
      <c r="AF175" s="2" t="s">
        <v>42</v>
      </c>
      <c r="AG175" s="2" t="s">
        <v>42</v>
      </c>
      <c r="AH175" s="2" t="s">
        <v>41</v>
      </c>
      <c r="AI175" s="7">
        <v>67.739999999999995</v>
      </c>
      <c r="AJ175" s="7">
        <v>76.7</v>
      </c>
      <c r="AK175" s="7">
        <v>53.6</v>
      </c>
      <c r="AL175" s="7">
        <v>74.23</v>
      </c>
      <c r="AM175" s="2" t="s">
        <v>301</v>
      </c>
      <c r="AN175" s="2"/>
      <c r="AO175" s="2"/>
      <c r="AP175" s="1" t="s">
        <v>369</v>
      </c>
      <c r="AQ175" s="1" t="s">
        <v>335</v>
      </c>
      <c r="AR175" s="1" t="s">
        <v>46</v>
      </c>
      <c r="AS175" s="4">
        <v>42.18</v>
      </c>
      <c r="AT175" s="31">
        <v>31</v>
      </c>
      <c r="AU175" s="5">
        <v>31</v>
      </c>
      <c r="AV175" s="4">
        <v>10.52</v>
      </c>
      <c r="AW175" s="15">
        <f>AT175-AZ175</f>
        <v>3</v>
      </c>
      <c r="AX175" s="4">
        <f>AW175/AT175*100</f>
        <v>9.67741935483871</v>
      </c>
      <c r="AY175" s="4">
        <v>39.47</v>
      </c>
      <c r="AZ175" s="5">
        <v>28</v>
      </c>
      <c r="BA175" s="4">
        <v>9.39</v>
      </c>
      <c r="BB175" s="4"/>
      <c r="BC175" s="8"/>
      <c r="BD175" s="8"/>
      <c r="BE175" s="2" t="s">
        <v>311</v>
      </c>
      <c r="BF175" s="2">
        <v>112</v>
      </c>
      <c r="BG175" s="2">
        <v>112</v>
      </c>
      <c r="BH175">
        <f>BF175-BG175</f>
        <v>0</v>
      </c>
      <c r="BI175" s="6"/>
    </row>
    <row r="176" spans="1:61" x14ac:dyDescent="0.2">
      <c r="A176" t="s">
        <v>337</v>
      </c>
      <c r="B176" s="2" t="s">
        <v>279</v>
      </c>
      <c r="C176" s="2">
        <v>2019</v>
      </c>
      <c r="D176" s="2" t="s">
        <v>50</v>
      </c>
      <c r="E176" s="2" t="s">
        <v>51</v>
      </c>
      <c r="F176" s="1" t="s">
        <v>356</v>
      </c>
      <c r="G176" s="2" t="s">
        <v>356</v>
      </c>
      <c r="H176" s="2" t="s">
        <v>51</v>
      </c>
      <c r="I176" s="2" t="s">
        <v>51</v>
      </c>
      <c r="J176" s="2" t="s">
        <v>113</v>
      </c>
      <c r="K176" s="2" t="s">
        <v>372</v>
      </c>
      <c r="L176" s="2"/>
      <c r="M176" s="2"/>
      <c r="N176" s="2" t="s">
        <v>280</v>
      </c>
      <c r="O176" s="2" t="s">
        <v>483</v>
      </c>
      <c r="P176" s="1" t="s">
        <v>408</v>
      </c>
      <c r="Q176" s="1" t="s">
        <v>484</v>
      </c>
      <c r="R176" s="2" t="s">
        <v>373</v>
      </c>
      <c r="S176" s="2" t="s">
        <v>281</v>
      </c>
      <c r="T176" s="2" t="s">
        <v>281</v>
      </c>
      <c r="U176" s="2" t="s">
        <v>282</v>
      </c>
      <c r="V176" s="2" t="s">
        <v>40</v>
      </c>
      <c r="W176" s="2" t="s">
        <v>41</v>
      </c>
      <c r="X176" s="2" t="s">
        <v>41</v>
      </c>
      <c r="Y176" s="2" t="s">
        <v>56</v>
      </c>
      <c r="Z176" s="2" t="s">
        <v>41</v>
      </c>
      <c r="AA176" s="2" t="s">
        <v>41</v>
      </c>
      <c r="AB176" s="2" t="s">
        <v>41</v>
      </c>
      <c r="AC176" s="2" t="s">
        <v>56</v>
      </c>
      <c r="AD176" s="2" t="s">
        <v>41</v>
      </c>
      <c r="AE176" s="2" t="s">
        <v>56</v>
      </c>
      <c r="AF176" s="2" t="s">
        <v>42</v>
      </c>
      <c r="AG176" s="2" t="s">
        <v>42</v>
      </c>
      <c r="AH176" s="2" t="s">
        <v>41</v>
      </c>
      <c r="AI176" s="7">
        <v>67.739999999999995</v>
      </c>
      <c r="AJ176" s="7">
        <v>76.7</v>
      </c>
      <c r="AK176" s="7">
        <v>53.6</v>
      </c>
      <c r="AL176" s="7">
        <v>74.23</v>
      </c>
      <c r="AM176" s="2" t="s">
        <v>301</v>
      </c>
      <c r="AN176" s="2"/>
      <c r="AO176" s="2"/>
      <c r="AP176" s="1" t="s">
        <v>316</v>
      </c>
      <c r="AQ176" s="1" t="s">
        <v>81</v>
      </c>
      <c r="AR176" s="1" t="s">
        <v>46</v>
      </c>
      <c r="AS176" s="4">
        <v>19.41</v>
      </c>
      <c r="AT176" s="31">
        <v>31</v>
      </c>
      <c r="AU176" s="5">
        <v>31</v>
      </c>
      <c r="AV176" s="4">
        <v>16.09</v>
      </c>
      <c r="AW176" s="15">
        <f>AT176-AZ176</f>
        <v>3</v>
      </c>
      <c r="AX176" s="4">
        <f>AW176/AT176*100</f>
        <v>9.67741935483871</v>
      </c>
      <c r="AY176" s="4">
        <v>30.7</v>
      </c>
      <c r="AZ176" s="5">
        <v>28</v>
      </c>
      <c r="BA176" s="4">
        <v>23.78</v>
      </c>
      <c r="BB176" s="4"/>
      <c r="BC176" s="8"/>
      <c r="BD176" s="8"/>
      <c r="BE176" s="2" t="s">
        <v>311</v>
      </c>
      <c r="BF176" s="2">
        <v>112</v>
      </c>
      <c r="BG176" s="2">
        <v>112</v>
      </c>
      <c r="BH176">
        <f>BF176-BG176</f>
        <v>0</v>
      </c>
      <c r="BI176" s="6"/>
    </row>
    <row r="177" spans="1:61" x14ac:dyDescent="0.2">
      <c r="A177" t="s">
        <v>338</v>
      </c>
      <c r="B177" s="1" t="s">
        <v>215</v>
      </c>
      <c r="C177" s="1">
        <v>2012</v>
      </c>
      <c r="D177" s="1" t="s">
        <v>221</v>
      </c>
      <c r="E177" s="1" t="s">
        <v>51</v>
      </c>
      <c r="F177" s="1" t="s">
        <v>356</v>
      </c>
      <c r="G177" s="2" t="s">
        <v>356</v>
      </c>
      <c r="H177" s="1" t="s">
        <v>51</v>
      </c>
      <c r="I177" s="1" t="s">
        <v>51</v>
      </c>
      <c r="J177" s="1" t="s">
        <v>86</v>
      </c>
      <c r="K177" s="2" t="s">
        <v>372</v>
      </c>
      <c r="L177" s="2"/>
      <c r="M177" s="2"/>
      <c r="N177" s="1" t="s">
        <v>217</v>
      </c>
      <c r="O177" s="1" t="s">
        <v>489</v>
      </c>
      <c r="P177" s="1" t="s">
        <v>383</v>
      </c>
      <c r="Q177" s="1" t="s">
        <v>487</v>
      </c>
      <c r="R177" s="1" t="s">
        <v>373</v>
      </c>
      <c r="S177" s="1" t="s">
        <v>54</v>
      </c>
      <c r="T177" s="1" t="s">
        <v>38</v>
      </c>
      <c r="U177" s="1" t="s">
        <v>70</v>
      </c>
      <c r="V177" s="1" t="s">
        <v>40</v>
      </c>
      <c r="W177" s="1" t="s">
        <v>42</v>
      </c>
      <c r="X177" s="1" t="s">
        <v>41</v>
      </c>
      <c r="Y177" s="1" t="s">
        <v>41</v>
      </c>
      <c r="Z177" s="1" t="s">
        <v>41</v>
      </c>
      <c r="AA177" s="1" t="s">
        <v>42</v>
      </c>
      <c r="AB177" s="1" t="s">
        <v>41</v>
      </c>
      <c r="AC177" s="1" t="s">
        <v>42</v>
      </c>
      <c r="AD177" s="1" t="s">
        <v>41</v>
      </c>
      <c r="AE177" s="1" t="s">
        <v>41</v>
      </c>
      <c r="AF177" s="1" t="s">
        <v>41</v>
      </c>
      <c r="AG177" s="1" t="s">
        <v>42</v>
      </c>
      <c r="AH177" s="1" t="s">
        <v>41</v>
      </c>
      <c r="AI177" s="3">
        <v>53.8</v>
      </c>
      <c r="AJ177" s="3"/>
      <c r="AK177" s="3"/>
      <c r="AL177" s="3">
        <v>64.099999999999994</v>
      </c>
      <c r="AM177" s="1" t="s">
        <v>222</v>
      </c>
      <c r="AN177" s="1" t="s">
        <v>223</v>
      </c>
      <c r="AO177" s="1"/>
      <c r="AP177" s="1" t="s">
        <v>179</v>
      </c>
      <c r="AQ177" s="1" t="s">
        <v>78</v>
      </c>
      <c r="AR177" s="1" t="s">
        <v>46</v>
      </c>
      <c r="AS177" s="4">
        <v>103.71</v>
      </c>
      <c r="AT177" s="31">
        <v>39</v>
      </c>
      <c r="AU177" s="5">
        <v>39</v>
      </c>
      <c r="AV177" s="4">
        <v>9.2799999999999905</v>
      </c>
      <c r="AW177" s="15">
        <f>AT177-AZ177</f>
        <v>0</v>
      </c>
      <c r="AX177" s="4">
        <f>AW177/AT177*100</f>
        <v>0</v>
      </c>
      <c r="AY177" s="4">
        <v>88.19</v>
      </c>
      <c r="AZ177" s="5">
        <v>39</v>
      </c>
      <c r="BA177" s="4">
        <v>7.56</v>
      </c>
      <c r="BB177" s="4"/>
      <c r="BC177" s="4"/>
      <c r="BD177" s="4"/>
      <c r="BE177" s="1" t="s">
        <v>220</v>
      </c>
      <c r="BF177" s="1">
        <v>198</v>
      </c>
      <c r="BG177" s="1">
        <v>168</v>
      </c>
      <c r="BH177">
        <f>BF177-BG177</f>
        <v>30</v>
      </c>
      <c r="BI177" s="6"/>
    </row>
    <row r="178" spans="1:61" x14ac:dyDescent="0.2">
      <c r="A178" t="s">
        <v>338</v>
      </c>
      <c r="B178" s="1" t="s">
        <v>215</v>
      </c>
      <c r="C178" s="1">
        <v>2012</v>
      </c>
      <c r="D178" s="1" t="s">
        <v>221</v>
      </c>
      <c r="E178" s="1" t="s">
        <v>51</v>
      </c>
      <c r="F178" s="1" t="s">
        <v>356</v>
      </c>
      <c r="G178" s="2" t="s">
        <v>356</v>
      </c>
      <c r="H178" s="1" t="s">
        <v>51</v>
      </c>
      <c r="I178" s="1" t="s">
        <v>51</v>
      </c>
      <c r="J178" s="1" t="s">
        <v>86</v>
      </c>
      <c r="K178" s="2" t="s">
        <v>372</v>
      </c>
      <c r="L178" s="2"/>
      <c r="M178" s="2"/>
      <c r="N178" s="1" t="s">
        <v>217</v>
      </c>
      <c r="O178" s="1" t="s">
        <v>489</v>
      </c>
      <c r="P178" s="1" t="s">
        <v>383</v>
      </c>
      <c r="Q178" s="1" t="s">
        <v>487</v>
      </c>
      <c r="R178" s="1" t="s">
        <v>373</v>
      </c>
      <c r="S178" s="1" t="s">
        <v>54</v>
      </c>
      <c r="T178" s="1" t="s">
        <v>38</v>
      </c>
      <c r="U178" s="1" t="s">
        <v>70</v>
      </c>
      <c r="V178" s="1" t="s">
        <v>40</v>
      </c>
      <c r="W178" s="1" t="s">
        <v>42</v>
      </c>
      <c r="X178" s="1" t="s">
        <v>41</v>
      </c>
      <c r="Y178" s="1" t="s">
        <v>41</v>
      </c>
      <c r="Z178" s="1" t="s">
        <v>41</v>
      </c>
      <c r="AA178" s="1" t="s">
        <v>42</v>
      </c>
      <c r="AB178" s="1" t="s">
        <v>41</v>
      </c>
      <c r="AC178" s="1" t="s">
        <v>42</v>
      </c>
      <c r="AD178" s="1" t="s">
        <v>41</v>
      </c>
      <c r="AE178" s="1" t="s">
        <v>41</v>
      </c>
      <c r="AF178" s="1" t="s">
        <v>41</v>
      </c>
      <c r="AG178" s="1" t="s">
        <v>42</v>
      </c>
      <c r="AH178" s="1" t="s">
        <v>41</v>
      </c>
      <c r="AI178" s="3">
        <v>53.8</v>
      </c>
      <c r="AJ178" s="3"/>
      <c r="AK178" s="3"/>
      <c r="AL178" s="3">
        <v>64.099999999999994</v>
      </c>
      <c r="AM178" s="1" t="s">
        <v>222</v>
      </c>
      <c r="AN178" s="1" t="s">
        <v>223</v>
      </c>
      <c r="AO178" s="1"/>
      <c r="AP178" s="1" t="s">
        <v>73</v>
      </c>
      <c r="AQ178" s="1" t="s">
        <v>333</v>
      </c>
      <c r="AR178" s="1" t="s">
        <v>46</v>
      </c>
      <c r="AS178" s="4">
        <v>46.91</v>
      </c>
      <c r="AT178" s="31">
        <v>39</v>
      </c>
      <c r="AU178" s="5">
        <v>39</v>
      </c>
      <c r="AV178" s="4">
        <v>9.68</v>
      </c>
      <c r="AW178" s="15">
        <f>AT178-AZ178</f>
        <v>0</v>
      </c>
      <c r="AX178" s="4">
        <f>AW178/AT178*100</f>
        <v>0</v>
      </c>
      <c r="AY178" s="4">
        <v>43.88</v>
      </c>
      <c r="AZ178" s="5">
        <v>39</v>
      </c>
      <c r="BA178" s="4">
        <v>13.56</v>
      </c>
      <c r="BB178" s="4"/>
      <c r="BC178" s="4"/>
      <c r="BD178" s="4"/>
      <c r="BE178" s="1" t="s">
        <v>220</v>
      </c>
      <c r="BF178" s="1">
        <v>198</v>
      </c>
      <c r="BG178" s="1">
        <v>168</v>
      </c>
      <c r="BH178">
        <f>BF178-BG178</f>
        <v>30</v>
      </c>
      <c r="BI178" s="6"/>
    </row>
    <row r="179" spans="1:61" x14ac:dyDescent="0.2">
      <c r="A179" t="s">
        <v>337</v>
      </c>
      <c r="B179" s="2" t="s">
        <v>295</v>
      </c>
      <c r="C179" s="2">
        <v>2020</v>
      </c>
      <c r="D179" s="2" t="s">
        <v>208</v>
      </c>
      <c r="E179" s="2" t="s">
        <v>51</v>
      </c>
      <c r="F179" s="1" t="s">
        <v>356</v>
      </c>
      <c r="G179" s="2" t="s">
        <v>356</v>
      </c>
      <c r="H179" s="2" t="s">
        <v>51</v>
      </c>
      <c r="I179" s="2" t="s">
        <v>51</v>
      </c>
      <c r="J179" s="2" t="s">
        <v>121</v>
      </c>
      <c r="K179" s="2" t="s">
        <v>372</v>
      </c>
      <c r="L179" s="2" t="s">
        <v>403</v>
      </c>
      <c r="M179" s="2" t="s">
        <v>390</v>
      </c>
      <c r="N179" s="2" t="s">
        <v>296</v>
      </c>
      <c r="O179" s="1" t="s">
        <v>504</v>
      </c>
      <c r="P179" s="2" t="s">
        <v>381</v>
      </c>
      <c r="Q179" s="2" t="s">
        <v>503</v>
      </c>
      <c r="R179" s="2" t="s">
        <v>373</v>
      </c>
      <c r="S179" s="1" t="s">
        <v>54</v>
      </c>
      <c r="T179" s="1" t="s">
        <v>38</v>
      </c>
      <c r="U179" s="1" t="s">
        <v>115</v>
      </c>
      <c r="V179" s="2" t="s">
        <v>40</v>
      </c>
      <c r="W179" s="2" t="s">
        <v>56</v>
      </c>
      <c r="X179" s="2" t="s">
        <v>56</v>
      </c>
      <c r="Y179" s="2" t="s">
        <v>56</v>
      </c>
      <c r="Z179" s="2" t="s">
        <v>41</v>
      </c>
      <c r="AA179" s="2" t="s">
        <v>56</v>
      </c>
      <c r="AB179" s="2" t="s">
        <v>41</v>
      </c>
      <c r="AC179" s="2" t="s">
        <v>56</v>
      </c>
      <c r="AD179" s="2" t="s">
        <v>287</v>
      </c>
      <c r="AE179" s="2" t="s">
        <v>56</v>
      </c>
      <c r="AF179" s="2" t="s">
        <v>56</v>
      </c>
      <c r="AG179" s="2" t="s">
        <v>56</v>
      </c>
      <c r="AH179" s="2" t="s">
        <v>56</v>
      </c>
      <c r="AI179" s="7"/>
      <c r="AJ179" s="7">
        <v>73.599999999999994</v>
      </c>
      <c r="AK179" s="7">
        <v>46.8</v>
      </c>
      <c r="AL179" s="7">
        <v>71.400000000000006</v>
      </c>
      <c r="AM179" s="2" t="s">
        <v>309</v>
      </c>
      <c r="AN179" s="2"/>
      <c r="AO179" s="2"/>
      <c r="AP179" s="1" t="s">
        <v>324</v>
      </c>
      <c r="AQ179" s="1" t="s">
        <v>326</v>
      </c>
      <c r="AR179" s="1" t="s">
        <v>46</v>
      </c>
      <c r="AS179" s="4">
        <v>75.63</v>
      </c>
      <c r="AT179" s="31">
        <v>35</v>
      </c>
      <c r="AU179" s="5">
        <v>35</v>
      </c>
      <c r="AV179" s="4">
        <v>3.08</v>
      </c>
      <c r="AW179" s="15">
        <f>AT179-AZ179</f>
        <v>0</v>
      </c>
      <c r="AX179" s="4">
        <f>AW179/AT179*100</f>
        <v>0</v>
      </c>
      <c r="AY179" s="4">
        <v>76.45</v>
      </c>
      <c r="AZ179" s="5">
        <v>35</v>
      </c>
      <c r="BA179" s="4">
        <v>3.45</v>
      </c>
      <c r="BB179" s="8"/>
      <c r="BC179" s="8"/>
      <c r="BD179" s="8"/>
      <c r="BE179" s="2" t="s">
        <v>327</v>
      </c>
      <c r="BF179" s="2">
        <v>58</v>
      </c>
      <c r="BG179" s="2">
        <v>28</v>
      </c>
      <c r="BH179">
        <f>BF179-BG179</f>
        <v>30</v>
      </c>
      <c r="BI179" s="6"/>
    </row>
    <row r="180" spans="1:61" x14ac:dyDescent="0.2">
      <c r="A180" t="s">
        <v>337</v>
      </c>
      <c r="B180" s="2" t="s">
        <v>295</v>
      </c>
      <c r="C180" s="2">
        <v>2020</v>
      </c>
      <c r="D180" s="2" t="s">
        <v>208</v>
      </c>
      <c r="E180" s="2" t="s">
        <v>51</v>
      </c>
      <c r="F180" s="1" t="s">
        <v>356</v>
      </c>
      <c r="G180" s="2" t="s">
        <v>356</v>
      </c>
      <c r="H180" s="2" t="s">
        <v>51</v>
      </c>
      <c r="I180" s="2" t="s">
        <v>51</v>
      </c>
      <c r="J180" s="2" t="s">
        <v>121</v>
      </c>
      <c r="K180" s="2" t="s">
        <v>372</v>
      </c>
      <c r="L180" s="2" t="s">
        <v>403</v>
      </c>
      <c r="M180" s="2" t="s">
        <v>390</v>
      </c>
      <c r="N180" s="2" t="s">
        <v>296</v>
      </c>
      <c r="O180" s="1" t="s">
        <v>504</v>
      </c>
      <c r="P180" s="2" t="s">
        <v>381</v>
      </c>
      <c r="Q180" s="2" t="s">
        <v>503</v>
      </c>
      <c r="R180" s="2" t="s">
        <v>373</v>
      </c>
      <c r="S180" s="1" t="s">
        <v>54</v>
      </c>
      <c r="T180" s="1" t="s">
        <v>38</v>
      </c>
      <c r="U180" s="1" t="s">
        <v>115</v>
      </c>
      <c r="V180" s="2" t="s">
        <v>40</v>
      </c>
      <c r="W180" s="2" t="s">
        <v>56</v>
      </c>
      <c r="X180" s="2" t="s">
        <v>56</v>
      </c>
      <c r="Y180" s="2" t="s">
        <v>56</v>
      </c>
      <c r="Z180" s="2" t="s">
        <v>41</v>
      </c>
      <c r="AA180" s="2" t="s">
        <v>56</v>
      </c>
      <c r="AB180" s="2" t="s">
        <v>41</v>
      </c>
      <c r="AC180" s="2" t="s">
        <v>56</v>
      </c>
      <c r="AD180" s="2" t="s">
        <v>287</v>
      </c>
      <c r="AE180" s="2" t="s">
        <v>56</v>
      </c>
      <c r="AF180" s="2" t="s">
        <v>56</v>
      </c>
      <c r="AG180" s="2" t="s">
        <v>56</v>
      </c>
      <c r="AH180" s="2" t="s">
        <v>56</v>
      </c>
      <c r="AI180" s="7"/>
      <c r="AJ180" s="7">
        <v>73.599999999999994</v>
      </c>
      <c r="AK180" s="7">
        <v>46.8</v>
      </c>
      <c r="AL180" s="7">
        <v>71.400000000000006</v>
      </c>
      <c r="AM180" s="2" t="s">
        <v>309</v>
      </c>
      <c r="AN180" s="2"/>
      <c r="AO180" s="2"/>
      <c r="AP180" s="1" t="s">
        <v>324</v>
      </c>
      <c r="AQ180" s="1" t="s">
        <v>326</v>
      </c>
      <c r="AR180" s="1" t="s">
        <v>46</v>
      </c>
      <c r="AS180" s="4">
        <v>75.63</v>
      </c>
      <c r="AT180" s="31">
        <v>35</v>
      </c>
      <c r="AU180" s="5">
        <v>35</v>
      </c>
      <c r="AV180" s="4">
        <v>3.08</v>
      </c>
      <c r="AW180" s="15">
        <f>AT180-AZ180</f>
        <v>0</v>
      </c>
      <c r="AX180" s="4">
        <f>AW180/AT180*100</f>
        <v>0</v>
      </c>
      <c r="AY180" s="4">
        <v>76.22</v>
      </c>
      <c r="AZ180" s="5">
        <v>35</v>
      </c>
      <c r="BA180" s="4">
        <v>5.08</v>
      </c>
      <c r="BB180" s="8"/>
      <c r="BC180" s="8"/>
      <c r="BD180" s="8"/>
      <c r="BE180" s="2" t="s">
        <v>328</v>
      </c>
      <c r="BF180" s="2">
        <v>118</v>
      </c>
      <c r="BG180" s="2">
        <v>28</v>
      </c>
      <c r="BH180">
        <f>BF180-BG180</f>
        <v>90</v>
      </c>
      <c r="BI180" s="6"/>
    </row>
    <row r="181" spans="1:61" x14ac:dyDescent="0.2">
      <c r="A181" t="s">
        <v>338</v>
      </c>
      <c r="B181" s="1" t="s">
        <v>111</v>
      </c>
      <c r="C181" s="1">
        <v>2017</v>
      </c>
      <c r="D181" s="1" t="s">
        <v>50</v>
      </c>
      <c r="E181" s="1" t="s">
        <v>51</v>
      </c>
      <c r="F181" s="1" t="s">
        <v>356</v>
      </c>
      <c r="G181" s="2" t="s">
        <v>356</v>
      </c>
      <c r="H181" s="1" t="s">
        <v>51</v>
      </c>
      <c r="I181" s="1" t="s">
        <v>51</v>
      </c>
      <c r="J181" s="1" t="s">
        <v>113</v>
      </c>
      <c r="K181" s="2" t="s">
        <v>372</v>
      </c>
      <c r="L181" s="1"/>
      <c r="M181" s="1"/>
      <c r="N181" s="1" t="s">
        <v>114</v>
      </c>
      <c r="O181" s="1" t="s">
        <v>450</v>
      </c>
      <c r="P181" s="2" t="s">
        <v>379</v>
      </c>
      <c r="Q181" s="2" t="s">
        <v>443</v>
      </c>
      <c r="R181" s="1" t="s">
        <v>374</v>
      </c>
      <c r="S181" s="1" t="s">
        <v>54</v>
      </c>
      <c r="T181" s="1" t="s">
        <v>38</v>
      </c>
      <c r="U181" s="1" t="s">
        <v>115</v>
      </c>
      <c r="V181" s="1" t="s">
        <v>40</v>
      </c>
      <c r="W181" s="1" t="s">
        <v>42</v>
      </c>
      <c r="X181" s="1" t="s">
        <v>41</v>
      </c>
      <c r="Y181" s="1" t="s">
        <v>41</v>
      </c>
      <c r="Z181" s="1" t="s">
        <v>41</v>
      </c>
      <c r="AA181" s="1" t="s">
        <v>42</v>
      </c>
      <c r="AB181" s="1" t="s">
        <v>41</v>
      </c>
      <c r="AC181" s="1" t="s">
        <v>42</v>
      </c>
      <c r="AD181" s="1" t="s">
        <v>41</v>
      </c>
      <c r="AE181" s="1" t="s">
        <v>41</v>
      </c>
      <c r="AF181" s="1" t="s">
        <v>41</v>
      </c>
      <c r="AG181" s="1" t="s">
        <v>42</v>
      </c>
      <c r="AH181" s="1" t="s">
        <v>41</v>
      </c>
      <c r="AI181" s="3">
        <v>35</v>
      </c>
      <c r="AJ181" s="3">
        <v>74.16</v>
      </c>
      <c r="AK181" s="3">
        <v>51.76</v>
      </c>
      <c r="AL181" s="3">
        <v>65</v>
      </c>
      <c r="AM181" s="1" t="s">
        <v>50</v>
      </c>
      <c r="AN181" s="1" t="s">
        <v>119</v>
      </c>
      <c r="AO181" s="1" t="s">
        <v>119</v>
      </c>
      <c r="AP181" s="1" t="s">
        <v>44</v>
      </c>
      <c r="AQ181" s="1" t="s">
        <v>45</v>
      </c>
      <c r="AR181" s="1" t="s">
        <v>46</v>
      </c>
      <c r="AS181" s="4">
        <v>78.45</v>
      </c>
      <c r="AT181" s="31">
        <v>20</v>
      </c>
      <c r="AU181" s="5">
        <v>20</v>
      </c>
      <c r="AV181" s="4">
        <v>3.26</v>
      </c>
      <c r="AW181" s="15">
        <f>AT181-AZ181</f>
        <v>0</v>
      </c>
      <c r="AX181" s="4">
        <f>AW181/AT181*100</f>
        <v>0</v>
      </c>
      <c r="AY181" s="4">
        <v>79.3</v>
      </c>
      <c r="AZ181" s="5">
        <v>20</v>
      </c>
      <c r="BA181" s="4">
        <v>3.79</v>
      </c>
      <c r="BB181" s="4"/>
      <c r="BC181" s="4"/>
      <c r="BD181" s="4"/>
      <c r="BE181" s="1" t="s">
        <v>118</v>
      </c>
      <c r="BF181" s="1">
        <v>49</v>
      </c>
      <c r="BG181" s="1">
        <v>49</v>
      </c>
      <c r="BH181">
        <f>BF181-BG181</f>
        <v>0</v>
      </c>
      <c r="BI181" s="6"/>
    </row>
    <row r="182" spans="1:61" x14ac:dyDescent="0.2">
      <c r="A182" t="s">
        <v>338</v>
      </c>
      <c r="B182" s="1" t="s">
        <v>111</v>
      </c>
      <c r="C182" s="1">
        <v>2017</v>
      </c>
      <c r="D182" s="1" t="s">
        <v>50</v>
      </c>
      <c r="E182" s="1" t="s">
        <v>51</v>
      </c>
      <c r="F182" s="1" t="s">
        <v>356</v>
      </c>
      <c r="G182" s="2" t="s">
        <v>356</v>
      </c>
      <c r="H182" s="1" t="s">
        <v>51</v>
      </c>
      <c r="I182" s="1" t="s">
        <v>51</v>
      </c>
      <c r="J182" s="1" t="s">
        <v>113</v>
      </c>
      <c r="K182" s="2" t="s">
        <v>372</v>
      </c>
      <c r="L182" s="1"/>
      <c r="M182" s="1"/>
      <c r="N182" s="1" t="s">
        <v>114</v>
      </c>
      <c r="O182" s="1" t="s">
        <v>450</v>
      </c>
      <c r="P182" s="2" t="s">
        <v>379</v>
      </c>
      <c r="Q182" s="2" t="s">
        <v>443</v>
      </c>
      <c r="R182" s="1" t="s">
        <v>374</v>
      </c>
      <c r="S182" s="1" t="s">
        <v>54</v>
      </c>
      <c r="T182" s="1" t="s">
        <v>38</v>
      </c>
      <c r="U182" s="1" t="s">
        <v>115</v>
      </c>
      <c r="V182" s="1" t="s">
        <v>40</v>
      </c>
      <c r="W182" s="1" t="s">
        <v>42</v>
      </c>
      <c r="X182" s="1" t="s">
        <v>41</v>
      </c>
      <c r="Y182" s="1" t="s">
        <v>41</v>
      </c>
      <c r="Z182" s="1" t="s">
        <v>41</v>
      </c>
      <c r="AA182" s="1" t="s">
        <v>42</v>
      </c>
      <c r="AB182" s="1" t="s">
        <v>41</v>
      </c>
      <c r="AC182" s="1" t="s">
        <v>42</v>
      </c>
      <c r="AD182" s="1" t="s">
        <v>41</v>
      </c>
      <c r="AE182" s="1" t="s">
        <v>41</v>
      </c>
      <c r="AF182" s="1" t="s">
        <v>41</v>
      </c>
      <c r="AG182" s="1" t="s">
        <v>42</v>
      </c>
      <c r="AH182" s="1" t="s">
        <v>41</v>
      </c>
      <c r="AI182" s="3">
        <v>35</v>
      </c>
      <c r="AJ182" s="3">
        <v>74.16</v>
      </c>
      <c r="AK182" s="3">
        <v>51.76</v>
      </c>
      <c r="AL182" s="3">
        <v>65</v>
      </c>
      <c r="AM182" s="1" t="s">
        <v>50</v>
      </c>
      <c r="AN182" s="1" t="s">
        <v>119</v>
      </c>
      <c r="AO182" s="1" t="s">
        <v>119</v>
      </c>
      <c r="AP182" s="1" t="s">
        <v>444</v>
      </c>
      <c r="AQ182" s="1" t="s">
        <v>442</v>
      </c>
      <c r="AR182" s="1" t="s">
        <v>46</v>
      </c>
      <c r="AS182" s="4">
        <v>17.3</v>
      </c>
      <c r="AT182" s="31">
        <v>20</v>
      </c>
      <c r="AU182" s="5">
        <v>20</v>
      </c>
      <c r="AV182" s="4">
        <v>1.55</v>
      </c>
      <c r="AW182" s="15">
        <f>AT182-AZ182</f>
        <v>0</v>
      </c>
      <c r="AX182" s="4">
        <f>AW182/AT182*100</f>
        <v>0</v>
      </c>
      <c r="AY182" s="4">
        <v>17.05</v>
      </c>
      <c r="AZ182" s="5">
        <v>20</v>
      </c>
      <c r="BA182" s="4">
        <v>2.13</v>
      </c>
      <c r="BB182" s="4"/>
      <c r="BC182" s="4"/>
      <c r="BD182" s="4"/>
      <c r="BE182" s="1" t="s">
        <v>118</v>
      </c>
      <c r="BF182" s="1">
        <v>49</v>
      </c>
      <c r="BG182" s="1">
        <v>49</v>
      </c>
      <c r="BH182">
        <f>BF182-BG182</f>
        <v>0</v>
      </c>
      <c r="BI182" s="6"/>
    </row>
    <row r="183" spans="1:61" x14ac:dyDescent="0.2">
      <c r="A183" t="s">
        <v>338</v>
      </c>
      <c r="B183" s="1" t="s">
        <v>111</v>
      </c>
      <c r="C183" s="1">
        <v>2017</v>
      </c>
      <c r="D183" s="1" t="s">
        <v>50</v>
      </c>
      <c r="E183" s="1" t="s">
        <v>51</v>
      </c>
      <c r="F183" s="1" t="s">
        <v>356</v>
      </c>
      <c r="G183" s="2" t="s">
        <v>356</v>
      </c>
      <c r="H183" s="1" t="s">
        <v>51</v>
      </c>
      <c r="I183" s="1" t="s">
        <v>51</v>
      </c>
      <c r="J183" s="1" t="s">
        <v>113</v>
      </c>
      <c r="K183" s="2" t="s">
        <v>372</v>
      </c>
      <c r="L183" s="1"/>
      <c r="M183" s="1"/>
      <c r="N183" s="1" t="s">
        <v>114</v>
      </c>
      <c r="O183" s="1" t="s">
        <v>450</v>
      </c>
      <c r="P183" s="2" t="s">
        <v>379</v>
      </c>
      <c r="Q183" s="2" t="s">
        <v>443</v>
      </c>
      <c r="R183" s="1" t="s">
        <v>374</v>
      </c>
      <c r="S183" s="1" t="s">
        <v>54</v>
      </c>
      <c r="T183" s="1" t="s">
        <v>38</v>
      </c>
      <c r="U183" s="1" t="s">
        <v>115</v>
      </c>
      <c r="V183" s="1" t="s">
        <v>40</v>
      </c>
      <c r="W183" s="1" t="s">
        <v>42</v>
      </c>
      <c r="X183" s="1" t="s">
        <v>41</v>
      </c>
      <c r="Y183" s="1" t="s">
        <v>41</v>
      </c>
      <c r="Z183" s="1" t="s">
        <v>41</v>
      </c>
      <c r="AA183" s="1" t="s">
        <v>42</v>
      </c>
      <c r="AB183" s="1" t="s">
        <v>41</v>
      </c>
      <c r="AC183" s="1" t="s">
        <v>42</v>
      </c>
      <c r="AD183" s="1" t="s">
        <v>41</v>
      </c>
      <c r="AE183" s="1" t="s">
        <v>41</v>
      </c>
      <c r="AF183" s="1" t="s">
        <v>41</v>
      </c>
      <c r="AG183" s="1" t="s">
        <v>42</v>
      </c>
      <c r="AH183" s="1" t="s">
        <v>41</v>
      </c>
      <c r="AI183" s="3">
        <v>35</v>
      </c>
      <c r="AJ183" s="3">
        <v>74.16</v>
      </c>
      <c r="AK183" s="3">
        <v>51.76</v>
      </c>
      <c r="AL183" s="3">
        <v>65</v>
      </c>
      <c r="AM183" s="1" t="s">
        <v>50</v>
      </c>
      <c r="AN183" s="1" t="s">
        <v>119</v>
      </c>
      <c r="AO183" s="1" t="s">
        <v>119</v>
      </c>
      <c r="AP183" s="1" t="s">
        <v>445</v>
      </c>
      <c r="AQ183" s="1" t="s">
        <v>442</v>
      </c>
      <c r="AR183" s="1" t="s">
        <v>46</v>
      </c>
      <c r="AS183" s="4">
        <v>16.7</v>
      </c>
      <c r="AT183" s="31">
        <v>20</v>
      </c>
      <c r="AU183" s="5">
        <v>20</v>
      </c>
      <c r="AV183" s="4">
        <v>1.34</v>
      </c>
      <c r="AW183" s="15">
        <f>AT183-AZ183</f>
        <v>0</v>
      </c>
      <c r="AX183" s="4">
        <f>AW183/AT183*100</f>
        <v>0</v>
      </c>
      <c r="AY183" s="4">
        <v>15.07</v>
      </c>
      <c r="AZ183" s="5">
        <v>20</v>
      </c>
      <c r="BA183" s="4">
        <v>1.48</v>
      </c>
      <c r="BB183" s="4"/>
      <c r="BC183" s="4"/>
      <c r="BD183" s="4"/>
      <c r="BE183" s="1" t="s">
        <v>118</v>
      </c>
      <c r="BF183" s="1">
        <v>49</v>
      </c>
      <c r="BG183" s="1">
        <v>49</v>
      </c>
      <c r="BH183">
        <f>BF183-BG183</f>
        <v>0</v>
      </c>
      <c r="BI183" s="6"/>
    </row>
    <row r="184" spans="1:61" x14ac:dyDescent="0.2">
      <c r="A184" t="s">
        <v>338</v>
      </c>
      <c r="B184" s="1" t="s">
        <v>111</v>
      </c>
      <c r="C184" s="1">
        <v>2017</v>
      </c>
      <c r="D184" s="1" t="s">
        <v>50</v>
      </c>
      <c r="E184" s="1" t="s">
        <v>51</v>
      </c>
      <c r="F184" s="1" t="s">
        <v>356</v>
      </c>
      <c r="G184" s="2" t="s">
        <v>356</v>
      </c>
      <c r="H184" s="1" t="s">
        <v>51</v>
      </c>
      <c r="I184" s="1" t="s">
        <v>51</v>
      </c>
      <c r="J184" s="1" t="s">
        <v>113</v>
      </c>
      <c r="K184" s="2" t="s">
        <v>372</v>
      </c>
      <c r="L184" s="1"/>
      <c r="M184" s="1"/>
      <c r="N184" s="1" t="s">
        <v>114</v>
      </c>
      <c r="O184" s="1" t="s">
        <v>450</v>
      </c>
      <c r="P184" s="2" t="s">
        <v>379</v>
      </c>
      <c r="Q184" s="2" t="s">
        <v>443</v>
      </c>
      <c r="R184" s="1" t="s">
        <v>374</v>
      </c>
      <c r="S184" s="1" t="s">
        <v>54</v>
      </c>
      <c r="T184" s="1" t="s">
        <v>38</v>
      </c>
      <c r="U184" s="1" t="s">
        <v>115</v>
      </c>
      <c r="V184" s="1" t="s">
        <v>40</v>
      </c>
      <c r="W184" s="1" t="s">
        <v>42</v>
      </c>
      <c r="X184" s="1" t="s">
        <v>41</v>
      </c>
      <c r="Y184" s="1" t="s">
        <v>41</v>
      </c>
      <c r="Z184" s="1" t="s">
        <v>41</v>
      </c>
      <c r="AA184" s="1" t="s">
        <v>42</v>
      </c>
      <c r="AB184" s="1" t="s">
        <v>41</v>
      </c>
      <c r="AC184" s="1" t="s">
        <v>42</v>
      </c>
      <c r="AD184" s="1" t="s">
        <v>41</v>
      </c>
      <c r="AE184" s="1" t="s">
        <v>41</v>
      </c>
      <c r="AF184" s="1" t="s">
        <v>41</v>
      </c>
      <c r="AG184" s="1" t="s">
        <v>42</v>
      </c>
      <c r="AH184" s="1" t="s">
        <v>41</v>
      </c>
      <c r="AI184" s="3">
        <v>35</v>
      </c>
      <c r="AJ184" s="3">
        <v>74.16</v>
      </c>
      <c r="AK184" s="3">
        <v>51.76</v>
      </c>
      <c r="AL184" s="3">
        <v>65</v>
      </c>
      <c r="AM184" s="1" t="s">
        <v>50</v>
      </c>
      <c r="AN184" s="1" t="s">
        <v>119</v>
      </c>
      <c r="AO184" s="1" t="s">
        <v>119</v>
      </c>
      <c r="AP184" s="1" t="s">
        <v>446</v>
      </c>
      <c r="AQ184" s="1" t="s">
        <v>442</v>
      </c>
      <c r="AR184" s="1" t="s">
        <v>46</v>
      </c>
      <c r="AS184" s="4">
        <v>18.149999999999999</v>
      </c>
      <c r="AT184" s="31">
        <v>20</v>
      </c>
      <c r="AU184" s="5">
        <v>20</v>
      </c>
      <c r="AV184" s="4">
        <v>1.18</v>
      </c>
      <c r="AW184" s="15">
        <f>AT184-AZ184</f>
        <v>0</v>
      </c>
      <c r="AX184" s="4">
        <f>AW184/AT184*100</f>
        <v>0</v>
      </c>
      <c r="AY184" s="4">
        <v>17.09</v>
      </c>
      <c r="AZ184" s="5">
        <v>20</v>
      </c>
      <c r="BA184" s="4">
        <v>1.25</v>
      </c>
      <c r="BB184" s="4"/>
      <c r="BC184" s="4"/>
      <c r="BD184" s="4"/>
      <c r="BE184" s="1" t="s">
        <v>118</v>
      </c>
      <c r="BF184" s="1">
        <v>49</v>
      </c>
      <c r="BG184" s="1">
        <v>49</v>
      </c>
      <c r="BH184">
        <f>BF184-BG184</f>
        <v>0</v>
      </c>
      <c r="BI184" s="6"/>
    </row>
    <row r="185" spans="1:61" x14ac:dyDescent="0.2">
      <c r="A185" t="s">
        <v>338</v>
      </c>
      <c r="B185" s="1" t="s">
        <v>111</v>
      </c>
      <c r="C185" s="1">
        <v>2017</v>
      </c>
      <c r="D185" s="1" t="s">
        <v>50</v>
      </c>
      <c r="E185" s="1" t="s">
        <v>51</v>
      </c>
      <c r="F185" s="1" t="s">
        <v>356</v>
      </c>
      <c r="G185" s="2" t="s">
        <v>356</v>
      </c>
      <c r="H185" s="1" t="s">
        <v>51</v>
      </c>
      <c r="I185" s="1" t="s">
        <v>51</v>
      </c>
      <c r="J185" s="1" t="s">
        <v>113</v>
      </c>
      <c r="K185" s="2" t="s">
        <v>372</v>
      </c>
      <c r="L185" s="1"/>
      <c r="M185" s="1"/>
      <c r="N185" s="1" t="s">
        <v>114</v>
      </c>
      <c r="O185" s="1" t="s">
        <v>450</v>
      </c>
      <c r="P185" s="2" t="s">
        <v>379</v>
      </c>
      <c r="Q185" s="2" t="s">
        <v>443</v>
      </c>
      <c r="R185" s="1" t="s">
        <v>374</v>
      </c>
      <c r="S185" s="1" t="s">
        <v>54</v>
      </c>
      <c r="T185" s="1" t="s">
        <v>38</v>
      </c>
      <c r="U185" s="1" t="s">
        <v>115</v>
      </c>
      <c r="V185" s="1" t="s">
        <v>40</v>
      </c>
      <c r="W185" s="1" t="s">
        <v>42</v>
      </c>
      <c r="X185" s="1" t="s">
        <v>41</v>
      </c>
      <c r="Y185" s="1" t="s">
        <v>41</v>
      </c>
      <c r="Z185" s="1" t="s">
        <v>41</v>
      </c>
      <c r="AA185" s="1" t="s">
        <v>42</v>
      </c>
      <c r="AB185" s="1" t="s">
        <v>41</v>
      </c>
      <c r="AC185" s="1" t="s">
        <v>42</v>
      </c>
      <c r="AD185" s="1" t="s">
        <v>41</v>
      </c>
      <c r="AE185" s="1" t="s">
        <v>41</v>
      </c>
      <c r="AF185" s="1" t="s">
        <v>41</v>
      </c>
      <c r="AG185" s="1" t="s">
        <v>42</v>
      </c>
      <c r="AH185" s="1" t="s">
        <v>41</v>
      </c>
      <c r="AI185" s="3">
        <v>35</v>
      </c>
      <c r="AJ185" s="3">
        <v>74.16</v>
      </c>
      <c r="AK185" s="3">
        <v>51.76</v>
      </c>
      <c r="AL185" s="3">
        <v>65</v>
      </c>
      <c r="AM185" s="1" t="s">
        <v>50</v>
      </c>
      <c r="AN185" s="1" t="s">
        <v>119</v>
      </c>
      <c r="AO185" s="1" t="s">
        <v>119</v>
      </c>
      <c r="AP185" s="1" t="s">
        <v>447</v>
      </c>
      <c r="AQ185" s="1" t="s">
        <v>442</v>
      </c>
      <c r="AR185" s="1" t="s">
        <v>46</v>
      </c>
      <c r="AS185" s="4">
        <v>17.05</v>
      </c>
      <c r="AT185" s="31">
        <v>20</v>
      </c>
      <c r="AU185" s="5">
        <v>20</v>
      </c>
      <c r="AV185" s="4">
        <v>0.94</v>
      </c>
      <c r="AW185" s="15">
        <f>AT185-AZ185</f>
        <v>0</v>
      </c>
      <c r="AX185" s="4">
        <f>AW185/AT185*100</f>
        <v>0</v>
      </c>
      <c r="AY185" s="4">
        <v>16.2</v>
      </c>
      <c r="AZ185" s="5">
        <v>20</v>
      </c>
      <c r="BA185" s="4">
        <v>1.05</v>
      </c>
      <c r="BB185" s="4"/>
      <c r="BC185" s="4"/>
      <c r="BD185" s="4"/>
      <c r="BE185" s="1" t="s">
        <v>118</v>
      </c>
      <c r="BF185" s="1">
        <v>49</v>
      </c>
      <c r="BG185" s="1">
        <v>49</v>
      </c>
      <c r="BH185">
        <f>BF185-BG185</f>
        <v>0</v>
      </c>
      <c r="BI185" s="6"/>
    </row>
    <row r="186" spans="1:61" x14ac:dyDescent="0.2">
      <c r="A186" t="s">
        <v>338</v>
      </c>
      <c r="B186" s="1" t="s">
        <v>111</v>
      </c>
      <c r="C186" s="1">
        <v>2017</v>
      </c>
      <c r="D186" s="1" t="s">
        <v>50</v>
      </c>
      <c r="E186" s="1" t="s">
        <v>51</v>
      </c>
      <c r="F186" s="1" t="s">
        <v>356</v>
      </c>
      <c r="G186" s="2" t="s">
        <v>356</v>
      </c>
      <c r="H186" s="1" t="s">
        <v>51</v>
      </c>
      <c r="I186" s="1" t="s">
        <v>51</v>
      </c>
      <c r="J186" s="1" t="s">
        <v>113</v>
      </c>
      <c r="K186" s="2" t="s">
        <v>372</v>
      </c>
      <c r="L186" s="1"/>
      <c r="M186" s="1"/>
      <c r="N186" s="1" t="s">
        <v>114</v>
      </c>
      <c r="O186" s="1" t="s">
        <v>450</v>
      </c>
      <c r="P186" s="2" t="s">
        <v>379</v>
      </c>
      <c r="Q186" s="2" t="s">
        <v>443</v>
      </c>
      <c r="R186" s="1" t="s">
        <v>374</v>
      </c>
      <c r="S186" s="1" t="s">
        <v>54</v>
      </c>
      <c r="T186" s="1" t="s">
        <v>38</v>
      </c>
      <c r="U186" s="1" t="s">
        <v>115</v>
      </c>
      <c r="V186" s="1" t="s">
        <v>40</v>
      </c>
      <c r="W186" s="1" t="s">
        <v>42</v>
      </c>
      <c r="X186" s="1" t="s">
        <v>41</v>
      </c>
      <c r="Y186" s="1" t="s">
        <v>41</v>
      </c>
      <c r="Z186" s="1" t="s">
        <v>41</v>
      </c>
      <c r="AA186" s="1" t="s">
        <v>42</v>
      </c>
      <c r="AB186" s="1" t="s">
        <v>41</v>
      </c>
      <c r="AC186" s="1" t="s">
        <v>42</v>
      </c>
      <c r="AD186" s="1" t="s">
        <v>41</v>
      </c>
      <c r="AE186" s="1" t="s">
        <v>41</v>
      </c>
      <c r="AF186" s="1" t="s">
        <v>41</v>
      </c>
      <c r="AG186" s="1" t="s">
        <v>42</v>
      </c>
      <c r="AH186" s="1" t="s">
        <v>41</v>
      </c>
      <c r="AI186" s="3">
        <v>35</v>
      </c>
      <c r="AJ186" s="3">
        <v>74.16</v>
      </c>
      <c r="AK186" s="3">
        <v>51.76</v>
      </c>
      <c r="AL186" s="3">
        <v>65</v>
      </c>
      <c r="AM186" s="1" t="s">
        <v>50</v>
      </c>
      <c r="AN186" s="1" t="s">
        <v>119</v>
      </c>
      <c r="AO186" s="1" t="s">
        <v>119</v>
      </c>
      <c r="AP186" s="1" t="s">
        <v>448</v>
      </c>
      <c r="AQ186" s="1" t="s">
        <v>442</v>
      </c>
      <c r="AR186" s="1" t="s">
        <v>46</v>
      </c>
      <c r="AS186" s="4">
        <v>19.55</v>
      </c>
      <c r="AT186" s="31">
        <v>20</v>
      </c>
      <c r="AU186" s="5">
        <v>20</v>
      </c>
      <c r="AV186" s="4">
        <v>1.35</v>
      </c>
      <c r="AW186" s="15">
        <f>AT186-AZ186</f>
        <v>0</v>
      </c>
      <c r="AX186" s="4">
        <f>AW186/AT186*100</f>
        <v>0</v>
      </c>
      <c r="AY186" s="4">
        <v>18.649999999999999</v>
      </c>
      <c r="AZ186" s="5">
        <v>20</v>
      </c>
      <c r="BA186" s="4">
        <v>1.34</v>
      </c>
      <c r="BB186" s="4"/>
      <c r="BC186" s="4"/>
      <c r="BD186" s="4"/>
      <c r="BE186" s="1" t="s">
        <v>118</v>
      </c>
      <c r="BF186" s="1">
        <v>49</v>
      </c>
      <c r="BG186" s="1">
        <v>49</v>
      </c>
      <c r="BH186">
        <f>BF186-BG186</f>
        <v>0</v>
      </c>
      <c r="BI186" s="6"/>
    </row>
    <row r="187" spans="1:61" x14ac:dyDescent="0.2">
      <c r="A187" t="s">
        <v>338</v>
      </c>
      <c r="B187" s="1" t="s">
        <v>111</v>
      </c>
      <c r="C187" s="1">
        <v>2017</v>
      </c>
      <c r="D187" s="1" t="s">
        <v>50</v>
      </c>
      <c r="E187" s="1" t="s">
        <v>51</v>
      </c>
      <c r="F187" s="1" t="s">
        <v>356</v>
      </c>
      <c r="G187" s="2" t="s">
        <v>356</v>
      </c>
      <c r="H187" s="1" t="s">
        <v>51</v>
      </c>
      <c r="I187" s="1" t="s">
        <v>51</v>
      </c>
      <c r="J187" s="1" t="s">
        <v>113</v>
      </c>
      <c r="K187" s="2" t="s">
        <v>372</v>
      </c>
      <c r="L187" s="1"/>
      <c r="M187" s="1"/>
      <c r="N187" s="1" t="s">
        <v>114</v>
      </c>
      <c r="O187" s="1" t="s">
        <v>450</v>
      </c>
      <c r="P187" s="2" t="s">
        <v>379</v>
      </c>
      <c r="Q187" s="2" t="s">
        <v>443</v>
      </c>
      <c r="R187" s="1" t="s">
        <v>374</v>
      </c>
      <c r="S187" s="1" t="s">
        <v>54</v>
      </c>
      <c r="T187" s="1" t="s">
        <v>38</v>
      </c>
      <c r="U187" s="1" t="s">
        <v>115</v>
      </c>
      <c r="V187" s="1" t="s">
        <v>40</v>
      </c>
      <c r="W187" s="1" t="s">
        <v>42</v>
      </c>
      <c r="X187" s="1" t="s">
        <v>41</v>
      </c>
      <c r="Y187" s="1" t="s">
        <v>41</v>
      </c>
      <c r="Z187" s="1" t="s">
        <v>41</v>
      </c>
      <c r="AA187" s="1" t="s">
        <v>42</v>
      </c>
      <c r="AB187" s="1" t="s">
        <v>41</v>
      </c>
      <c r="AC187" s="1" t="s">
        <v>42</v>
      </c>
      <c r="AD187" s="1" t="s">
        <v>41</v>
      </c>
      <c r="AE187" s="1" t="s">
        <v>41</v>
      </c>
      <c r="AF187" s="1" t="s">
        <v>41</v>
      </c>
      <c r="AG187" s="1" t="s">
        <v>42</v>
      </c>
      <c r="AH187" s="1" t="s">
        <v>41</v>
      </c>
      <c r="AI187" s="3">
        <v>35</v>
      </c>
      <c r="AJ187" s="3">
        <v>74.16</v>
      </c>
      <c r="AK187" s="3">
        <v>51.76</v>
      </c>
      <c r="AL187" s="3">
        <v>65</v>
      </c>
      <c r="AM187" s="1" t="s">
        <v>50</v>
      </c>
      <c r="AN187" s="1" t="s">
        <v>119</v>
      </c>
      <c r="AO187" s="1" t="s">
        <v>119</v>
      </c>
      <c r="AP187" s="1" t="s">
        <v>449</v>
      </c>
      <c r="AQ187" s="1" t="s">
        <v>442</v>
      </c>
      <c r="AR187" s="1" t="s">
        <v>46</v>
      </c>
      <c r="AS187" s="4">
        <v>16.850000000000001</v>
      </c>
      <c r="AT187" s="31">
        <v>20</v>
      </c>
      <c r="AU187" s="5">
        <v>20</v>
      </c>
      <c r="AV187" s="4">
        <v>1.98</v>
      </c>
      <c r="AW187" s="15">
        <f>AT187-AZ187</f>
        <v>0</v>
      </c>
      <c r="AX187" s="4">
        <f>AW187/AT187*100</f>
        <v>0</v>
      </c>
      <c r="AY187" s="4">
        <v>16.649999999999999</v>
      </c>
      <c r="AZ187" s="5">
        <v>20</v>
      </c>
      <c r="BA187" s="4">
        <v>1.34</v>
      </c>
      <c r="BB187" s="4"/>
      <c r="BC187" s="4"/>
      <c r="BD187" s="4"/>
      <c r="BE187" s="1" t="s">
        <v>118</v>
      </c>
      <c r="BF187" s="1">
        <v>49</v>
      </c>
      <c r="BG187" s="1">
        <v>49</v>
      </c>
      <c r="BH187">
        <f>BF187-BG187</f>
        <v>0</v>
      </c>
      <c r="BI187" s="6"/>
    </row>
    <row r="188" spans="1:61" x14ac:dyDescent="0.2">
      <c r="A188" t="s">
        <v>338</v>
      </c>
      <c r="B188" s="1" t="s">
        <v>120</v>
      </c>
      <c r="C188" s="1">
        <v>2017</v>
      </c>
      <c r="D188" s="1" t="s">
        <v>453</v>
      </c>
      <c r="E188" s="1" t="s">
        <v>51</v>
      </c>
      <c r="F188" s="1" t="s">
        <v>356</v>
      </c>
      <c r="G188" s="2" t="s">
        <v>356</v>
      </c>
      <c r="H188" s="1" t="s">
        <v>51</v>
      </c>
      <c r="I188" s="1" t="s">
        <v>51</v>
      </c>
      <c r="J188" s="1" t="s">
        <v>121</v>
      </c>
      <c r="K188" s="2" t="s">
        <v>372</v>
      </c>
      <c r="L188" s="2" t="s">
        <v>396</v>
      </c>
      <c r="M188" s="2" t="s">
        <v>390</v>
      </c>
      <c r="N188" s="1" t="s">
        <v>122</v>
      </c>
      <c r="O188" s="1" t="s">
        <v>457</v>
      </c>
      <c r="P188" s="2" t="s">
        <v>379</v>
      </c>
      <c r="Q188" s="2" t="s">
        <v>451</v>
      </c>
      <c r="R188" s="1" t="s">
        <v>374</v>
      </c>
      <c r="S188" s="1" t="s">
        <v>37</v>
      </c>
      <c r="T188" s="1" t="s">
        <v>38</v>
      </c>
      <c r="U188" s="1" t="s">
        <v>115</v>
      </c>
      <c r="V188" s="1" t="s">
        <v>40</v>
      </c>
      <c r="W188" s="1" t="s">
        <v>42</v>
      </c>
      <c r="X188" s="1" t="s">
        <v>41</v>
      </c>
      <c r="Y188" s="1" t="s">
        <v>41</v>
      </c>
      <c r="Z188" s="1" t="s">
        <v>41</v>
      </c>
      <c r="AA188" s="1" t="s">
        <v>41</v>
      </c>
      <c r="AB188" s="1" t="s">
        <v>41</v>
      </c>
      <c r="AC188" s="1" t="s">
        <v>42</v>
      </c>
      <c r="AD188" s="1" t="s">
        <v>41</v>
      </c>
      <c r="AE188" s="1" t="s">
        <v>41</v>
      </c>
      <c r="AF188" s="1" t="s">
        <v>41</v>
      </c>
      <c r="AG188" s="1" t="s">
        <v>41</v>
      </c>
      <c r="AH188" s="1" t="s">
        <v>41</v>
      </c>
      <c r="AI188" s="3"/>
      <c r="AJ188" s="3">
        <v>75.44</v>
      </c>
      <c r="AK188" s="3">
        <v>52.96</v>
      </c>
      <c r="AL188" s="3"/>
      <c r="AM188" s="1" t="s">
        <v>50</v>
      </c>
      <c r="AN188" s="1" t="s">
        <v>126</v>
      </c>
      <c r="AO188" s="1"/>
      <c r="AP188" s="1" t="s">
        <v>44</v>
      </c>
      <c r="AQ188" s="1" t="s">
        <v>256</v>
      </c>
      <c r="AR188" s="1" t="s">
        <v>46</v>
      </c>
      <c r="AS188" s="4">
        <v>37.58</v>
      </c>
      <c r="AT188" s="35">
        <v>35</v>
      </c>
      <c r="AU188" s="5">
        <v>35</v>
      </c>
      <c r="AV188" s="4">
        <v>1.64</v>
      </c>
      <c r="AW188" s="15">
        <f>AT188-AZ188</f>
        <v>4</v>
      </c>
      <c r="AX188" s="4">
        <f>AW188/AT188*100</f>
        <v>11.428571428571429</v>
      </c>
      <c r="AY188" s="4">
        <v>37.19</v>
      </c>
      <c r="AZ188" s="5">
        <v>31</v>
      </c>
      <c r="BA188" s="4">
        <v>1.53</v>
      </c>
      <c r="BB188" s="4"/>
      <c r="BC188" s="4"/>
      <c r="BD188" s="4"/>
      <c r="BE188" s="1" t="s">
        <v>258</v>
      </c>
      <c r="BF188" s="1">
        <v>35</v>
      </c>
      <c r="BG188" s="1">
        <v>35</v>
      </c>
      <c r="BH188">
        <f>BF188-BG188</f>
        <v>0</v>
      </c>
      <c r="BI188" s="6"/>
    </row>
    <row r="189" spans="1:61" x14ac:dyDescent="0.2">
      <c r="A189" t="s">
        <v>338</v>
      </c>
      <c r="B189" s="1" t="s">
        <v>130</v>
      </c>
      <c r="C189" s="1">
        <v>2014</v>
      </c>
      <c r="D189" s="1" t="s">
        <v>131</v>
      </c>
      <c r="E189" s="1" t="s">
        <v>51</v>
      </c>
      <c r="F189" s="1" t="s">
        <v>356</v>
      </c>
      <c r="G189" s="2" t="s">
        <v>356</v>
      </c>
      <c r="H189" s="1" t="s">
        <v>51</v>
      </c>
      <c r="I189" s="1" t="s">
        <v>51</v>
      </c>
      <c r="J189" s="1" t="s">
        <v>121</v>
      </c>
      <c r="K189" s="2" t="s">
        <v>372</v>
      </c>
      <c r="L189" s="2" t="s">
        <v>397</v>
      </c>
      <c r="M189" s="2" t="s">
        <v>390</v>
      </c>
      <c r="N189" s="1" t="s">
        <v>132</v>
      </c>
      <c r="O189" s="1" t="s">
        <v>459</v>
      </c>
      <c r="P189" s="2" t="s">
        <v>379</v>
      </c>
      <c r="Q189" s="2" t="s">
        <v>458</v>
      </c>
      <c r="R189" s="1" t="s">
        <v>374</v>
      </c>
      <c r="S189" s="1" t="s">
        <v>37</v>
      </c>
      <c r="T189" s="1" t="s">
        <v>38</v>
      </c>
      <c r="U189" s="1" t="s">
        <v>115</v>
      </c>
      <c r="V189" s="1"/>
      <c r="W189" s="1" t="s">
        <v>41</v>
      </c>
      <c r="X189" s="1" t="s">
        <v>41</v>
      </c>
      <c r="Y189" s="1" t="s">
        <v>41</v>
      </c>
      <c r="Z189" s="1" t="s">
        <v>41</v>
      </c>
      <c r="AA189" s="1" t="s">
        <v>42</v>
      </c>
      <c r="AB189" s="1" t="s">
        <v>41</v>
      </c>
      <c r="AC189" s="1" t="s">
        <v>41</v>
      </c>
      <c r="AD189" s="1" t="s">
        <v>41</v>
      </c>
      <c r="AE189" s="1" t="s">
        <v>41</v>
      </c>
      <c r="AF189" s="1" t="s">
        <v>41</v>
      </c>
      <c r="AG189" s="1" t="s">
        <v>42</v>
      </c>
      <c r="AH189" s="1" t="s">
        <v>41</v>
      </c>
      <c r="AI189" s="3"/>
      <c r="AJ189" s="3"/>
      <c r="AK189" s="3"/>
      <c r="AL189" s="3">
        <v>100</v>
      </c>
      <c r="AM189" s="1"/>
      <c r="AN189" s="1"/>
      <c r="AO189" s="1"/>
      <c r="AP189" s="1" t="s">
        <v>44</v>
      </c>
      <c r="AQ189" s="1" t="s">
        <v>175</v>
      </c>
      <c r="AR189" s="1" t="s">
        <v>46</v>
      </c>
      <c r="AS189" s="4">
        <v>25.3</v>
      </c>
      <c r="AT189" s="31">
        <v>10</v>
      </c>
      <c r="AU189" s="5">
        <v>10</v>
      </c>
      <c r="AV189" s="4">
        <v>7.33</v>
      </c>
      <c r="AW189" s="15">
        <f>AT189-AZ189</f>
        <v>0</v>
      </c>
      <c r="AX189" s="4">
        <f>AW189/AT189*100</f>
        <v>0</v>
      </c>
      <c r="AY189" s="4">
        <v>44.7</v>
      </c>
      <c r="AZ189" s="5">
        <v>10</v>
      </c>
      <c r="BA189" s="4">
        <v>13.71</v>
      </c>
      <c r="BB189" s="4"/>
      <c r="BC189" s="4"/>
      <c r="BD189" s="4"/>
      <c r="BE189" s="1" t="s">
        <v>258</v>
      </c>
      <c r="BF189" s="1">
        <v>35</v>
      </c>
      <c r="BG189" s="1">
        <v>35</v>
      </c>
      <c r="BH189">
        <f>BF189-BG189</f>
        <v>0</v>
      </c>
      <c r="BI189" s="6"/>
    </row>
    <row r="190" spans="1:61" x14ac:dyDescent="0.2">
      <c r="A190" t="s">
        <v>338</v>
      </c>
      <c r="B190" s="1" t="s">
        <v>130</v>
      </c>
      <c r="C190" s="1">
        <v>2014</v>
      </c>
      <c r="D190" s="1" t="s">
        <v>131</v>
      </c>
      <c r="E190" s="1" t="s">
        <v>51</v>
      </c>
      <c r="F190" s="1" t="s">
        <v>356</v>
      </c>
      <c r="G190" s="2" t="s">
        <v>356</v>
      </c>
      <c r="H190" s="1" t="s">
        <v>51</v>
      </c>
      <c r="I190" s="1" t="s">
        <v>51</v>
      </c>
      <c r="J190" s="1" t="s">
        <v>121</v>
      </c>
      <c r="K190" s="2" t="s">
        <v>372</v>
      </c>
      <c r="L190" s="2" t="s">
        <v>397</v>
      </c>
      <c r="M190" s="2" t="s">
        <v>390</v>
      </c>
      <c r="N190" s="1" t="s">
        <v>132</v>
      </c>
      <c r="O190" s="1" t="s">
        <v>459</v>
      </c>
      <c r="P190" s="2" t="s">
        <v>379</v>
      </c>
      <c r="Q190" s="2" t="s">
        <v>458</v>
      </c>
      <c r="R190" s="1" t="s">
        <v>374</v>
      </c>
      <c r="S190" s="1" t="s">
        <v>37</v>
      </c>
      <c r="T190" s="1" t="s">
        <v>38</v>
      </c>
      <c r="U190" s="1" t="s">
        <v>115</v>
      </c>
      <c r="V190" s="1"/>
      <c r="W190" s="1" t="s">
        <v>41</v>
      </c>
      <c r="X190" s="1" t="s">
        <v>41</v>
      </c>
      <c r="Y190" s="1" t="s">
        <v>41</v>
      </c>
      <c r="Z190" s="1" t="s">
        <v>41</v>
      </c>
      <c r="AA190" s="1" t="s">
        <v>42</v>
      </c>
      <c r="AB190" s="1" t="s">
        <v>41</v>
      </c>
      <c r="AC190" s="1" t="s">
        <v>41</v>
      </c>
      <c r="AD190" s="1" t="s">
        <v>41</v>
      </c>
      <c r="AE190" s="1" t="s">
        <v>41</v>
      </c>
      <c r="AF190" s="1" t="s">
        <v>41</v>
      </c>
      <c r="AG190" s="1" t="s">
        <v>42</v>
      </c>
      <c r="AH190" s="1" t="s">
        <v>41</v>
      </c>
      <c r="AI190" s="3"/>
      <c r="AJ190" s="3"/>
      <c r="AK190" s="3"/>
      <c r="AL190" s="3">
        <v>100</v>
      </c>
      <c r="AM190" s="1"/>
      <c r="AN190" s="1"/>
      <c r="AO190" s="1"/>
      <c r="AP190" s="1" t="s">
        <v>134</v>
      </c>
      <c r="AQ190" s="1" t="s">
        <v>257</v>
      </c>
      <c r="AR190" s="1" t="s">
        <v>46</v>
      </c>
      <c r="AS190" s="4">
        <v>12.7</v>
      </c>
      <c r="AT190" s="31">
        <v>10</v>
      </c>
      <c r="AU190" s="5">
        <v>10</v>
      </c>
      <c r="AV190" s="4">
        <v>4.57</v>
      </c>
      <c r="AW190" s="15">
        <f>AT190-AZ190</f>
        <v>0</v>
      </c>
      <c r="AX190" s="4">
        <f>AW190/AT190*100</f>
        <v>0</v>
      </c>
      <c r="AY190" s="4">
        <v>19.399999999999899</v>
      </c>
      <c r="AZ190" s="5">
        <v>10</v>
      </c>
      <c r="BA190" s="4">
        <v>9.2100000000000009</v>
      </c>
      <c r="BB190" s="4"/>
      <c r="BC190" s="4"/>
      <c r="BD190" s="4"/>
      <c r="BE190" s="1" t="s">
        <v>258</v>
      </c>
      <c r="BF190" s="1">
        <v>35</v>
      </c>
      <c r="BG190" s="1">
        <v>35</v>
      </c>
      <c r="BH190">
        <f>BF190-BG190</f>
        <v>0</v>
      </c>
      <c r="BI190" s="6"/>
    </row>
    <row r="191" spans="1:61" x14ac:dyDescent="0.2">
      <c r="A191" t="s">
        <v>406</v>
      </c>
      <c r="B191" s="1" t="s">
        <v>130</v>
      </c>
      <c r="C191" s="1">
        <v>2014</v>
      </c>
      <c r="D191" s="1" t="s">
        <v>131</v>
      </c>
      <c r="E191" s="1" t="s">
        <v>51</v>
      </c>
      <c r="F191" s="1" t="s">
        <v>356</v>
      </c>
      <c r="G191" s="2" t="s">
        <v>356</v>
      </c>
      <c r="H191" s="1" t="s">
        <v>51</v>
      </c>
      <c r="I191" s="1" t="s">
        <v>51</v>
      </c>
      <c r="J191" s="1" t="s">
        <v>121</v>
      </c>
      <c r="K191" s="2" t="s">
        <v>372</v>
      </c>
      <c r="L191" s="2" t="s">
        <v>397</v>
      </c>
      <c r="M191" s="2" t="s">
        <v>390</v>
      </c>
      <c r="N191" s="1" t="s">
        <v>132</v>
      </c>
      <c r="O191" s="1" t="s">
        <v>459</v>
      </c>
      <c r="P191" s="2" t="s">
        <v>379</v>
      </c>
      <c r="Q191" s="2" t="s">
        <v>458</v>
      </c>
      <c r="R191" s="1" t="s">
        <v>374</v>
      </c>
      <c r="S191" s="1" t="s">
        <v>37</v>
      </c>
      <c r="T191" s="1" t="s">
        <v>38</v>
      </c>
      <c r="U191" s="1" t="s">
        <v>115</v>
      </c>
      <c r="V191" s="1"/>
      <c r="W191" s="1" t="s">
        <v>41</v>
      </c>
      <c r="X191" s="1" t="s">
        <v>41</v>
      </c>
      <c r="Y191" s="1" t="s">
        <v>41</v>
      </c>
      <c r="Z191" s="1" t="s">
        <v>41</v>
      </c>
      <c r="AA191" s="1" t="s">
        <v>42</v>
      </c>
      <c r="AB191" s="1" t="s">
        <v>41</v>
      </c>
      <c r="AC191" s="1" t="s">
        <v>41</v>
      </c>
      <c r="AD191" s="1" t="s">
        <v>41</v>
      </c>
      <c r="AE191" s="1" t="s">
        <v>41</v>
      </c>
      <c r="AF191" s="1" t="s">
        <v>41</v>
      </c>
      <c r="AG191" s="1" t="s">
        <v>42</v>
      </c>
      <c r="AH191" s="1" t="s">
        <v>41</v>
      </c>
      <c r="AI191" s="3"/>
      <c r="AJ191" s="3"/>
      <c r="AK191" s="3"/>
      <c r="AL191" s="3">
        <v>100</v>
      </c>
      <c r="AM191" s="1"/>
      <c r="AN191" s="1"/>
      <c r="AO191" s="1"/>
      <c r="AP191" s="1" t="s">
        <v>179</v>
      </c>
      <c r="AQ191" s="1" t="s">
        <v>195</v>
      </c>
      <c r="AR191" s="1" t="s">
        <v>46</v>
      </c>
      <c r="AS191" s="4">
        <v>47.61</v>
      </c>
      <c r="AT191" s="31">
        <v>10</v>
      </c>
      <c r="AU191" s="5">
        <v>10</v>
      </c>
      <c r="AV191" s="4">
        <v>18.32</v>
      </c>
      <c r="AW191" s="15">
        <f>AT191-AZ191</f>
        <v>0</v>
      </c>
      <c r="AX191" s="4">
        <f>AW191/AT191*100</f>
        <v>0</v>
      </c>
      <c r="AY191" s="4">
        <v>37.57</v>
      </c>
      <c r="AZ191" s="5">
        <v>10</v>
      </c>
      <c r="BA191" s="4">
        <v>12.8</v>
      </c>
      <c r="BB191" s="4"/>
      <c r="BC191" s="4"/>
      <c r="BD191" s="4"/>
      <c r="BE191" s="1" t="s">
        <v>258</v>
      </c>
      <c r="BF191" s="1">
        <v>35</v>
      </c>
      <c r="BG191" s="1">
        <v>35</v>
      </c>
      <c r="BH191">
        <f>BF191-BG191</f>
        <v>0</v>
      </c>
      <c r="BI191" s="6"/>
    </row>
    <row r="192" spans="1:61" x14ac:dyDescent="0.2">
      <c r="A192" t="s">
        <v>406</v>
      </c>
      <c r="B192" t="s">
        <v>243</v>
      </c>
      <c r="C192" s="1">
        <v>2010</v>
      </c>
      <c r="D192" s="1" t="s">
        <v>248</v>
      </c>
      <c r="E192" s="1" t="s">
        <v>51</v>
      </c>
      <c r="F192" s="1" t="s">
        <v>356</v>
      </c>
      <c r="G192" s="2" t="s">
        <v>356</v>
      </c>
      <c r="H192" s="1" t="s">
        <v>51</v>
      </c>
      <c r="I192" s="1" t="s">
        <v>51</v>
      </c>
      <c r="J192" s="1" t="s">
        <v>86</v>
      </c>
      <c r="K192" s="1" t="s">
        <v>371</v>
      </c>
      <c r="L192" s="2"/>
      <c r="M192" s="2"/>
      <c r="N192" s="1" t="s">
        <v>87</v>
      </c>
      <c r="O192" s="1" t="s">
        <v>495</v>
      </c>
      <c r="P192" s="1" t="s">
        <v>404</v>
      </c>
      <c r="Q192" s="1" t="s">
        <v>59</v>
      </c>
      <c r="R192" s="1" t="s">
        <v>496</v>
      </c>
      <c r="S192" s="1" t="s">
        <v>37</v>
      </c>
      <c r="T192" s="1" t="s">
        <v>38</v>
      </c>
      <c r="U192" s="1" t="s">
        <v>115</v>
      </c>
      <c r="V192" s="1" t="s">
        <v>182</v>
      </c>
      <c r="W192" s="1" t="s">
        <v>42</v>
      </c>
      <c r="X192" s="1" t="s">
        <v>42</v>
      </c>
      <c r="Y192" s="1" t="s">
        <v>56</v>
      </c>
      <c r="Z192" s="1" t="s">
        <v>42</v>
      </c>
      <c r="AA192" s="1" t="s">
        <v>42</v>
      </c>
      <c r="AB192" s="1" t="s">
        <v>42</v>
      </c>
      <c r="AC192" s="1" t="s">
        <v>42</v>
      </c>
      <c r="AD192" s="1" t="s">
        <v>42</v>
      </c>
      <c r="AE192" s="1" t="s">
        <v>56</v>
      </c>
      <c r="AF192" s="1" t="s">
        <v>42</v>
      </c>
      <c r="AG192" s="1" t="s">
        <v>42</v>
      </c>
      <c r="AH192" s="1" t="s">
        <v>42</v>
      </c>
      <c r="AI192" s="3">
        <v>60</v>
      </c>
      <c r="AJ192" s="3">
        <v>68.41</v>
      </c>
      <c r="AK192" s="3"/>
      <c r="AL192" s="3"/>
      <c r="AM192" s="1" t="s">
        <v>249</v>
      </c>
      <c r="AN192" s="1" t="s">
        <v>250</v>
      </c>
      <c r="AO192" s="1" t="s">
        <v>251</v>
      </c>
      <c r="AP192" s="1" t="s">
        <v>82</v>
      </c>
      <c r="AQ192" s="1" t="s">
        <v>195</v>
      </c>
      <c r="AR192" s="1" t="s">
        <v>46</v>
      </c>
      <c r="AS192" s="4">
        <v>415.3</v>
      </c>
      <c r="AT192" s="31">
        <v>25</v>
      </c>
      <c r="AU192" s="5">
        <v>25</v>
      </c>
      <c r="AV192" s="4">
        <v>140.80000000000001</v>
      </c>
      <c r="AW192" s="15">
        <f>AT192-AZ192</f>
        <v>0</v>
      </c>
      <c r="AX192" s="4">
        <f>AW192/AT192*100</f>
        <v>0</v>
      </c>
      <c r="AY192" s="4">
        <v>370.8</v>
      </c>
      <c r="AZ192" s="5">
        <v>25</v>
      </c>
      <c r="BA192" s="4">
        <v>132.6</v>
      </c>
      <c r="BB192" s="4"/>
      <c r="BC192" s="4"/>
      <c r="BD192" s="4"/>
      <c r="BE192" s="1" t="s">
        <v>94</v>
      </c>
      <c r="BF192" s="1">
        <v>365</v>
      </c>
      <c r="BG192" s="1">
        <v>365</v>
      </c>
      <c r="BH192">
        <f>BF192-BG192</f>
        <v>0</v>
      </c>
      <c r="BI192" s="6"/>
    </row>
    <row r="193" spans="1:61" x14ac:dyDescent="0.2">
      <c r="A193" t="s">
        <v>499</v>
      </c>
      <c r="B193" s="2" t="s">
        <v>283</v>
      </c>
      <c r="C193" s="2">
        <v>2020</v>
      </c>
      <c r="D193" s="2" t="s">
        <v>133</v>
      </c>
      <c r="E193" s="2" t="s">
        <v>498</v>
      </c>
      <c r="F193" s="2" t="s">
        <v>507</v>
      </c>
      <c r="G193" s="2" t="s">
        <v>359</v>
      </c>
      <c r="H193" s="2"/>
      <c r="I193" s="2"/>
      <c r="J193" s="2" t="s">
        <v>52</v>
      </c>
      <c r="K193" s="2" t="s">
        <v>372</v>
      </c>
      <c r="L193" s="2" t="s">
        <v>380</v>
      </c>
      <c r="M193" s="2" t="s">
        <v>380</v>
      </c>
      <c r="N193" s="2" t="s">
        <v>284</v>
      </c>
      <c r="O193" s="2" t="s">
        <v>302</v>
      </c>
      <c r="P193" s="2" t="s">
        <v>381</v>
      </c>
      <c r="Q193" s="2" t="s">
        <v>423</v>
      </c>
      <c r="R193" s="2" t="s">
        <v>209</v>
      </c>
      <c r="S193" s="2" t="s">
        <v>285</v>
      </c>
      <c r="T193" s="2" t="s">
        <v>286</v>
      </c>
      <c r="U193" s="2" t="s">
        <v>172</v>
      </c>
      <c r="V193" s="2" t="s">
        <v>40</v>
      </c>
      <c r="W193" s="2" t="s">
        <v>287</v>
      </c>
      <c r="X193" s="2" t="s">
        <v>41</v>
      </c>
      <c r="Y193" s="2" t="s">
        <v>41</v>
      </c>
      <c r="Z193" s="2" t="s">
        <v>41</v>
      </c>
      <c r="AA193" s="2" t="s">
        <v>42</v>
      </c>
      <c r="AB193" s="2" t="s">
        <v>41</v>
      </c>
      <c r="AC193" s="2" t="s">
        <v>287</v>
      </c>
      <c r="AD193" s="2" t="s">
        <v>287</v>
      </c>
      <c r="AE193" s="2" t="s">
        <v>41</v>
      </c>
      <c r="AF193" s="2" t="s">
        <v>41</v>
      </c>
      <c r="AG193" s="2" t="s">
        <v>41</v>
      </c>
      <c r="AH193" s="2" t="s">
        <v>41</v>
      </c>
      <c r="AI193" s="7"/>
      <c r="AJ193" s="7"/>
      <c r="AK193" s="7"/>
      <c r="AL193" s="7"/>
      <c r="AM193" s="2" t="s">
        <v>302</v>
      </c>
      <c r="AN193" s="2"/>
      <c r="AO193" s="2"/>
      <c r="AP193" s="2" t="s">
        <v>44</v>
      </c>
      <c r="AQ193" s="2" t="s">
        <v>357</v>
      </c>
      <c r="AR193" s="2" t="s">
        <v>46</v>
      </c>
      <c r="AS193" s="8">
        <v>54.14</v>
      </c>
      <c r="AT193" s="32">
        <v>157</v>
      </c>
      <c r="AU193" s="9">
        <v>157</v>
      </c>
      <c r="AV193" s="8">
        <f>0.43*SQRT(AU193)</f>
        <v>5.3878845570409171</v>
      </c>
      <c r="AW193" s="15">
        <f>AT193-AZ193</f>
        <v>0</v>
      </c>
      <c r="AX193" s="4">
        <f>AW193/AT193*100</f>
        <v>0</v>
      </c>
      <c r="AY193" s="8">
        <v>19.61</v>
      </c>
      <c r="AZ193" s="9">
        <v>157</v>
      </c>
      <c r="BA193" s="8">
        <f>0.29*SQRT(AZ193)</f>
        <v>3.6336895849810835</v>
      </c>
      <c r="BB193" s="8"/>
      <c r="BC193" s="8"/>
      <c r="BD193" s="8"/>
      <c r="BE193" s="2" t="s">
        <v>312</v>
      </c>
      <c r="BF193" s="2">
        <v>30</v>
      </c>
      <c r="BG193" s="2">
        <v>30</v>
      </c>
      <c r="BH193">
        <f>BF193-BG193</f>
        <v>0</v>
      </c>
      <c r="BI193" s="6"/>
    </row>
    <row r="194" spans="1:61" x14ac:dyDescent="0.2">
      <c r="A194" t="s">
        <v>501</v>
      </c>
      <c r="B194" s="2" t="s">
        <v>283</v>
      </c>
      <c r="C194" s="2">
        <v>2020</v>
      </c>
      <c r="D194" s="2" t="s">
        <v>133</v>
      </c>
      <c r="E194" s="2" t="s">
        <v>498</v>
      </c>
      <c r="F194" s="2" t="s">
        <v>507</v>
      </c>
      <c r="G194" s="2" t="s">
        <v>359</v>
      </c>
      <c r="H194" s="2"/>
      <c r="I194" s="2"/>
      <c r="J194" s="2" t="s">
        <v>52</v>
      </c>
      <c r="K194" s="2" t="s">
        <v>372</v>
      </c>
      <c r="L194" s="2" t="s">
        <v>380</v>
      </c>
      <c r="M194" s="2" t="s">
        <v>380</v>
      </c>
      <c r="N194" s="2" t="s">
        <v>284</v>
      </c>
      <c r="O194" s="2" t="s">
        <v>302</v>
      </c>
      <c r="P194" s="2" t="s">
        <v>381</v>
      </c>
      <c r="Q194" s="2" t="s">
        <v>423</v>
      </c>
      <c r="R194" s="2" t="s">
        <v>209</v>
      </c>
      <c r="S194" s="2" t="s">
        <v>285</v>
      </c>
      <c r="T194" s="2" t="s">
        <v>286</v>
      </c>
      <c r="U194" s="2" t="s">
        <v>172</v>
      </c>
      <c r="V194" s="2" t="s">
        <v>40</v>
      </c>
      <c r="W194" s="2" t="s">
        <v>287</v>
      </c>
      <c r="X194" s="2" t="s">
        <v>41</v>
      </c>
      <c r="Y194" s="2" t="s">
        <v>41</v>
      </c>
      <c r="Z194" s="2" t="s">
        <v>41</v>
      </c>
      <c r="AA194" s="2" t="s">
        <v>42</v>
      </c>
      <c r="AB194" s="2" t="s">
        <v>41</v>
      </c>
      <c r="AC194" s="2" t="s">
        <v>287</v>
      </c>
      <c r="AD194" s="2" t="s">
        <v>287</v>
      </c>
      <c r="AE194" s="2" t="s">
        <v>41</v>
      </c>
      <c r="AF194" s="2" t="s">
        <v>41</v>
      </c>
      <c r="AG194" s="2" t="s">
        <v>41</v>
      </c>
      <c r="AH194" s="2" t="s">
        <v>41</v>
      </c>
      <c r="AI194" s="7"/>
      <c r="AJ194" s="7"/>
      <c r="AK194" s="7"/>
      <c r="AL194" s="7"/>
      <c r="AM194" s="2" t="s">
        <v>302</v>
      </c>
      <c r="AN194" s="2"/>
      <c r="AO194" s="2"/>
      <c r="AP194" s="1" t="s">
        <v>82</v>
      </c>
      <c r="AQ194" s="1" t="s">
        <v>358</v>
      </c>
      <c r="AR194" s="1" t="s">
        <v>46</v>
      </c>
      <c r="AS194" s="4">
        <v>180.24</v>
      </c>
      <c r="AT194" s="31">
        <v>157</v>
      </c>
      <c r="AU194" s="5">
        <v>157</v>
      </c>
      <c r="AV194" s="4">
        <f>1.64*SQRT(AU194)</f>
        <v>20.549141101272333</v>
      </c>
      <c r="AW194" s="15">
        <f>AT194-AZ194</f>
        <v>0</v>
      </c>
      <c r="AX194" s="4">
        <f>AW194/AT194*100</f>
        <v>0</v>
      </c>
      <c r="AY194" s="4">
        <v>279.73</v>
      </c>
      <c r="AZ194" s="5">
        <v>157</v>
      </c>
      <c r="BA194" s="4">
        <f>1.37*SQRT(AZ194)</f>
        <v>17.166050798014087</v>
      </c>
      <c r="BB194" s="8"/>
      <c r="BC194" s="8"/>
      <c r="BD194" s="8"/>
      <c r="BE194" s="2" t="s">
        <v>312</v>
      </c>
      <c r="BF194" s="2">
        <v>30</v>
      </c>
      <c r="BG194" s="2">
        <v>30</v>
      </c>
      <c r="BH194">
        <f>BF194-BG194</f>
        <v>0</v>
      </c>
      <c r="BI194" s="6"/>
    </row>
    <row r="195" spans="1:61" x14ac:dyDescent="0.2">
      <c r="A195" t="s">
        <v>337</v>
      </c>
      <c r="B195" s="2" t="s">
        <v>273</v>
      </c>
      <c r="C195" s="2">
        <v>2020</v>
      </c>
      <c r="D195" s="2" t="s">
        <v>274</v>
      </c>
      <c r="E195" s="1" t="s">
        <v>498</v>
      </c>
      <c r="F195" s="2" t="s">
        <v>507</v>
      </c>
      <c r="G195" s="2" t="s">
        <v>360</v>
      </c>
      <c r="H195" s="2" t="s">
        <v>35</v>
      </c>
      <c r="I195" s="2" t="s">
        <v>48</v>
      </c>
      <c r="J195" s="2" t="s">
        <v>86</v>
      </c>
      <c r="K195" s="2" t="s">
        <v>372</v>
      </c>
      <c r="L195" s="2" t="s">
        <v>389</v>
      </c>
      <c r="M195" s="2" t="s">
        <v>388</v>
      </c>
      <c r="N195" s="2" t="s">
        <v>275</v>
      </c>
      <c r="O195" s="2" t="s">
        <v>405</v>
      </c>
      <c r="P195" s="2" t="s">
        <v>404</v>
      </c>
      <c r="Q195" s="2" t="s">
        <v>419</v>
      </c>
      <c r="R195" s="1" t="s">
        <v>373</v>
      </c>
      <c r="S195" s="2" t="s">
        <v>276</v>
      </c>
      <c r="T195" s="2" t="s">
        <v>270</v>
      </c>
      <c r="U195" s="2" t="s">
        <v>277</v>
      </c>
      <c r="V195" s="2" t="s">
        <v>278</v>
      </c>
      <c r="W195" s="2" t="s">
        <v>56</v>
      </c>
      <c r="X195" s="2" t="s">
        <v>287</v>
      </c>
      <c r="Y195" s="2" t="s">
        <v>56</v>
      </c>
      <c r="Z195" s="2" t="s">
        <v>41</v>
      </c>
      <c r="AA195" s="2" t="s">
        <v>42</v>
      </c>
      <c r="AB195" s="2" t="s">
        <v>41</v>
      </c>
      <c r="AC195" s="2" t="s">
        <v>56</v>
      </c>
      <c r="AD195" s="2" t="s">
        <v>41</v>
      </c>
      <c r="AE195" s="2" t="s">
        <v>56</v>
      </c>
      <c r="AF195" s="2" t="s">
        <v>56</v>
      </c>
      <c r="AG195" s="2" t="s">
        <v>56</v>
      </c>
      <c r="AH195" s="2" t="s">
        <v>42</v>
      </c>
      <c r="AI195" s="7">
        <v>52.8</v>
      </c>
      <c r="AJ195" s="7">
        <v>72.38</v>
      </c>
      <c r="AK195" s="7"/>
      <c r="AL195" s="7"/>
      <c r="AM195" s="2" t="s">
        <v>299</v>
      </c>
      <c r="AN195" s="2"/>
      <c r="AO195" s="2"/>
      <c r="AP195" s="2" t="s">
        <v>252</v>
      </c>
      <c r="AQ195" s="2" t="s">
        <v>318</v>
      </c>
      <c r="AR195" s="2" t="s">
        <v>46</v>
      </c>
      <c r="AS195" s="8">
        <v>14.53</v>
      </c>
      <c r="AT195" s="32">
        <v>51</v>
      </c>
      <c r="AU195" s="9">
        <v>51</v>
      </c>
      <c r="AV195" s="8">
        <v>1.77</v>
      </c>
      <c r="AW195" s="15">
        <f>AT195-AZ195</f>
        <v>0</v>
      </c>
      <c r="AX195" s="4">
        <f>AW195/AT195*100</f>
        <v>0</v>
      </c>
      <c r="AY195" s="8">
        <v>11.41</v>
      </c>
      <c r="AZ195" s="9">
        <v>51</v>
      </c>
      <c r="BA195" s="8">
        <v>1.08</v>
      </c>
      <c r="BB195" s="8"/>
      <c r="BC195" s="8"/>
      <c r="BD195" s="8"/>
      <c r="BE195" s="2" t="s">
        <v>94</v>
      </c>
      <c r="BF195" s="2">
        <v>365</v>
      </c>
      <c r="BG195" s="2">
        <v>365</v>
      </c>
      <c r="BH195">
        <f>BF195-BG195</f>
        <v>0</v>
      </c>
      <c r="BI195" s="6"/>
    </row>
    <row r="196" spans="1:61" x14ac:dyDescent="0.2">
      <c r="A196" t="s">
        <v>337</v>
      </c>
      <c r="B196" s="2" t="s">
        <v>273</v>
      </c>
      <c r="C196" s="2">
        <v>2020</v>
      </c>
      <c r="D196" s="2" t="s">
        <v>274</v>
      </c>
      <c r="E196" s="1" t="s">
        <v>498</v>
      </c>
      <c r="F196" s="2" t="s">
        <v>507</v>
      </c>
      <c r="G196" s="2" t="s">
        <v>360</v>
      </c>
      <c r="H196" s="2" t="s">
        <v>35</v>
      </c>
      <c r="I196" s="2" t="s">
        <v>48</v>
      </c>
      <c r="J196" s="2" t="s">
        <v>86</v>
      </c>
      <c r="K196" s="2" t="s">
        <v>372</v>
      </c>
      <c r="L196" s="2" t="s">
        <v>389</v>
      </c>
      <c r="M196" s="2" t="s">
        <v>388</v>
      </c>
      <c r="N196" s="2" t="s">
        <v>275</v>
      </c>
      <c r="O196" s="2" t="s">
        <v>405</v>
      </c>
      <c r="P196" s="2" t="s">
        <v>404</v>
      </c>
      <c r="Q196" s="2" t="s">
        <v>419</v>
      </c>
      <c r="R196" s="1" t="s">
        <v>373</v>
      </c>
      <c r="S196" s="2" t="s">
        <v>276</v>
      </c>
      <c r="T196" s="2" t="s">
        <v>270</v>
      </c>
      <c r="U196" s="2" t="s">
        <v>277</v>
      </c>
      <c r="V196" s="2" t="s">
        <v>278</v>
      </c>
      <c r="W196" s="2" t="s">
        <v>56</v>
      </c>
      <c r="X196" s="2" t="s">
        <v>287</v>
      </c>
      <c r="Y196" s="2" t="s">
        <v>56</v>
      </c>
      <c r="Z196" s="2" t="s">
        <v>41</v>
      </c>
      <c r="AA196" s="2" t="s">
        <v>42</v>
      </c>
      <c r="AB196" s="2" t="s">
        <v>41</v>
      </c>
      <c r="AC196" s="2" t="s">
        <v>56</v>
      </c>
      <c r="AD196" s="2" t="s">
        <v>41</v>
      </c>
      <c r="AE196" s="2" t="s">
        <v>56</v>
      </c>
      <c r="AF196" s="2" t="s">
        <v>56</v>
      </c>
      <c r="AG196" s="2" t="s">
        <v>56</v>
      </c>
      <c r="AH196" s="2" t="s">
        <v>42</v>
      </c>
      <c r="AI196" s="7">
        <v>52.8</v>
      </c>
      <c r="AJ196" s="7">
        <v>72.38</v>
      </c>
      <c r="AK196" s="7"/>
      <c r="AL196" s="7"/>
      <c r="AM196" s="2" t="s">
        <v>299</v>
      </c>
      <c r="AN196" s="2"/>
      <c r="AO196" s="2"/>
      <c r="AP196" s="2" t="s">
        <v>93</v>
      </c>
      <c r="AQ196" s="2" t="s">
        <v>315</v>
      </c>
      <c r="AR196" s="2" t="s">
        <v>46</v>
      </c>
      <c r="AS196" s="8">
        <v>17.760000000000002</v>
      </c>
      <c r="AT196" s="32">
        <v>51</v>
      </c>
      <c r="AU196" s="9">
        <v>51</v>
      </c>
      <c r="AV196" s="8">
        <v>3.68</v>
      </c>
      <c r="AW196" s="15">
        <f>AT196-AZ196</f>
        <v>0</v>
      </c>
      <c r="AX196" s="4">
        <f>AW196/AT196*100</f>
        <v>0</v>
      </c>
      <c r="AY196" s="8">
        <v>14.64</v>
      </c>
      <c r="AZ196" s="9">
        <v>51</v>
      </c>
      <c r="BA196" s="8">
        <v>2.38</v>
      </c>
      <c r="BB196" s="8"/>
      <c r="BC196" s="8"/>
      <c r="BD196" s="8"/>
      <c r="BE196" s="2" t="s">
        <v>94</v>
      </c>
      <c r="BF196" s="2">
        <v>365</v>
      </c>
      <c r="BG196" s="2">
        <v>365</v>
      </c>
      <c r="BH196">
        <f>BF196-BG196</f>
        <v>0</v>
      </c>
      <c r="BI196" s="6"/>
    </row>
    <row r="197" spans="1:61" x14ac:dyDescent="0.2">
      <c r="A197" t="s">
        <v>337</v>
      </c>
      <c r="B197" s="2" t="s">
        <v>273</v>
      </c>
      <c r="C197" s="2">
        <v>2020</v>
      </c>
      <c r="D197" s="2" t="s">
        <v>274</v>
      </c>
      <c r="E197" s="1" t="s">
        <v>498</v>
      </c>
      <c r="F197" s="2" t="s">
        <v>507</v>
      </c>
      <c r="G197" s="2" t="s">
        <v>360</v>
      </c>
      <c r="H197" s="2" t="s">
        <v>35</v>
      </c>
      <c r="I197" s="2" t="s">
        <v>48</v>
      </c>
      <c r="J197" s="2" t="s">
        <v>86</v>
      </c>
      <c r="K197" s="2" t="s">
        <v>372</v>
      </c>
      <c r="L197" s="2" t="s">
        <v>389</v>
      </c>
      <c r="M197" s="2" t="s">
        <v>388</v>
      </c>
      <c r="N197" s="2" t="s">
        <v>275</v>
      </c>
      <c r="O197" s="2" t="s">
        <v>405</v>
      </c>
      <c r="P197" s="2" t="s">
        <v>404</v>
      </c>
      <c r="Q197" s="2" t="s">
        <v>419</v>
      </c>
      <c r="R197" s="1" t="s">
        <v>373</v>
      </c>
      <c r="S197" s="2" t="s">
        <v>276</v>
      </c>
      <c r="T197" s="2" t="s">
        <v>270</v>
      </c>
      <c r="U197" s="2" t="s">
        <v>277</v>
      </c>
      <c r="V197" s="2" t="s">
        <v>278</v>
      </c>
      <c r="W197" s="2" t="s">
        <v>56</v>
      </c>
      <c r="X197" s="2" t="s">
        <v>287</v>
      </c>
      <c r="Y197" s="2" t="s">
        <v>56</v>
      </c>
      <c r="Z197" s="2" t="s">
        <v>41</v>
      </c>
      <c r="AA197" s="2" t="s">
        <v>42</v>
      </c>
      <c r="AB197" s="2" t="s">
        <v>41</v>
      </c>
      <c r="AC197" s="2" t="s">
        <v>56</v>
      </c>
      <c r="AD197" s="2" t="s">
        <v>41</v>
      </c>
      <c r="AE197" s="2" t="s">
        <v>56</v>
      </c>
      <c r="AF197" s="2" t="s">
        <v>56</v>
      </c>
      <c r="AG197" s="2" t="s">
        <v>56</v>
      </c>
      <c r="AH197" s="2" t="s">
        <v>42</v>
      </c>
      <c r="AI197" s="7">
        <v>52.8</v>
      </c>
      <c r="AJ197" s="7">
        <v>72.38</v>
      </c>
      <c r="AK197" s="7"/>
      <c r="AL197" s="7"/>
      <c r="AM197" s="2" t="s">
        <v>299</v>
      </c>
      <c r="AN197" s="2"/>
      <c r="AO197" s="2"/>
      <c r="AP197" s="2" t="s">
        <v>316</v>
      </c>
      <c r="AQ197" s="2" t="s">
        <v>317</v>
      </c>
      <c r="AR197" s="2" t="s">
        <v>46</v>
      </c>
      <c r="AS197" s="8">
        <v>19.32</v>
      </c>
      <c r="AT197" s="32">
        <v>51</v>
      </c>
      <c r="AU197" s="9">
        <v>51</v>
      </c>
      <c r="AV197" s="8">
        <v>3.53</v>
      </c>
      <c r="AW197" s="15">
        <f>AT197-AZ197</f>
        <v>0</v>
      </c>
      <c r="AX197" s="4">
        <f>AW197/AT197*100</f>
        <v>0</v>
      </c>
      <c r="AY197" s="8">
        <v>7.21</v>
      </c>
      <c r="AZ197" s="9">
        <v>51</v>
      </c>
      <c r="BA197" s="8">
        <v>2.88</v>
      </c>
      <c r="BB197" s="8"/>
      <c r="BC197" s="8"/>
      <c r="BD197" s="8"/>
      <c r="BE197" s="2" t="s">
        <v>94</v>
      </c>
      <c r="BF197" s="2">
        <v>365</v>
      </c>
      <c r="BG197" s="2">
        <v>365</v>
      </c>
      <c r="BH197">
        <f>BF197-BG197</f>
        <v>0</v>
      </c>
      <c r="BI197" s="6"/>
    </row>
    <row r="198" spans="1:61" x14ac:dyDescent="0.2">
      <c r="A198" t="s">
        <v>338</v>
      </c>
      <c r="B198" s="1" t="s">
        <v>146</v>
      </c>
      <c r="C198" s="1">
        <v>2010</v>
      </c>
      <c r="D198" s="1" t="s">
        <v>149</v>
      </c>
      <c r="E198" s="1" t="s">
        <v>350</v>
      </c>
      <c r="F198" s="2" t="s">
        <v>507</v>
      </c>
      <c r="G198" s="1" t="s">
        <v>355</v>
      </c>
      <c r="H198" s="1" t="s">
        <v>35</v>
      </c>
      <c r="I198" s="1" t="s">
        <v>48</v>
      </c>
      <c r="J198" s="1" t="s">
        <v>121</v>
      </c>
      <c r="K198" s="2" t="s">
        <v>372</v>
      </c>
      <c r="L198" s="2" t="s">
        <v>398</v>
      </c>
      <c r="M198" s="2" t="s">
        <v>390</v>
      </c>
      <c r="N198" s="1" t="s">
        <v>147</v>
      </c>
      <c r="O198" s="1" t="s">
        <v>409</v>
      </c>
      <c r="P198" s="2" t="s">
        <v>379</v>
      </c>
      <c r="Q198" s="2" t="s">
        <v>462</v>
      </c>
      <c r="R198" s="1" t="s">
        <v>373</v>
      </c>
      <c r="S198" s="1" t="s">
        <v>54</v>
      </c>
      <c r="T198" s="1" t="s">
        <v>38</v>
      </c>
      <c r="U198" s="1" t="s">
        <v>115</v>
      </c>
      <c r="V198" s="1" t="s">
        <v>40</v>
      </c>
      <c r="W198" s="1" t="s">
        <v>42</v>
      </c>
      <c r="X198" s="1" t="s">
        <v>41</v>
      </c>
      <c r="Y198" s="1" t="s">
        <v>41</v>
      </c>
      <c r="Z198" s="1" t="s">
        <v>41</v>
      </c>
      <c r="AA198" s="1" t="s">
        <v>42</v>
      </c>
      <c r="AB198" s="1" t="s">
        <v>41</v>
      </c>
      <c r="AC198" s="1" t="s">
        <v>42</v>
      </c>
      <c r="AD198" s="1" t="s">
        <v>41</v>
      </c>
      <c r="AE198" s="1" t="s">
        <v>41</v>
      </c>
      <c r="AF198" s="1" t="s">
        <v>41</v>
      </c>
      <c r="AG198" s="1" t="s">
        <v>42</v>
      </c>
      <c r="AH198" s="1" t="s">
        <v>41</v>
      </c>
      <c r="AI198" s="12">
        <v>44</v>
      </c>
      <c r="AJ198" s="3">
        <v>72</v>
      </c>
      <c r="AK198" s="3">
        <v>42.88</v>
      </c>
      <c r="AL198" s="3">
        <v>84</v>
      </c>
      <c r="AM198" s="1" t="s">
        <v>150</v>
      </c>
      <c r="AN198" s="1" t="s">
        <v>151</v>
      </c>
      <c r="AO198" s="1" t="s">
        <v>152</v>
      </c>
      <c r="AP198" s="1" t="s">
        <v>44</v>
      </c>
      <c r="AQ198" s="1" t="s">
        <v>45</v>
      </c>
      <c r="AR198" s="1" t="s">
        <v>46</v>
      </c>
      <c r="AS198" s="4">
        <v>42</v>
      </c>
      <c r="AT198" s="35">
        <v>30</v>
      </c>
      <c r="AU198" s="5">
        <v>25</v>
      </c>
      <c r="AV198" s="4">
        <v>65.17</v>
      </c>
      <c r="AW198" s="15">
        <f>AT198-AZ198</f>
        <v>5</v>
      </c>
      <c r="AX198" s="4">
        <f>AW198/AT198*100</f>
        <v>16.666666666666664</v>
      </c>
      <c r="AY198" s="4">
        <v>44.35</v>
      </c>
      <c r="AZ198" s="5">
        <v>25</v>
      </c>
      <c r="BA198" s="4">
        <v>65.150000000000006</v>
      </c>
      <c r="BB198" s="4"/>
      <c r="BC198" s="4"/>
      <c r="BD198" s="4"/>
      <c r="BE198" s="1" t="s">
        <v>260</v>
      </c>
      <c r="BF198" s="1">
        <v>35</v>
      </c>
      <c r="BG198" s="1">
        <v>35</v>
      </c>
      <c r="BH198">
        <f>BF198-BG198</f>
        <v>0</v>
      </c>
      <c r="BI198" s="6"/>
    </row>
    <row r="199" spans="1:61" x14ac:dyDescent="0.2">
      <c r="A199" t="s">
        <v>338</v>
      </c>
      <c r="B199" s="1" t="s">
        <v>146</v>
      </c>
      <c r="C199" s="1">
        <v>2010</v>
      </c>
      <c r="D199" s="1" t="s">
        <v>149</v>
      </c>
      <c r="E199" s="1" t="s">
        <v>350</v>
      </c>
      <c r="F199" s="2" t="s">
        <v>507</v>
      </c>
      <c r="G199" s="1" t="s">
        <v>355</v>
      </c>
      <c r="H199" s="1" t="s">
        <v>35</v>
      </c>
      <c r="I199" s="1" t="s">
        <v>48</v>
      </c>
      <c r="J199" s="1" t="s">
        <v>121</v>
      </c>
      <c r="K199" s="2" t="s">
        <v>372</v>
      </c>
      <c r="L199" s="2" t="s">
        <v>398</v>
      </c>
      <c r="M199" s="2" t="s">
        <v>390</v>
      </c>
      <c r="N199" s="1" t="s">
        <v>147</v>
      </c>
      <c r="O199" s="1" t="s">
        <v>409</v>
      </c>
      <c r="P199" s="2" t="s">
        <v>379</v>
      </c>
      <c r="Q199" s="2" t="s">
        <v>462</v>
      </c>
      <c r="R199" s="1" t="s">
        <v>373</v>
      </c>
      <c r="S199" s="1" t="s">
        <v>54</v>
      </c>
      <c r="T199" s="1" t="s">
        <v>38</v>
      </c>
      <c r="U199" s="1" t="s">
        <v>115</v>
      </c>
      <c r="V199" s="1" t="s">
        <v>40</v>
      </c>
      <c r="W199" s="1" t="s">
        <v>42</v>
      </c>
      <c r="X199" s="1" t="s">
        <v>41</v>
      </c>
      <c r="Y199" s="1" t="s">
        <v>41</v>
      </c>
      <c r="Z199" s="1" t="s">
        <v>41</v>
      </c>
      <c r="AA199" s="1" t="s">
        <v>42</v>
      </c>
      <c r="AB199" s="1" t="s">
        <v>41</v>
      </c>
      <c r="AC199" s="1" t="s">
        <v>42</v>
      </c>
      <c r="AD199" s="1" t="s">
        <v>41</v>
      </c>
      <c r="AE199" s="1" t="s">
        <v>41</v>
      </c>
      <c r="AF199" s="1" t="s">
        <v>41</v>
      </c>
      <c r="AG199" s="1" t="s">
        <v>42</v>
      </c>
      <c r="AH199" s="1" t="s">
        <v>41</v>
      </c>
      <c r="AI199" s="12">
        <v>44</v>
      </c>
      <c r="AJ199" s="3">
        <v>72</v>
      </c>
      <c r="AK199" s="3">
        <v>42.88</v>
      </c>
      <c r="AL199" s="3">
        <v>84</v>
      </c>
      <c r="AM199" s="1" t="s">
        <v>150</v>
      </c>
      <c r="AN199" s="1" t="s">
        <v>151</v>
      </c>
      <c r="AO199" s="1" t="s">
        <v>152</v>
      </c>
      <c r="AP199" s="1" t="s">
        <v>44</v>
      </c>
      <c r="AQ199" s="1" t="s">
        <v>45</v>
      </c>
      <c r="AR199" s="1" t="s">
        <v>46</v>
      </c>
      <c r="AS199" s="4">
        <v>42</v>
      </c>
      <c r="AT199" s="35">
        <v>30</v>
      </c>
      <c r="AU199" s="5">
        <v>25</v>
      </c>
      <c r="AV199" s="4">
        <v>65.17</v>
      </c>
      <c r="AW199" s="15">
        <f>AT199-AZ199</f>
        <v>5</v>
      </c>
      <c r="AX199" s="4">
        <f>AW199/AT199*100</f>
        <v>16.666666666666664</v>
      </c>
      <c r="AY199" s="4">
        <v>56.33</v>
      </c>
      <c r="AZ199" s="5">
        <v>25</v>
      </c>
      <c r="BA199" s="4">
        <v>54.14</v>
      </c>
      <c r="BB199" s="4"/>
      <c r="BC199" s="4"/>
      <c r="BD199" s="4"/>
      <c r="BE199" s="1" t="s">
        <v>153</v>
      </c>
      <c r="BF199" s="1">
        <v>65</v>
      </c>
      <c r="BG199" s="1">
        <v>35</v>
      </c>
      <c r="BH199">
        <f>BF199-BG199</f>
        <v>30</v>
      </c>
      <c r="BI199" s="6"/>
    </row>
    <row r="200" spans="1:61" x14ac:dyDescent="0.2">
      <c r="A200" t="s">
        <v>338</v>
      </c>
      <c r="B200" s="1" t="s">
        <v>169</v>
      </c>
      <c r="C200" s="1">
        <v>2016</v>
      </c>
      <c r="D200" s="1" t="s">
        <v>170</v>
      </c>
      <c r="E200" s="1" t="s">
        <v>350</v>
      </c>
      <c r="F200" s="2" t="s">
        <v>507</v>
      </c>
      <c r="G200" s="1" t="s">
        <v>355</v>
      </c>
      <c r="H200" s="1" t="s">
        <v>35</v>
      </c>
      <c r="I200" s="1" t="s">
        <v>48</v>
      </c>
      <c r="J200" s="1" t="s">
        <v>113</v>
      </c>
      <c r="K200" s="2" t="s">
        <v>372</v>
      </c>
      <c r="L200" s="2" t="s">
        <v>400</v>
      </c>
      <c r="M200" s="2" t="s">
        <v>390</v>
      </c>
      <c r="N200" s="1" t="s">
        <v>171</v>
      </c>
      <c r="O200" s="1" t="s">
        <v>474</v>
      </c>
      <c r="P200" s="1" t="s">
        <v>383</v>
      </c>
      <c r="Q200" s="1" t="s">
        <v>475</v>
      </c>
      <c r="R200" s="1" t="s">
        <v>373</v>
      </c>
      <c r="S200" s="1" t="s">
        <v>37</v>
      </c>
      <c r="T200" s="1" t="s">
        <v>38</v>
      </c>
      <c r="U200" s="1" t="s">
        <v>172</v>
      </c>
      <c r="V200" s="1" t="s">
        <v>40</v>
      </c>
      <c r="W200" s="1" t="s">
        <v>42</v>
      </c>
      <c r="X200" s="1" t="s">
        <v>42</v>
      </c>
      <c r="Y200" s="1" t="s">
        <v>42</v>
      </c>
      <c r="Z200" s="1" t="s">
        <v>41</v>
      </c>
      <c r="AA200" s="1" t="s">
        <v>42</v>
      </c>
      <c r="AB200" s="1" t="s">
        <v>41</v>
      </c>
      <c r="AC200" s="1" t="s">
        <v>42</v>
      </c>
      <c r="AD200" s="1" t="s">
        <v>42</v>
      </c>
      <c r="AE200" s="1" t="s">
        <v>42</v>
      </c>
      <c r="AF200" s="1" t="s">
        <v>41</v>
      </c>
      <c r="AG200" s="1" t="s">
        <v>42</v>
      </c>
      <c r="AH200" s="1" t="s">
        <v>41</v>
      </c>
      <c r="AI200" s="3">
        <v>63</v>
      </c>
      <c r="AJ200" s="3">
        <v>78.599999999999994</v>
      </c>
      <c r="AK200" s="3">
        <v>61.2</v>
      </c>
      <c r="AL200" s="3">
        <v>74</v>
      </c>
      <c r="AM200" s="1" t="s">
        <v>173</v>
      </c>
      <c r="AN200" s="1" t="s">
        <v>174</v>
      </c>
      <c r="AO200" s="1" t="s">
        <v>101</v>
      </c>
      <c r="AP200" s="1" t="s">
        <v>44</v>
      </c>
      <c r="AQ200" s="1" t="s">
        <v>175</v>
      </c>
      <c r="AR200" s="1" t="s">
        <v>46</v>
      </c>
      <c r="AS200" s="4">
        <v>38.020000000000003</v>
      </c>
      <c r="AT200" s="31">
        <v>35</v>
      </c>
      <c r="AU200" s="5">
        <v>35</v>
      </c>
      <c r="AV200" s="4">
        <v>21.49</v>
      </c>
      <c r="AW200" s="15">
        <f>AT200-AZ200</f>
        <v>0</v>
      </c>
      <c r="AX200" s="4">
        <f>AW200/AT200*100</f>
        <v>0</v>
      </c>
      <c r="AY200" s="4">
        <v>34.71</v>
      </c>
      <c r="AZ200" s="5">
        <v>35</v>
      </c>
      <c r="BA200" s="4">
        <v>18.82</v>
      </c>
      <c r="BB200" s="4"/>
      <c r="BC200" s="4"/>
      <c r="BD200" s="4"/>
      <c r="BE200" s="1" t="s">
        <v>61</v>
      </c>
      <c r="BF200" s="1">
        <v>180</v>
      </c>
      <c r="BG200" s="1">
        <v>90</v>
      </c>
      <c r="BH200">
        <f>BF200-BG200</f>
        <v>90</v>
      </c>
      <c r="BI200" s="6"/>
    </row>
    <row r="201" spans="1:61" x14ac:dyDescent="0.2">
      <c r="A201" t="s">
        <v>338</v>
      </c>
      <c r="B201" s="1" t="s">
        <v>169</v>
      </c>
      <c r="C201" s="1">
        <v>2016</v>
      </c>
      <c r="D201" s="1" t="s">
        <v>170</v>
      </c>
      <c r="E201" s="1" t="s">
        <v>350</v>
      </c>
      <c r="F201" s="2" t="s">
        <v>507</v>
      </c>
      <c r="G201" s="1" t="s">
        <v>355</v>
      </c>
      <c r="H201" s="1" t="s">
        <v>35</v>
      </c>
      <c r="I201" s="1" t="s">
        <v>48</v>
      </c>
      <c r="J201" s="1" t="s">
        <v>113</v>
      </c>
      <c r="K201" s="2" t="s">
        <v>372</v>
      </c>
      <c r="L201" s="2" t="s">
        <v>400</v>
      </c>
      <c r="M201" s="2" t="s">
        <v>390</v>
      </c>
      <c r="N201" s="1" t="s">
        <v>171</v>
      </c>
      <c r="O201" s="1" t="s">
        <v>474</v>
      </c>
      <c r="P201" s="1" t="s">
        <v>383</v>
      </c>
      <c r="Q201" s="1" t="s">
        <v>475</v>
      </c>
      <c r="R201" s="1" t="s">
        <v>373</v>
      </c>
      <c r="S201" s="1" t="s">
        <v>37</v>
      </c>
      <c r="T201" s="1" t="s">
        <v>38</v>
      </c>
      <c r="U201" s="1" t="s">
        <v>172</v>
      </c>
      <c r="V201" s="1" t="s">
        <v>40</v>
      </c>
      <c r="W201" s="1" t="s">
        <v>42</v>
      </c>
      <c r="X201" s="1" t="s">
        <v>42</v>
      </c>
      <c r="Y201" s="1" t="s">
        <v>42</v>
      </c>
      <c r="Z201" s="1" t="s">
        <v>41</v>
      </c>
      <c r="AA201" s="1" t="s">
        <v>42</v>
      </c>
      <c r="AB201" s="1" t="s">
        <v>41</v>
      </c>
      <c r="AC201" s="1" t="s">
        <v>42</v>
      </c>
      <c r="AD201" s="1" t="s">
        <v>42</v>
      </c>
      <c r="AE201" s="1" t="s">
        <v>42</v>
      </c>
      <c r="AF201" s="1" t="s">
        <v>41</v>
      </c>
      <c r="AG201" s="1" t="s">
        <v>42</v>
      </c>
      <c r="AH201" s="1" t="s">
        <v>41</v>
      </c>
      <c r="AI201" s="3">
        <v>63</v>
      </c>
      <c r="AJ201" s="3">
        <v>78.599999999999994</v>
      </c>
      <c r="AK201" s="3">
        <v>61.2</v>
      </c>
      <c r="AL201" s="3">
        <v>74</v>
      </c>
      <c r="AM201" s="1" t="s">
        <v>173</v>
      </c>
      <c r="AN201" s="1" t="s">
        <v>174</v>
      </c>
      <c r="AO201" s="1" t="s">
        <v>101</v>
      </c>
      <c r="AP201" s="1" t="s">
        <v>44</v>
      </c>
      <c r="AQ201" s="1" t="s">
        <v>175</v>
      </c>
      <c r="AR201" s="1" t="s">
        <v>46</v>
      </c>
      <c r="AS201" s="4">
        <v>38.020000000000003</v>
      </c>
      <c r="AT201" s="31">
        <v>35</v>
      </c>
      <c r="AU201" s="5">
        <v>35</v>
      </c>
      <c r="AV201" s="4">
        <v>21.49</v>
      </c>
      <c r="AW201" s="15">
        <f>AT201-AZ201</f>
        <v>0</v>
      </c>
      <c r="AX201" s="4">
        <f>AW201/AT201*100</f>
        <v>0</v>
      </c>
      <c r="AY201" s="4">
        <v>33.33</v>
      </c>
      <c r="AZ201" s="5">
        <v>35</v>
      </c>
      <c r="BA201" s="4">
        <v>18.37</v>
      </c>
      <c r="BB201" s="4"/>
      <c r="BC201" s="4"/>
      <c r="BD201" s="4"/>
      <c r="BE201" s="1" t="s">
        <v>106</v>
      </c>
      <c r="BF201" s="1">
        <v>90</v>
      </c>
      <c r="BG201" s="1">
        <v>90</v>
      </c>
      <c r="BH201">
        <f>BF201-BG201</f>
        <v>0</v>
      </c>
      <c r="BI201" s="6"/>
    </row>
    <row r="202" spans="1:61" x14ac:dyDescent="0.2">
      <c r="A202" t="s">
        <v>338</v>
      </c>
      <c r="B202" s="1" t="s">
        <v>169</v>
      </c>
      <c r="C202" s="1">
        <v>2016</v>
      </c>
      <c r="D202" s="1" t="s">
        <v>170</v>
      </c>
      <c r="E202" s="1" t="s">
        <v>350</v>
      </c>
      <c r="F202" s="2" t="s">
        <v>507</v>
      </c>
      <c r="G202" s="1" t="s">
        <v>355</v>
      </c>
      <c r="H202" s="1" t="s">
        <v>35</v>
      </c>
      <c r="I202" s="1" t="s">
        <v>48</v>
      </c>
      <c r="J202" s="1" t="s">
        <v>113</v>
      </c>
      <c r="K202" s="2" t="s">
        <v>372</v>
      </c>
      <c r="L202" s="2" t="s">
        <v>400</v>
      </c>
      <c r="M202" s="2" t="s">
        <v>390</v>
      </c>
      <c r="N202" s="1" t="s">
        <v>171</v>
      </c>
      <c r="O202" s="1" t="s">
        <v>474</v>
      </c>
      <c r="P202" s="1" t="s">
        <v>383</v>
      </c>
      <c r="Q202" s="1" t="s">
        <v>475</v>
      </c>
      <c r="R202" s="1" t="s">
        <v>373</v>
      </c>
      <c r="S202" s="1" t="s">
        <v>37</v>
      </c>
      <c r="T202" s="1" t="s">
        <v>38</v>
      </c>
      <c r="U202" s="1" t="s">
        <v>172</v>
      </c>
      <c r="V202" s="1" t="s">
        <v>40</v>
      </c>
      <c r="W202" s="1" t="s">
        <v>42</v>
      </c>
      <c r="X202" s="1" t="s">
        <v>42</v>
      </c>
      <c r="Y202" s="1" t="s">
        <v>42</v>
      </c>
      <c r="Z202" s="1" t="s">
        <v>41</v>
      </c>
      <c r="AA202" s="1" t="s">
        <v>42</v>
      </c>
      <c r="AB202" s="1" t="s">
        <v>41</v>
      </c>
      <c r="AC202" s="1" t="s">
        <v>42</v>
      </c>
      <c r="AD202" s="1" t="s">
        <v>42</v>
      </c>
      <c r="AE202" s="1" t="s">
        <v>42</v>
      </c>
      <c r="AF202" s="1" t="s">
        <v>41</v>
      </c>
      <c r="AG202" s="1" t="s">
        <v>42</v>
      </c>
      <c r="AH202" s="1" t="s">
        <v>41</v>
      </c>
      <c r="AI202" s="3">
        <v>63</v>
      </c>
      <c r="AJ202" s="3">
        <v>78.599999999999994</v>
      </c>
      <c r="AK202" s="3">
        <v>61.2</v>
      </c>
      <c r="AL202" s="3">
        <v>74</v>
      </c>
      <c r="AM202" s="1" t="s">
        <v>173</v>
      </c>
      <c r="AN202" s="1" t="s">
        <v>174</v>
      </c>
      <c r="AO202" s="1" t="s">
        <v>101</v>
      </c>
      <c r="AP202" s="1" t="s">
        <v>179</v>
      </c>
      <c r="AQ202" s="1" t="s">
        <v>78</v>
      </c>
      <c r="AR202" s="1" t="s">
        <v>46</v>
      </c>
      <c r="AS202" s="4">
        <v>86</v>
      </c>
      <c r="AT202" s="31">
        <v>35</v>
      </c>
      <c r="AU202" s="5">
        <v>35</v>
      </c>
      <c r="AV202" s="4">
        <v>9.15</v>
      </c>
      <c r="AW202" s="15">
        <f>AT202-AZ202</f>
        <v>0</v>
      </c>
      <c r="AX202" s="4">
        <f>AW202/AT202*100</f>
        <v>0</v>
      </c>
      <c r="AY202" s="4">
        <v>88.51</v>
      </c>
      <c r="AZ202" s="5">
        <v>35</v>
      </c>
      <c r="BA202" s="4">
        <v>8.2799999999999905</v>
      </c>
      <c r="BB202" s="4"/>
      <c r="BC202" s="4"/>
      <c r="BD202" s="4"/>
      <c r="BE202" s="1" t="s">
        <v>61</v>
      </c>
      <c r="BF202" s="1">
        <v>180</v>
      </c>
      <c r="BG202" s="1">
        <v>90</v>
      </c>
      <c r="BH202">
        <f>BF202-BG202</f>
        <v>90</v>
      </c>
      <c r="BI202" s="6"/>
    </row>
    <row r="203" spans="1:61" x14ac:dyDescent="0.2">
      <c r="A203" t="s">
        <v>338</v>
      </c>
      <c r="B203" s="1" t="s">
        <v>169</v>
      </c>
      <c r="C203" s="1">
        <v>2016</v>
      </c>
      <c r="D203" s="1" t="s">
        <v>170</v>
      </c>
      <c r="E203" s="1" t="s">
        <v>350</v>
      </c>
      <c r="F203" s="2" t="s">
        <v>507</v>
      </c>
      <c r="G203" s="1" t="s">
        <v>355</v>
      </c>
      <c r="H203" s="1" t="s">
        <v>35</v>
      </c>
      <c r="I203" s="1" t="s">
        <v>48</v>
      </c>
      <c r="J203" s="1" t="s">
        <v>113</v>
      </c>
      <c r="K203" s="2" t="s">
        <v>372</v>
      </c>
      <c r="L203" s="2" t="s">
        <v>400</v>
      </c>
      <c r="M203" s="2" t="s">
        <v>390</v>
      </c>
      <c r="N203" s="1" t="s">
        <v>171</v>
      </c>
      <c r="O203" s="1" t="s">
        <v>474</v>
      </c>
      <c r="P203" s="1" t="s">
        <v>383</v>
      </c>
      <c r="Q203" s="1" t="s">
        <v>475</v>
      </c>
      <c r="R203" s="1" t="s">
        <v>373</v>
      </c>
      <c r="S203" s="1" t="s">
        <v>37</v>
      </c>
      <c r="T203" s="1" t="s">
        <v>38</v>
      </c>
      <c r="U203" s="1" t="s">
        <v>172</v>
      </c>
      <c r="V203" s="1" t="s">
        <v>40</v>
      </c>
      <c r="W203" s="1" t="s">
        <v>42</v>
      </c>
      <c r="X203" s="1" t="s">
        <v>42</v>
      </c>
      <c r="Y203" s="1" t="s">
        <v>42</v>
      </c>
      <c r="Z203" s="1" t="s">
        <v>41</v>
      </c>
      <c r="AA203" s="1" t="s">
        <v>42</v>
      </c>
      <c r="AB203" s="1" t="s">
        <v>41</v>
      </c>
      <c r="AC203" s="1" t="s">
        <v>42</v>
      </c>
      <c r="AD203" s="1" t="s">
        <v>42</v>
      </c>
      <c r="AE203" s="1" t="s">
        <v>42</v>
      </c>
      <c r="AF203" s="1" t="s">
        <v>41</v>
      </c>
      <c r="AG203" s="1" t="s">
        <v>42</v>
      </c>
      <c r="AH203" s="1" t="s">
        <v>41</v>
      </c>
      <c r="AI203" s="3">
        <v>63</v>
      </c>
      <c r="AJ203" s="3">
        <v>78.599999999999994</v>
      </c>
      <c r="AK203" s="3">
        <v>61.2</v>
      </c>
      <c r="AL203" s="3">
        <v>74</v>
      </c>
      <c r="AM203" s="1" t="s">
        <v>173</v>
      </c>
      <c r="AN203" s="1" t="s">
        <v>174</v>
      </c>
      <c r="AO203" s="1" t="s">
        <v>101</v>
      </c>
      <c r="AP203" s="1" t="s">
        <v>179</v>
      </c>
      <c r="AQ203" s="1" t="s">
        <v>78</v>
      </c>
      <c r="AR203" s="1" t="s">
        <v>46</v>
      </c>
      <c r="AS203" s="4">
        <v>86</v>
      </c>
      <c r="AT203" s="31">
        <v>35</v>
      </c>
      <c r="AU203" s="5">
        <v>35</v>
      </c>
      <c r="AV203" s="4">
        <v>9.15</v>
      </c>
      <c r="AW203" s="15">
        <f>AT203-AZ203</f>
        <v>0</v>
      </c>
      <c r="AX203" s="4">
        <f>AW203/AT203*100</f>
        <v>0</v>
      </c>
      <c r="AY203" s="4">
        <v>89.91</v>
      </c>
      <c r="AZ203" s="5">
        <v>35</v>
      </c>
      <c r="BA203" s="4">
        <v>8.75</v>
      </c>
      <c r="BB203" s="4"/>
      <c r="BC203" s="4"/>
      <c r="BD203" s="4"/>
      <c r="BE203" s="1" t="s">
        <v>106</v>
      </c>
      <c r="BF203" s="1">
        <v>90</v>
      </c>
      <c r="BG203" s="1">
        <v>90</v>
      </c>
      <c r="BH203">
        <f>BF203-BG203</f>
        <v>0</v>
      </c>
      <c r="BI203" s="6"/>
    </row>
    <row r="204" spans="1:61" x14ac:dyDescent="0.2">
      <c r="A204" t="s">
        <v>338</v>
      </c>
      <c r="B204" s="1" t="s">
        <v>169</v>
      </c>
      <c r="C204" s="1">
        <v>2016</v>
      </c>
      <c r="D204" s="1" t="s">
        <v>170</v>
      </c>
      <c r="E204" s="1" t="s">
        <v>350</v>
      </c>
      <c r="F204" s="2" t="s">
        <v>507</v>
      </c>
      <c r="G204" s="1" t="s">
        <v>355</v>
      </c>
      <c r="H204" s="1" t="s">
        <v>35</v>
      </c>
      <c r="I204" s="1" t="s">
        <v>48</v>
      </c>
      <c r="J204" s="1" t="s">
        <v>113</v>
      </c>
      <c r="K204" s="2" t="s">
        <v>372</v>
      </c>
      <c r="L204" s="2" t="s">
        <v>400</v>
      </c>
      <c r="M204" s="2" t="s">
        <v>390</v>
      </c>
      <c r="N204" s="1" t="s">
        <v>171</v>
      </c>
      <c r="O204" s="1" t="s">
        <v>474</v>
      </c>
      <c r="P204" s="1" t="s">
        <v>383</v>
      </c>
      <c r="Q204" s="1" t="s">
        <v>475</v>
      </c>
      <c r="R204" s="1" t="s">
        <v>373</v>
      </c>
      <c r="S204" s="1" t="s">
        <v>37</v>
      </c>
      <c r="T204" s="1" t="s">
        <v>38</v>
      </c>
      <c r="U204" s="1" t="s">
        <v>172</v>
      </c>
      <c r="V204" s="1" t="s">
        <v>40</v>
      </c>
      <c r="W204" s="1" t="s">
        <v>42</v>
      </c>
      <c r="X204" s="1" t="s">
        <v>42</v>
      </c>
      <c r="Y204" s="1" t="s">
        <v>42</v>
      </c>
      <c r="Z204" s="1" t="s">
        <v>41</v>
      </c>
      <c r="AA204" s="1" t="s">
        <v>42</v>
      </c>
      <c r="AB204" s="1" t="s">
        <v>41</v>
      </c>
      <c r="AC204" s="1" t="s">
        <v>42</v>
      </c>
      <c r="AD204" s="1" t="s">
        <v>42</v>
      </c>
      <c r="AE204" s="1" t="s">
        <v>42</v>
      </c>
      <c r="AF204" s="1" t="s">
        <v>41</v>
      </c>
      <c r="AG204" s="1" t="s">
        <v>42</v>
      </c>
      <c r="AH204" s="1" t="s">
        <v>41</v>
      </c>
      <c r="AI204" s="3">
        <v>63</v>
      </c>
      <c r="AJ204" s="3">
        <v>78.599999999999994</v>
      </c>
      <c r="AK204" s="3">
        <v>61.2</v>
      </c>
      <c r="AL204" s="3">
        <v>74</v>
      </c>
      <c r="AM204" s="1" t="s">
        <v>173</v>
      </c>
      <c r="AN204" s="1" t="s">
        <v>174</v>
      </c>
      <c r="AO204" s="1" t="s">
        <v>101</v>
      </c>
      <c r="AP204" s="1" t="s">
        <v>134</v>
      </c>
      <c r="AQ204" s="1" t="s">
        <v>321</v>
      </c>
      <c r="AR204" s="1" t="s">
        <v>46</v>
      </c>
      <c r="AS204" s="4">
        <v>9.74</v>
      </c>
      <c r="AT204" s="31">
        <v>35</v>
      </c>
      <c r="AU204" s="5">
        <v>35</v>
      </c>
      <c r="AV204" s="4">
        <v>4.43</v>
      </c>
      <c r="AW204" s="15">
        <f>AT204-AZ204</f>
        <v>0</v>
      </c>
      <c r="AX204" s="4">
        <f>AW204/AT204*100</f>
        <v>0</v>
      </c>
      <c r="AY204" s="4">
        <v>7.97</v>
      </c>
      <c r="AZ204" s="5">
        <v>35</v>
      </c>
      <c r="BA204" s="4">
        <v>3.42</v>
      </c>
      <c r="BB204" s="4"/>
      <c r="BC204" s="4"/>
      <c r="BD204" s="4"/>
      <c r="BE204" s="1" t="s">
        <v>61</v>
      </c>
      <c r="BF204" s="1">
        <v>180</v>
      </c>
      <c r="BG204" s="1">
        <v>90</v>
      </c>
      <c r="BH204">
        <f>BF204-BG204</f>
        <v>90</v>
      </c>
      <c r="BI204" s="6"/>
    </row>
    <row r="205" spans="1:61" x14ac:dyDescent="0.2">
      <c r="A205" t="s">
        <v>338</v>
      </c>
      <c r="B205" s="1" t="s">
        <v>169</v>
      </c>
      <c r="C205" s="1">
        <v>2016</v>
      </c>
      <c r="D205" s="1" t="s">
        <v>170</v>
      </c>
      <c r="E205" s="1" t="s">
        <v>350</v>
      </c>
      <c r="F205" s="2" t="s">
        <v>507</v>
      </c>
      <c r="G205" s="1" t="s">
        <v>355</v>
      </c>
      <c r="H205" s="1" t="s">
        <v>35</v>
      </c>
      <c r="I205" s="1" t="s">
        <v>48</v>
      </c>
      <c r="J205" s="1" t="s">
        <v>113</v>
      </c>
      <c r="K205" s="2" t="s">
        <v>372</v>
      </c>
      <c r="L205" s="2" t="s">
        <v>400</v>
      </c>
      <c r="M205" s="2" t="s">
        <v>390</v>
      </c>
      <c r="N205" s="1" t="s">
        <v>171</v>
      </c>
      <c r="O205" s="1" t="s">
        <v>474</v>
      </c>
      <c r="P205" s="1" t="s">
        <v>383</v>
      </c>
      <c r="Q205" s="1" t="s">
        <v>475</v>
      </c>
      <c r="R205" s="1" t="s">
        <v>373</v>
      </c>
      <c r="S205" s="1" t="s">
        <v>37</v>
      </c>
      <c r="T205" s="1" t="s">
        <v>38</v>
      </c>
      <c r="U205" s="1" t="s">
        <v>172</v>
      </c>
      <c r="V205" s="1" t="s">
        <v>40</v>
      </c>
      <c r="W205" s="1" t="s">
        <v>42</v>
      </c>
      <c r="X205" s="1" t="s">
        <v>42</v>
      </c>
      <c r="Y205" s="1" t="s">
        <v>42</v>
      </c>
      <c r="Z205" s="1" t="s">
        <v>41</v>
      </c>
      <c r="AA205" s="1" t="s">
        <v>42</v>
      </c>
      <c r="AB205" s="1" t="s">
        <v>41</v>
      </c>
      <c r="AC205" s="1" t="s">
        <v>42</v>
      </c>
      <c r="AD205" s="1" t="s">
        <v>42</v>
      </c>
      <c r="AE205" s="1" t="s">
        <v>42</v>
      </c>
      <c r="AF205" s="1" t="s">
        <v>41</v>
      </c>
      <c r="AG205" s="1" t="s">
        <v>42</v>
      </c>
      <c r="AH205" s="1" t="s">
        <v>41</v>
      </c>
      <c r="AI205" s="3">
        <v>63</v>
      </c>
      <c r="AJ205" s="3">
        <v>78.599999999999994</v>
      </c>
      <c r="AK205" s="3">
        <v>61.2</v>
      </c>
      <c r="AL205" s="3">
        <v>74</v>
      </c>
      <c r="AM205" s="1" t="s">
        <v>173</v>
      </c>
      <c r="AN205" s="1" t="s">
        <v>174</v>
      </c>
      <c r="AO205" s="1" t="s">
        <v>101</v>
      </c>
      <c r="AP205" s="1" t="s">
        <v>82</v>
      </c>
      <c r="AQ205" s="1" t="s">
        <v>476</v>
      </c>
      <c r="AR205" s="1" t="s">
        <v>46</v>
      </c>
      <c r="AS205" s="4">
        <v>31.6</v>
      </c>
      <c r="AT205" s="31">
        <v>35</v>
      </c>
      <c r="AU205" s="5">
        <v>35</v>
      </c>
      <c r="AV205" s="4">
        <v>4.45</v>
      </c>
      <c r="AW205" s="15">
        <f>AT205-AZ205</f>
        <v>0</v>
      </c>
      <c r="AX205" s="4">
        <f>AW205/AT205*100</f>
        <v>0</v>
      </c>
      <c r="AY205" s="4">
        <v>33.6</v>
      </c>
      <c r="AZ205" s="5">
        <v>35</v>
      </c>
      <c r="BA205" s="4">
        <v>4.72</v>
      </c>
      <c r="BB205" s="4"/>
      <c r="BC205" s="4"/>
      <c r="BD205" s="4"/>
      <c r="BE205" s="1" t="s">
        <v>106</v>
      </c>
      <c r="BF205" s="1">
        <v>90</v>
      </c>
      <c r="BG205" s="1">
        <v>90</v>
      </c>
      <c r="BH205">
        <f>BF205-BG205</f>
        <v>0</v>
      </c>
      <c r="BI205" s="6"/>
    </row>
    <row r="206" spans="1:61" x14ac:dyDescent="0.2">
      <c r="A206" t="s">
        <v>338</v>
      </c>
      <c r="B206" s="1" t="s">
        <v>169</v>
      </c>
      <c r="C206" s="1">
        <v>2016</v>
      </c>
      <c r="D206" s="1" t="s">
        <v>170</v>
      </c>
      <c r="E206" s="1" t="s">
        <v>350</v>
      </c>
      <c r="F206" s="2" t="s">
        <v>507</v>
      </c>
      <c r="G206" s="1" t="s">
        <v>355</v>
      </c>
      <c r="H206" s="1" t="s">
        <v>35</v>
      </c>
      <c r="I206" s="1" t="s">
        <v>48</v>
      </c>
      <c r="J206" s="1" t="s">
        <v>113</v>
      </c>
      <c r="K206" s="2" t="s">
        <v>372</v>
      </c>
      <c r="L206" s="2" t="s">
        <v>400</v>
      </c>
      <c r="M206" s="2" t="s">
        <v>390</v>
      </c>
      <c r="N206" s="1" t="s">
        <v>171</v>
      </c>
      <c r="O206" s="1" t="s">
        <v>474</v>
      </c>
      <c r="P206" s="1" t="s">
        <v>383</v>
      </c>
      <c r="Q206" s="1" t="s">
        <v>475</v>
      </c>
      <c r="R206" s="1" t="s">
        <v>373</v>
      </c>
      <c r="S206" s="1" t="s">
        <v>37</v>
      </c>
      <c r="T206" s="1" t="s">
        <v>38</v>
      </c>
      <c r="U206" s="1" t="s">
        <v>172</v>
      </c>
      <c r="V206" s="1" t="s">
        <v>40</v>
      </c>
      <c r="W206" s="1" t="s">
        <v>42</v>
      </c>
      <c r="X206" s="1" t="s">
        <v>42</v>
      </c>
      <c r="Y206" s="1" t="s">
        <v>42</v>
      </c>
      <c r="Z206" s="1" t="s">
        <v>41</v>
      </c>
      <c r="AA206" s="1" t="s">
        <v>42</v>
      </c>
      <c r="AB206" s="1" t="s">
        <v>41</v>
      </c>
      <c r="AC206" s="1" t="s">
        <v>42</v>
      </c>
      <c r="AD206" s="1" t="s">
        <v>42</v>
      </c>
      <c r="AE206" s="1" t="s">
        <v>42</v>
      </c>
      <c r="AF206" s="1" t="s">
        <v>41</v>
      </c>
      <c r="AG206" s="1" t="s">
        <v>42</v>
      </c>
      <c r="AH206" s="1" t="s">
        <v>41</v>
      </c>
      <c r="AI206" s="3">
        <v>63</v>
      </c>
      <c r="AJ206" s="3">
        <v>78.599999999999994</v>
      </c>
      <c r="AK206" s="3">
        <v>61.2</v>
      </c>
      <c r="AL206" s="3">
        <v>74</v>
      </c>
      <c r="AM206" s="1" t="s">
        <v>173</v>
      </c>
      <c r="AN206" s="1" t="s">
        <v>174</v>
      </c>
      <c r="AO206" s="1" t="s">
        <v>101</v>
      </c>
      <c r="AP206" s="1" t="s">
        <v>134</v>
      </c>
      <c r="AQ206" s="1" t="s">
        <v>321</v>
      </c>
      <c r="AR206" s="1" t="s">
        <v>46</v>
      </c>
      <c r="AS206" s="4">
        <v>9.74</v>
      </c>
      <c r="AT206" s="31">
        <v>35</v>
      </c>
      <c r="AU206" s="5">
        <v>35</v>
      </c>
      <c r="AV206" s="4">
        <v>4.43</v>
      </c>
      <c r="AW206" s="15">
        <f>AT206-AZ206</f>
        <v>0</v>
      </c>
      <c r="AX206" s="4">
        <f>AW206/AT206*100</f>
        <v>0</v>
      </c>
      <c r="AY206" s="4">
        <v>7.46</v>
      </c>
      <c r="AZ206" s="5">
        <v>35</v>
      </c>
      <c r="BA206" s="4">
        <v>3.42</v>
      </c>
      <c r="BB206" s="4"/>
      <c r="BC206" s="4"/>
      <c r="BD206" s="4"/>
      <c r="BE206" s="1" t="s">
        <v>106</v>
      </c>
      <c r="BF206" s="1">
        <v>90</v>
      </c>
      <c r="BG206" s="1">
        <v>90</v>
      </c>
      <c r="BH206">
        <f>BF206-BG206</f>
        <v>0</v>
      </c>
      <c r="BI206" s="6"/>
    </row>
    <row r="207" spans="1:61" x14ac:dyDescent="0.2">
      <c r="A207" t="s">
        <v>338</v>
      </c>
      <c r="B207" s="1" t="s">
        <v>169</v>
      </c>
      <c r="C207" s="1">
        <v>2016</v>
      </c>
      <c r="D207" s="1" t="s">
        <v>170</v>
      </c>
      <c r="E207" s="1" t="s">
        <v>350</v>
      </c>
      <c r="F207" s="2" t="s">
        <v>507</v>
      </c>
      <c r="G207" s="1" t="s">
        <v>355</v>
      </c>
      <c r="H207" s="1" t="s">
        <v>35</v>
      </c>
      <c r="I207" s="1" t="s">
        <v>48</v>
      </c>
      <c r="J207" s="1" t="s">
        <v>113</v>
      </c>
      <c r="K207" s="2" t="s">
        <v>372</v>
      </c>
      <c r="L207" s="2" t="s">
        <v>400</v>
      </c>
      <c r="M207" s="2" t="s">
        <v>390</v>
      </c>
      <c r="N207" s="1" t="s">
        <v>171</v>
      </c>
      <c r="O207" s="1" t="s">
        <v>474</v>
      </c>
      <c r="P207" s="1" t="s">
        <v>383</v>
      </c>
      <c r="Q207" s="1" t="s">
        <v>475</v>
      </c>
      <c r="R207" s="1" t="s">
        <v>373</v>
      </c>
      <c r="S207" s="1" t="s">
        <v>37</v>
      </c>
      <c r="T207" s="1" t="s">
        <v>38</v>
      </c>
      <c r="U207" s="1" t="s">
        <v>172</v>
      </c>
      <c r="V207" s="1" t="s">
        <v>40</v>
      </c>
      <c r="W207" s="1" t="s">
        <v>42</v>
      </c>
      <c r="X207" s="1" t="s">
        <v>42</v>
      </c>
      <c r="Y207" s="1" t="s">
        <v>42</v>
      </c>
      <c r="Z207" s="1" t="s">
        <v>41</v>
      </c>
      <c r="AA207" s="1" t="s">
        <v>42</v>
      </c>
      <c r="AB207" s="1" t="s">
        <v>41</v>
      </c>
      <c r="AC207" s="1" t="s">
        <v>42</v>
      </c>
      <c r="AD207" s="1" t="s">
        <v>42</v>
      </c>
      <c r="AE207" s="1" t="s">
        <v>42</v>
      </c>
      <c r="AF207" s="1" t="s">
        <v>41</v>
      </c>
      <c r="AG207" s="1" t="s">
        <v>42</v>
      </c>
      <c r="AH207" s="1" t="s">
        <v>41</v>
      </c>
      <c r="AI207" s="3">
        <v>63</v>
      </c>
      <c r="AJ207" s="3">
        <v>78.599999999999994</v>
      </c>
      <c r="AK207" s="3">
        <v>61.2</v>
      </c>
      <c r="AL207" s="3">
        <v>74</v>
      </c>
      <c r="AM207" s="1" t="s">
        <v>173</v>
      </c>
      <c r="AN207" s="1" t="s">
        <v>174</v>
      </c>
      <c r="AO207" s="1" t="s">
        <v>101</v>
      </c>
      <c r="AP207" s="1" t="s">
        <v>82</v>
      </c>
      <c r="AQ207" s="1" t="s">
        <v>476</v>
      </c>
      <c r="AR207" s="1" t="s">
        <v>46</v>
      </c>
      <c r="AS207" s="4">
        <v>31.6</v>
      </c>
      <c r="AT207" s="31">
        <v>35</v>
      </c>
      <c r="AU207" s="5">
        <v>35</v>
      </c>
      <c r="AV207" s="4">
        <v>4.45</v>
      </c>
      <c r="AW207" s="15">
        <f>AT207-AZ207</f>
        <v>0</v>
      </c>
      <c r="AX207" s="4">
        <f>AW207/AT207*100</f>
        <v>0</v>
      </c>
      <c r="AY207" s="4">
        <v>33.479999999999997</v>
      </c>
      <c r="AZ207" s="5">
        <v>35</v>
      </c>
      <c r="BA207" s="4">
        <v>4.6900000000000004</v>
      </c>
      <c r="BB207" s="4"/>
      <c r="BC207" s="4"/>
      <c r="BD207" s="4"/>
      <c r="BE207" s="1" t="s">
        <v>61</v>
      </c>
      <c r="BF207" s="1">
        <v>180</v>
      </c>
      <c r="BG207" s="1">
        <v>90</v>
      </c>
      <c r="BH207">
        <f>BF207-BG207</f>
        <v>90</v>
      </c>
      <c r="BI207" s="6"/>
    </row>
    <row r="208" spans="1:61" x14ac:dyDescent="0.2">
      <c r="A208" t="s">
        <v>337</v>
      </c>
      <c r="B208" s="2" t="s">
        <v>295</v>
      </c>
      <c r="C208" s="2">
        <v>2020</v>
      </c>
      <c r="D208" s="2" t="s">
        <v>68</v>
      </c>
      <c r="E208" s="2" t="s">
        <v>350</v>
      </c>
      <c r="F208" s="2" t="s">
        <v>507</v>
      </c>
      <c r="G208" s="2" t="s">
        <v>355</v>
      </c>
      <c r="H208" s="2" t="s">
        <v>35</v>
      </c>
      <c r="I208" s="2" t="s">
        <v>48</v>
      </c>
      <c r="J208" s="2" t="s">
        <v>121</v>
      </c>
      <c r="K208" s="2" t="s">
        <v>372</v>
      </c>
      <c r="L208" s="2" t="s">
        <v>403</v>
      </c>
      <c r="M208" s="2" t="s">
        <v>390</v>
      </c>
      <c r="N208" s="2" t="s">
        <v>296</v>
      </c>
      <c r="O208" s="1" t="s">
        <v>504</v>
      </c>
      <c r="P208" s="2" t="s">
        <v>381</v>
      </c>
      <c r="Q208" s="2" t="s">
        <v>503</v>
      </c>
      <c r="R208" s="2" t="s">
        <v>373</v>
      </c>
      <c r="S208" s="1" t="s">
        <v>54</v>
      </c>
      <c r="T208" s="1" t="s">
        <v>38</v>
      </c>
      <c r="U208" s="1" t="s">
        <v>115</v>
      </c>
      <c r="V208" s="2" t="s">
        <v>40</v>
      </c>
      <c r="W208" s="2" t="s">
        <v>56</v>
      </c>
      <c r="X208" s="2" t="s">
        <v>56</v>
      </c>
      <c r="Y208" s="2" t="s">
        <v>56</v>
      </c>
      <c r="Z208" s="2" t="s">
        <v>41</v>
      </c>
      <c r="AA208" s="2" t="s">
        <v>56</v>
      </c>
      <c r="AB208" s="2" t="s">
        <v>41</v>
      </c>
      <c r="AC208" s="2" t="s">
        <v>56</v>
      </c>
      <c r="AD208" s="2" t="s">
        <v>287</v>
      </c>
      <c r="AE208" s="2" t="s">
        <v>56</v>
      </c>
      <c r="AF208" s="2" t="s">
        <v>56</v>
      </c>
      <c r="AG208" s="2" t="s">
        <v>56</v>
      </c>
      <c r="AH208" s="2" t="s">
        <v>56</v>
      </c>
      <c r="AI208" s="7"/>
      <c r="AJ208" s="7">
        <v>73.599999999999994</v>
      </c>
      <c r="AK208" s="7">
        <v>46.8</v>
      </c>
      <c r="AL208" s="7">
        <v>68.599999999999994</v>
      </c>
      <c r="AM208" s="2" t="s">
        <v>308</v>
      </c>
      <c r="AN208" s="2"/>
      <c r="AO208" s="2"/>
      <c r="AP208" s="1" t="s">
        <v>324</v>
      </c>
      <c r="AQ208" s="1" t="s">
        <v>326</v>
      </c>
      <c r="AR208" s="1" t="s">
        <v>46</v>
      </c>
      <c r="AS208" s="4">
        <v>74.11</v>
      </c>
      <c r="AT208" s="31">
        <v>35</v>
      </c>
      <c r="AU208" s="5">
        <v>35</v>
      </c>
      <c r="AV208" s="4">
        <v>4.7300000000000004</v>
      </c>
      <c r="AW208" s="15">
        <f>AT208-AZ208</f>
        <v>0</v>
      </c>
      <c r="AX208" s="4">
        <f>AW208/AT208*100</f>
        <v>0</v>
      </c>
      <c r="AY208" s="4">
        <v>70.510000000000005</v>
      </c>
      <c r="AZ208" s="5">
        <v>35</v>
      </c>
      <c r="BA208" s="4">
        <v>3.78</v>
      </c>
      <c r="BB208" s="8"/>
      <c r="BC208" s="8"/>
      <c r="BD208" s="8"/>
      <c r="BE208" s="2" t="s">
        <v>327</v>
      </c>
      <c r="BF208" s="2">
        <v>58</v>
      </c>
      <c r="BG208" s="2">
        <v>28</v>
      </c>
      <c r="BH208">
        <f>BF208-BG208</f>
        <v>30</v>
      </c>
      <c r="BI208" s="6"/>
    </row>
    <row r="209" spans="1:61" x14ac:dyDescent="0.2">
      <c r="A209" t="s">
        <v>337</v>
      </c>
      <c r="B209" s="2" t="s">
        <v>295</v>
      </c>
      <c r="C209" s="2">
        <v>2020</v>
      </c>
      <c r="D209" s="2" t="s">
        <v>68</v>
      </c>
      <c r="E209" s="2" t="s">
        <v>350</v>
      </c>
      <c r="F209" s="2" t="s">
        <v>507</v>
      </c>
      <c r="G209" s="14" t="s">
        <v>355</v>
      </c>
      <c r="H209" s="2" t="s">
        <v>35</v>
      </c>
      <c r="I209" s="2" t="s">
        <v>48</v>
      </c>
      <c r="J209" s="2" t="s">
        <v>121</v>
      </c>
      <c r="K209" s="2" t="s">
        <v>372</v>
      </c>
      <c r="L209" s="2" t="s">
        <v>403</v>
      </c>
      <c r="M209" s="2" t="s">
        <v>390</v>
      </c>
      <c r="N209" s="2" t="s">
        <v>296</v>
      </c>
      <c r="O209" s="1" t="s">
        <v>504</v>
      </c>
      <c r="P209" s="2" t="s">
        <v>381</v>
      </c>
      <c r="Q209" s="2" t="s">
        <v>503</v>
      </c>
      <c r="R209" s="2" t="s">
        <v>373</v>
      </c>
      <c r="S209" s="1" t="s">
        <v>54</v>
      </c>
      <c r="T209" s="1" t="s">
        <v>38</v>
      </c>
      <c r="U209" s="1" t="s">
        <v>115</v>
      </c>
      <c r="V209" s="2" t="s">
        <v>40</v>
      </c>
      <c r="W209" s="2" t="s">
        <v>56</v>
      </c>
      <c r="X209" s="2" t="s">
        <v>56</v>
      </c>
      <c r="Y209" s="2" t="s">
        <v>56</v>
      </c>
      <c r="Z209" s="2" t="s">
        <v>41</v>
      </c>
      <c r="AA209" s="2" t="s">
        <v>56</v>
      </c>
      <c r="AB209" s="2" t="s">
        <v>41</v>
      </c>
      <c r="AC209" s="2" t="s">
        <v>56</v>
      </c>
      <c r="AD209" s="2" t="s">
        <v>287</v>
      </c>
      <c r="AE209" s="2" t="s">
        <v>56</v>
      </c>
      <c r="AF209" s="2" t="s">
        <v>56</v>
      </c>
      <c r="AG209" s="2" t="s">
        <v>56</v>
      </c>
      <c r="AH209" s="2" t="s">
        <v>56</v>
      </c>
      <c r="AI209" s="7"/>
      <c r="AJ209" s="7">
        <v>73.599999999999994</v>
      </c>
      <c r="AK209" s="7">
        <v>46.8</v>
      </c>
      <c r="AL209" s="7">
        <v>68.599999999999994</v>
      </c>
      <c r="AM209" s="2" t="s">
        <v>308</v>
      </c>
      <c r="AN209" s="2"/>
      <c r="AO209" s="2"/>
      <c r="AP209" s="1" t="s">
        <v>324</v>
      </c>
      <c r="AQ209" s="1" t="s">
        <v>326</v>
      </c>
      <c r="AR209" s="1" t="s">
        <v>46</v>
      </c>
      <c r="AS209" s="4">
        <v>74.11</v>
      </c>
      <c r="AT209" s="31">
        <v>35</v>
      </c>
      <c r="AU209" s="5">
        <v>35</v>
      </c>
      <c r="AV209" s="4">
        <v>4.7300000000000004</v>
      </c>
      <c r="AW209" s="15">
        <f>AT209-AZ209</f>
        <v>0</v>
      </c>
      <c r="AX209" s="4">
        <f>AW209/AT209*100</f>
        <v>0</v>
      </c>
      <c r="AY209" s="4">
        <v>70.31</v>
      </c>
      <c r="AZ209" s="5">
        <v>35</v>
      </c>
      <c r="BA209" s="4">
        <v>3.78</v>
      </c>
      <c r="BB209" s="8"/>
      <c r="BC209" s="8"/>
      <c r="BD209" s="8"/>
      <c r="BE209" s="2" t="s">
        <v>328</v>
      </c>
      <c r="BF209" s="2">
        <v>118</v>
      </c>
      <c r="BG209" s="2">
        <v>28</v>
      </c>
      <c r="BH209">
        <f>BF209-BG209</f>
        <v>90</v>
      </c>
      <c r="BI209" s="6"/>
    </row>
    <row r="210" spans="1:61" x14ac:dyDescent="0.2">
      <c r="A210" t="s">
        <v>338</v>
      </c>
      <c r="B210" s="1" t="s">
        <v>111</v>
      </c>
      <c r="C210" s="1">
        <v>2017</v>
      </c>
      <c r="D210" s="1" t="s">
        <v>112</v>
      </c>
      <c r="E210" s="1" t="s">
        <v>350</v>
      </c>
      <c r="F210" s="2" t="s">
        <v>507</v>
      </c>
      <c r="G210" s="1" t="s">
        <v>355</v>
      </c>
      <c r="H210" s="1" t="s">
        <v>35</v>
      </c>
      <c r="I210" s="1" t="s">
        <v>48</v>
      </c>
      <c r="J210" s="1" t="s">
        <v>113</v>
      </c>
      <c r="K210" s="2" t="s">
        <v>372</v>
      </c>
      <c r="L210" s="1"/>
      <c r="M210" s="1"/>
      <c r="N210" s="1" t="s">
        <v>114</v>
      </c>
      <c r="O210" s="1" t="s">
        <v>450</v>
      </c>
      <c r="P210" s="2" t="s">
        <v>379</v>
      </c>
      <c r="Q210" s="2" t="s">
        <v>443</v>
      </c>
      <c r="R210" s="1" t="s">
        <v>374</v>
      </c>
      <c r="S210" s="1" t="s">
        <v>54</v>
      </c>
      <c r="T210" s="1" t="s">
        <v>38</v>
      </c>
      <c r="U210" s="1" t="s">
        <v>115</v>
      </c>
      <c r="V210" s="1" t="s">
        <v>40</v>
      </c>
      <c r="W210" s="1" t="s">
        <v>42</v>
      </c>
      <c r="X210" s="1" t="s">
        <v>41</v>
      </c>
      <c r="Y210" s="1" t="s">
        <v>41</v>
      </c>
      <c r="Z210" s="1" t="s">
        <v>41</v>
      </c>
      <c r="AA210" s="1" t="s">
        <v>42</v>
      </c>
      <c r="AB210" s="1" t="s">
        <v>41</v>
      </c>
      <c r="AC210" s="1" t="s">
        <v>42</v>
      </c>
      <c r="AD210" s="1" t="s">
        <v>41</v>
      </c>
      <c r="AE210" s="1" t="s">
        <v>41</v>
      </c>
      <c r="AF210" s="1" t="s">
        <v>41</v>
      </c>
      <c r="AG210" s="1" t="s">
        <v>42</v>
      </c>
      <c r="AH210" s="1" t="s">
        <v>41</v>
      </c>
      <c r="AI210" s="3">
        <v>45</v>
      </c>
      <c r="AJ210" s="3">
        <v>70.650000000000006</v>
      </c>
      <c r="AK210" s="3">
        <v>52.97</v>
      </c>
      <c r="AL210" s="3">
        <v>70</v>
      </c>
      <c r="AM210" s="1" t="s">
        <v>116</v>
      </c>
      <c r="AN210" s="1" t="s">
        <v>117</v>
      </c>
      <c r="AO210" s="1" t="s">
        <v>43</v>
      </c>
      <c r="AP210" s="1" t="s">
        <v>44</v>
      </c>
      <c r="AQ210" s="1" t="s">
        <v>45</v>
      </c>
      <c r="AR210" s="1" t="s">
        <v>46</v>
      </c>
      <c r="AS210" s="4">
        <v>78.3</v>
      </c>
      <c r="AT210" s="31">
        <v>20</v>
      </c>
      <c r="AU210" s="5">
        <v>20</v>
      </c>
      <c r="AV210" s="4">
        <v>4.46</v>
      </c>
      <c r="AW210" s="15">
        <f>AT210-AZ210</f>
        <v>0</v>
      </c>
      <c r="AX210" s="4">
        <f>AW210/AT210*100</f>
        <v>0</v>
      </c>
      <c r="AY210" s="4">
        <v>67.099999999999895</v>
      </c>
      <c r="AZ210" s="5">
        <v>20</v>
      </c>
      <c r="BA210" s="4">
        <v>7.18</v>
      </c>
      <c r="BB210" s="4"/>
      <c r="BC210" s="4"/>
      <c r="BD210" s="4"/>
      <c r="BE210" s="1" t="s">
        <v>118</v>
      </c>
      <c r="BF210" s="1">
        <v>49</v>
      </c>
      <c r="BG210" s="1">
        <v>49</v>
      </c>
      <c r="BH210">
        <f>BF210-BG210</f>
        <v>0</v>
      </c>
      <c r="BI210" s="6"/>
    </row>
    <row r="211" spans="1:61" x14ac:dyDescent="0.2">
      <c r="A211" t="s">
        <v>338</v>
      </c>
      <c r="B211" s="1" t="s">
        <v>111</v>
      </c>
      <c r="C211" s="1">
        <v>2017</v>
      </c>
      <c r="D211" s="1" t="s">
        <v>112</v>
      </c>
      <c r="E211" s="1" t="s">
        <v>350</v>
      </c>
      <c r="F211" s="2" t="s">
        <v>507</v>
      </c>
      <c r="G211" s="1" t="s">
        <v>355</v>
      </c>
      <c r="H211" s="1" t="s">
        <v>35</v>
      </c>
      <c r="I211" s="1" t="s">
        <v>48</v>
      </c>
      <c r="J211" s="1" t="s">
        <v>113</v>
      </c>
      <c r="K211" s="2" t="s">
        <v>372</v>
      </c>
      <c r="L211" s="1"/>
      <c r="M211" s="1"/>
      <c r="N211" s="1" t="s">
        <v>114</v>
      </c>
      <c r="O211" s="1" t="s">
        <v>450</v>
      </c>
      <c r="P211" s="2" t="s">
        <v>379</v>
      </c>
      <c r="Q211" s="2" t="s">
        <v>443</v>
      </c>
      <c r="R211" s="1" t="s">
        <v>374</v>
      </c>
      <c r="S211" s="1" t="s">
        <v>54</v>
      </c>
      <c r="T211" s="1" t="s">
        <v>38</v>
      </c>
      <c r="U211" s="1" t="s">
        <v>115</v>
      </c>
      <c r="V211" s="1" t="s">
        <v>40</v>
      </c>
      <c r="W211" s="1" t="s">
        <v>42</v>
      </c>
      <c r="X211" s="1" t="s">
        <v>41</v>
      </c>
      <c r="Y211" s="1" t="s">
        <v>41</v>
      </c>
      <c r="Z211" s="1" t="s">
        <v>41</v>
      </c>
      <c r="AA211" s="1" t="s">
        <v>42</v>
      </c>
      <c r="AB211" s="1" t="s">
        <v>41</v>
      </c>
      <c r="AC211" s="1" t="s">
        <v>42</v>
      </c>
      <c r="AD211" s="1" t="s">
        <v>41</v>
      </c>
      <c r="AE211" s="1" t="s">
        <v>41</v>
      </c>
      <c r="AF211" s="1" t="s">
        <v>41</v>
      </c>
      <c r="AG211" s="1" t="s">
        <v>42</v>
      </c>
      <c r="AH211" s="1" t="s">
        <v>41</v>
      </c>
      <c r="AI211" s="3">
        <v>45</v>
      </c>
      <c r="AJ211" s="3">
        <v>70.650000000000006</v>
      </c>
      <c r="AK211" s="3">
        <v>52.97</v>
      </c>
      <c r="AL211" s="3">
        <v>70</v>
      </c>
      <c r="AM211" s="1" t="s">
        <v>116</v>
      </c>
      <c r="AN211" s="1" t="s">
        <v>117</v>
      </c>
      <c r="AO211" s="1" t="s">
        <v>43</v>
      </c>
      <c r="AP211" s="1" t="s">
        <v>444</v>
      </c>
      <c r="AQ211" s="1" t="s">
        <v>442</v>
      </c>
      <c r="AR211" s="1" t="s">
        <v>46</v>
      </c>
      <c r="AS211" s="4">
        <v>18.75</v>
      </c>
      <c r="AT211" s="31">
        <v>20</v>
      </c>
      <c r="AU211" s="5">
        <v>20</v>
      </c>
      <c r="AV211" s="4">
        <v>3.71</v>
      </c>
      <c r="AW211" s="15">
        <f>AT211-AZ211</f>
        <v>0</v>
      </c>
      <c r="AX211" s="4">
        <f>AW211/AT211*100</f>
        <v>0</v>
      </c>
      <c r="AY211" s="4">
        <v>23.2</v>
      </c>
      <c r="AZ211" s="5">
        <v>20</v>
      </c>
      <c r="BA211" s="4">
        <v>2.0099999999999998</v>
      </c>
      <c r="BB211" s="4"/>
      <c r="BC211" s="4"/>
      <c r="BD211" s="4"/>
      <c r="BE211" s="1" t="s">
        <v>118</v>
      </c>
      <c r="BF211" s="1">
        <v>49</v>
      </c>
      <c r="BG211" s="1">
        <v>49</v>
      </c>
      <c r="BH211">
        <f>BF211-BG211</f>
        <v>0</v>
      </c>
      <c r="BI211" s="6"/>
    </row>
    <row r="212" spans="1:61" x14ac:dyDescent="0.2">
      <c r="A212" t="s">
        <v>338</v>
      </c>
      <c r="B212" s="1" t="s">
        <v>111</v>
      </c>
      <c r="C212" s="1">
        <v>2017</v>
      </c>
      <c r="D212" s="1" t="s">
        <v>112</v>
      </c>
      <c r="E212" s="1" t="s">
        <v>350</v>
      </c>
      <c r="F212" s="2" t="s">
        <v>507</v>
      </c>
      <c r="G212" s="1" t="s">
        <v>355</v>
      </c>
      <c r="H212" s="1" t="s">
        <v>35</v>
      </c>
      <c r="I212" s="1" t="s">
        <v>48</v>
      </c>
      <c r="J212" s="1" t="s">
        <v>113</v>
      </c>
      <c r="K212" s="2" t="s">
        <v>372</v>
      </c>
      <c r="L212" s="1"/>
      <c r="M212" s="1"/>
      <c r="N212" s="1" t="s">
        <v>114</v>
      </c>
      <c r="O212" s="1" t="s">
        <v>450</v>
      </c>
      <c r="P212" s="2" t="s">
        <v>379</v>
      </c>
      <c r="Q212" s="2" t="s">
        <v>443</v>
      </c>
      <c r="R212" s="1" t="s">
        <v>374</v>
      </c>
      <c r="S212" s="1" t="s">
        <v>54</v>
      </c>
      <c r="T212" s="1" t="s">
        <v>38</v>
      </c>
      <c r="U212" s="1" t="s">
        <v>115</v>
      </c>
      <c r="V212" s="1" t="s">
        <v>40</v>
      </c>
      <c r="W212" s="1" t="s">
        <v>42</v>
      </c>
      <c r="X212" s="1" t="s">
        <v>41</v>
      </c>
      <c r="Y212" s="1" t="s">
        <v>41</v>
      </c>
      <c r="Z212" s="1" t="s">
        <v>41</v>
      </c>
      <c r="AA212" s="1" t="s">
        <v>42</v>
      </c>
      <c r="AB212" s="1" t="s">
        <v>41</v>
      </c>
      <c r="AC212" s="1" t="s">
        <v>42</v>
      </c>
      <c r="AD212" s="1" t="s">
        <v>41</v>
      </c>
      <c r="AE212" s="1" t="s">
        <v>41</v>
      </c>
      <c r="AF212" s="1" t="s">
        <v>41</v>
      </c>
      <c r="AG212" s="1" t="s">
        <v>42</v>
      </c>
      <c r="AH212" s="1" t="s">
        <v>41</v>
      </c>
      <c r="AI212" s="3">
        <v>45</v>
      </c>
      <c r="AJ212" s="3">
        <v>70.650000000000006</v>
      </c>
      <c r="AK212" s="3">
        <v>52.97</v>
      </c>
      <c r="AL212" s="3">
        <v>70</v>
      </c>
      <c r="AM212" s="1" t="s">
        <v>116</v>
      </c>
      <c r="AN212" s="1" t="s">
        <v>117</v>
      </c>
      <c r="AO212" s="1" t="s">
        <v>43</v>
      </c>
      <c r="AP212" s="1" t="s">
        <v>445</v>
      </c>
      <c r="AQ212" s="1" t="s">
        <v>442</v>
      </c>
      <c r="AR212" s="1" t="s">
        <v>46</v>
      </c>
      <c r="AS212" s="4">
        <v>16.350000000000001</v>
      </c>
      <c r="AT212" s="31">
        <v>20</v>
      </c>
      <c r="AU212" s="5">
        <v>20</v>
      </c>
      <c r="AV212" s="4">
        <v>3.06</v>
      </c>
      <c r="AW212" s="15">
        <f>AT212-AZ212</f>
        <v>0</v>
      </c>
      <c r="AX212" s="4">
        <f>AW212/AT212*100</f>
        <v>0</v>
      </c>
      <c r="AY212" s="4">
        <v>24.2</v>
      </c>
      <c r="AZ212" s="5">
        <v>20</v>
      </c>
      <c r="BA212" s="4">
        <v>1.47</v>
      </c>
      <c r="BB212" s="4"/>
      <c r="BC212" s="4"/>
      <c r="BD212" s="4"/>
      <c r="BE212" s="1" t="s">
        <v>118</v>
      </c>
      <c r="BF212" s="1">
        <v>49</v>
      </c>
      <c r="BG212" s="1">
        <v>49</v>
      </c>
      <c r="BH212">
        <f>BF212-BG212</f>
        <v>0</v>
      </c>
      <c r="BI212" s="6"/>
    </row>
    <row r="213" spans="1:61" x14ac:dyDescent="0.2">
      <c r="A213" t="s">
        <v>338</v>
      </c>
      <c r="B213" s="1" t="s">
        <v>111</v>
      </c>
      <c r="C213" s="1">
        <v>2017</v>
      </c>
      <c r="D213" s="1" t="s">
        <v>112</v>
      </c>
      <c r="E213" s="1" t="s">
        <v>350</v>
      </c>
      <c r="F213" s="2" t="s">
        <v>507</v>
      </c>
      <c r="G213" s="1" t="s">
        <v>355</v>
      </c>
      <c r="H213" s="1" t="s">
        <v>35</v>
      </c>
      <c r="I213" s="1" t="s">
        <v>48</v>
      </c>
      <c r="J213" s="1" t="s">
        <v>113</v>
      </c>
      <c r="K213" s="2" t="s">
        <v>372</v>
      </c>
      <c r="L213" s="1"/>
      <c r="M213" s="1"/>
      <c r="N213" s="1" t="s">
        <v>114</v>
      </c>
      <c r="O213" s="1" t="s">
        <v>450</v>
      </c>
      <c r="P213" s="2" t="s">
        <v>379</v>
      </c>
      <c r="Q213" s="2" t="s">
        <v>443</v>
      </c>
      <c r="R213" s="1" t="s">
        <v>374</v>
      </c>
      <c r="S213" s="1" t="s">
        <v>54</v>
      </c>
      <c r="T213" s="1" t="s">
        <v>38</v>
      </c>
      <c r="U213" s="1" t="s">
        <v>115</v>
      </c>
      <c r="V213" s="1" t="s">
        <v>40</v>
      </c>
      <c r="W213" s="1" t="s">
        <v>42</v>
      </c>
      <c r="X213" s="1" t="s">
        <v>41</v>
      </c>
      <c r="Y213" s="1" t="s">
        <v>41</v>
      </c>
      <c r="Z213" s="1" t="s">
        <v>41</v>
      </c>
      <c r="AA213" s="1" t="s">
        <v>42</v>
      </c>
      <c r="AB213" s="1" t="s">
        <v>41</v>
      </c>
      <c r="AC213" s="1" t="s">
        <v>42</v>
      </c>
      <c r="AD213" s="1" t="s">
        <v>41</v>
      </c>
      <c r="AE213" s="1" t="s">
        <v>41</v>
      </c>
      <c r="AF213" s="1" t="s">
        <v>41</v>
      </c>
      <c r="AG213" s="1" t="s">
        <v>42</v>
      </c>
      <c r="AH213" s="1" t="s">
        <v>41</v>
      </c>
      <c r="AI213" s="3">
        <v>45</v>
      </c>
      <c r="AJ213" s="3">
        <v>70.650000000000006</v>
      </c>
      <c r="AK213" s="3">
        <v>52.97</v>
      </c>
      <c r="AL213" s="3">
        <v>70</v>
      </c>
      <c r="AM213" s="1" t="s">
        <v>116</v>
      </c>
      <c r="AN213" s="1" t="s">
        <v>117</v>
      </c>
      <c r="AO213" s="1" t="s">
        <v>43</v>
      </c>
      <c r="AP213" s="1" t="s">
        <v>446</v>
      </c>
      <c r="AQ213" s="1" t="s">
        <v>442</v>
      </c>
      <c r="AR213" s="1" t="s">
        <v>46</v>
      </c>
      <c r="AS213" s="4">
        <v>18.100000000000001</v>
      </c>
      <c r="AT213" s="31">
        <v>20</v>
      </c>
      <c r="AU213" s="5">
        <v>20</v>
      </c>
      <c r="AV213" s="4">
        <v>3.09</v>
      </c>
      <c r="AW213" s="15">
        <f>AT213-AZ213</f>
        <v>0</v>
      </c>
      <c r="AX213" s="4">
        <f>AW213/AT213*100</f>
        <v>0</v>
      </c>
      <c r="AY213" s="4">
        <v>24.75</v>
      </c>
      <c r="AZ213" s="5">
        <v>20</v>
      </c>
      <c r="BA213" s="4">
        <v>1.25</v>
      </c>
      <c r="BB213" s="4"/>
      <c r="BC213" s="4"/>
      <c r="BD213" s="4"/>
      <c r="BE213" s="1" t="s">
        <v>118</v>
      </c>
      <c r="BF213" s="1">
        <v>49</v>
      </c>
      <c r="BG213" s="1">
        <v>49</v>
      </c>
      <c r="BH213">
        <f>BF213-BG213</f>
        <v>0</v>
      </c>
      <c r="BI213" s="6"/>
    </row>
    <row r="214" spans="1:61" x14ac:dyDescent="0.2">
      <c r="A214" t="s">
        <v>338</v>
      </c>
      <c r="B214" s="1" t="s">
        <v>111</v>
      </c>
      <c r="C214" s="1">
        <v>2017</v>
      </c>
      <c r="D214" s="1" t="s">
        <v>112</v>
      </c>
      <c r="E214" s="1" t="s">
        <v>350</v>
      </c>
      <c r="F214" s="2" t="s">
        <v>507</v>
      </c>
      <c r="G214" s="1" t="s">
        <v>355</v>
      </c>
      <c r="H214" s="1" t="s">
        <v>35</v>
      </c>
      <c r="I214" s="1" t="s">
        <v>48</v>
      </c>
      <c r="J214" s="1" t="s">
        <v>113</v>
      </c>
      <c r="K214" s="2" t="s">
        <v>372</v>
      </c>
      <c r="L214" s="1"/>
      <c r="M214" s="1"/>
      <c r="N214" s="1" t="s">
        <v>114</v>
      </c>
      <c r="O214" s="1" t="s">
        <v>450</v>
      </c>
      <c r="P214" s="2" t="s">
        <v>379</v>
      </c>
      <c r="Q214" s="2" t="s">
        <v>443</v>
      </c>
      <c r="R214" s="1" t="s">
        <v>374</v>
      </c>
      <c r="S214" s="1" t="s">
        <v>54</v>
      </c>
      <c r="T214" s="1" t="s">
        <v>38</v>
      </c>
      <c r="U214" s="1" t="s">
        <v>115</v>
      </c>
      <c r="V214" s="1" t="s">
        <v>40</v>
      </c>
      <c r="W214" s="1" t="s">
        <v>42</v>
      </c>
      <c r="X214" s="1" t="s">
        <v>41</v>
      </c>
      <c r="Y214" s="1" t="s">
        <v>41</v>
      </c>
      <c r="Z214" s="1" t="s">
        <v>41</v>
      </c>
      <c r="AA214" s="1" t="s">
        <v>42</v>
      </c>
      <c r="AB214" s="1" t="s">
        <v>41</v>
      </c>
      <c r="AC214" s="1" t="s">
        <v>42</v>
      </c>
      <c r="AD214" s="1" t="s">
        <v>41</v>
      </c>
      <c r="AE214" s="1" t="s">
        <v>41</v>
      </c>
      <c r="AF214" s="1" t="s">
        <v>41</v>
      </c>
      <c r="AG214" s="1" t="s">
        <v>42</v>
      </c>
      <c r="AH214" s="1" t="s">
        <v>41</v>
      </c>
      <c r="AI214" s="3">
        <v>45</v>
      </c>
      <c r="AJ214" s="3">
        <v>70.650000000000006</v>
      </c>
      <c r="AK214" s="3">
        <v>52.97</v>
      </c>
      <c r="AL214" s="3">
        <v>70</v>
      </c>
      <c r="AM214" s="1" t="s">
        <v>116</v>
      </c>
      <c r="AN214" s="1" t="s">
        <v>117</v>
      </c>
      <c r="AO214" s="1" t="s">
        <v>43</v>
      </c>
      <c r="AP214" s="1" t="s">
        <v>447</v>
      </c>
      <c r="AQ214" s="1" t="s">
        <v>442</v>
      </c>
      <c r="AR214" s="1" t="s">
        <v>46</v>
      </c>
      <c r="AS214" s="4">
        <v>18.149999999999999</v>
      </c>
      <c r="AT214" s="31">
        <v>20</v>
      </c>
      <c r="AU214" s="5">
        <v>20</v>
      </c>
      <c r="AV214" s="4">
        <v>3.88</v>
      </c>
      <c r="AW214" s="15">
        <f>AT214-AZ214</f>
        <v>0</v>
      </c>
      <c r="AX214" s="4">
        <f>AW214/AT214*100</f>
        <v>0</v>
      </c>
      <c r="AY214" s="4">
        <v>22.1</v>
      </c>
      <c r="AZ214" s="5">
        <v>20</v>
      </c>
      <c r="BA214" s="4">
        <v>1.02</v>
      </c>
      <c r="BB214" s="4"/>
      <c r="BC214" s="4"/>
      <c r="BD214" s="4"/>
      <c r="BE214" s="1" t="s">
        <v>118</v>
      </c>
      <c r="BF214" s="1">
        <v>49</v>
      </c>
      <c r="BG214" s="1">
        <v>49</v>
      </c>
      <c r="BH214">
        <f>BF214-BG214</f>
        <v>0</v>
      </c>
      <c r="BI214" s="6"/>
    </row>
    <row r="215" spans="1:61" x14ac:dyDescent="0.2">
      <c r="A215" t="s">
        <v>338</v>
      </c>
      <c r="B215" s="1" t="s">
        <v>111</v>
      </c>
      <c r="C215" s="1">
        <v>2017</v>
      </c>
      <c r="D215" s="1" t="s">
        <v>112</v>
      </c>
      <c r="E215" s="1" t="s">
        <v>350</v>
      </c>
      <c r="F215" s="2" t="s">
        <v>507</v>
      </c>
      <c r="G215" s="1" t="s">
        <v>355</v>
      </c>
      <c r="H215" s="1" t="s">
        <v>35</v>
      </c>
      <c r="I215" s="1" t="s">
        <v>48</v>
      </c>
      <c r="J215" s="1" t="s">
        <v>113</v>
      </c>
      <c r="K215" s="2" t="s">
        <v>372</v>
      </c>
      <c r="L215" s="1"/>
      <c r="M215" s="1"/>
      <c r="N215" s="1" t="s">
        <v>114</v>
      </c>
      <c r="O215" s="1" t="s">
        <v>450</v>
      </c>
      <c r="P215" s="2" t="s">
        <v>379</v>
      </c>
      <c r="Q215" s="2" t="s">
        <v>443</v>
      </c>
      <c r="R215" s="1" t="s">
        <v>374</v>
      </c>
      <c r="S215" s="1" t="s">
        <v>54</v>
      </c>
      <c r="T215" s="1" t="s">
        <v>38</v>
      </c>
      <c r="U215" s="1" t="s">
        <v>115</v>
      </c>
      <c r="V215" s="1" t="s">
        <v>40</v>
      </c>
      <c r="W215" s="1" t="s">
        <v>42</v>
      </c>
      <c r="X215" s="1" t="s">
        <v>41</v>
      </c>
      <c r="Y215" s="1" t="s">
        <v>41</v>
      </c>
      <c r="Z215" s="1" t="s">
        <v>41</v>
      </c>
      <c r="AA215" s="1" t="s">
        <v>42</v>
      </c>
      <c r="AB215" s="1" t="s">
        <v>41</v>
      </c>
      <c r="AC215" s="1" t="s">
        <v>42</v>
      </c>
      <c r="AD215" s="1" t="s">
        <v>41</v>
      </c>
      <c r="AE215" s="1" t="s">
        <v>41</v>
      </c>
      <c r="AF215" s="1" t="s">
        <v>41</v>
      </c>
      <c r="AG215" s="1" t="s">
        <v>42</v>
      </c>
      <c r="AH215" s="1" t="s">
        <v>41</v>
      </c>
      <c r="AI215" s="3">
        <v>45</v>
      </c>
      <c r="AJ215" s="3">
        <v>70.650000000000006</v>
      </c>
      <c r="AK215" s="3">
        <v>52.97</v>
      </c>
      <c r="AL215" s="3">
        <v>70</v>
      </c>
      <c r="AM215" s="1" t="s">
        <v>116</v>
      </c>
      <c r="AN215" s="1" t="s">
        <v>117</v>
      </c>
      <c r="AO215" s="1" t="s">
        <v>43</v>
      </c>
      <c r="AP215" s="1" t="s">
        <v>448</v>
      </c>
      <c r="AQ215" s="1" t="s">
        <v>442</v>
      </c>
      <c r="AR215" s="1" t="s">
        <v>46</v>
      </c>
      <c r="AS215" s="4">
        <v>18</v>
      </c>
      <c r="AT215" s="31">
        <v>20</v>
      </c>
      <c r="AU215" s="5">
        <v>20</v>
      </c>
      <c r="AV215" s="4">
        <v>3.92</v>
      </c>
      <c r="AW215" s="15">
        <f>AT215-AZ215</f>
        <v>0</v>
      </c>
      <c r="AX215" s="4">
        <f>AW215/AT215*100</f>
        <v>0</v>
      </c>
      <c r="AY215" s="4">
        <v>23.75</v>
      </c>
      <c r="AZ215" s="5">
        <v>20</v>
      </c>
      <c r="BA215" s="4">
        <v>1.4</v>
      </c>
      <c r="BB215" s="4"/>
      <c r="BC215" s="4"/>
      <c r="BD215" s="4"/>
      <c r="BE215" s="1" t="s">
        <v>118</v>
      </c>
      <c r="BF215" s="1">
        <v>49</v>
      </c>
      <c r="BG215" s="1">
        <v>49</v>
      </c>
      <c r="BH215">
        <f>BF215-BG215</f>
        <v>0</v>
      </c>
      <c r="BI215" s="6"/>
    </row>
    <row r="216" spans="1:61" x14ac:dyDescent="0.2">
      <c r="A216" t="s">
        <v>338</v>
      </c>
      <c r="B216" s="1" t="s">
        <v>111</v>
      </c>
      <c r="C216" s="1">
        <v>2017</v>
      </c>
      <c r="D216" s="1" t="s">
        <v>112</v>
      </c>
      <c r="E216" s="1" t="s">
        <v>350</v>
      </c>
      <c r="F216" s="2" t="s">
        <v>507</v>
      </c>
      <c r="G216" s="1" t="s">
        <v>355</v>
      </c>
      <c r="H216" s="1" t="s">
        <v>35</v>
      </c>
      <c r="I216" s="1" t="s">
        <v>48</v>
      </c>
      <c r="J216" s="1" t="s">
        <v>113</v>
      </c>
      <c r="K216" s="2" t="s">
        <v>372</v>
      </c>
      <c r="L216" s="1"/>
      <c r="M216" s="1"/>
      <c r="N216" s="1" t="s">
        <v>114</v>
      </c>
      <c r="O216" s="1" t="s">
        <v>450</v>
      </c>
      <c r="P216" s="2" t="s">
        <v>379</v>
      </c>
      <c r="Q216" s="2" t="s">
        <v>443</v>
      </c>
      <c r="R216" s="1" t="s">
        <v>374</v>
      </c>
      <c r="S216" s="1" t="s">
        <v>54</v>
      </c>
      <c r="T216" s="1" t="s">
        <v>38</v>
      </c>
      <c r="U216" s="1" t="s">
        <v>115</v>
      </c>
      <c r="V216" s="1" t="s">
        <v>40</v>
      </c>
      <c r="W216" s="1" t="s">
        <v>42</v>
      </c>
      <c r="X216" s="1" t="s">
        <v>41</v>
      </c>
      <c r="Y216" s="1" t="s">
        <v>41</v>
      </c>
      <c r="Z216" s="1" t="s">
        <v>41</v>
      </c>
      <c r="AA216" s="1" t="s">
        <v>42</v>
      </c>
      <c r="AB216" s="1" t="s">
        <v>41</v>
      </c>
      <c r="AC216" s="1" t="s">
        <v>42</v>
      </c>
      <c r="AD216" s="1" t="s">
        <v>41</v>
      </c>
      <c r="AE216" s="1" t="s">
        <v>41</v>
      </c>
      <c r="AF216" s="1" t="s">
        <v>41</v>
      </c>
      <c r="AG216" s="1" t="s">
        <v>42</v>
      </c>
      <c r="AH216" s="1" t="s">
        <v>41</v>
      </c>
      <c r="AI216" s="3">
        <v>45</v>
      </c>
      <c r="AJ216" s="3">
        <v>70.650000000000006</v>
      </c>
      <c r="AK216" s="3">
        <v>52.97</v>
      </c>
      <c r="AL216" s="3">
        <v>70</v>
      </c>
      <c r="AM216" s="1" t="s">
        <v>116</v>
      </c>
      <c r="AN216" s="1" t="s">
        <v>117</v>
      </c>
      <c r="AO216" s="1" t="s">
        <v>43</v>
      </c>
      <c r="AP216" s="1" t="s">
        <v>449</v>
      </c>
      <c r="AQ216" s="1" t="s">
        <v>442</v>
      </c>
      <c r="AR216" s="1" t="s">
        <v>46</v>
      </c>
      <c r="AS216" s="4">
        <v>16.25</v>
      </c>
      <c r="AT216" s="31">
        <v>20</v>
      </c>
      <c r="AU216" s="5">
        <v>20</v>
      </c>
      <c r="AV216" s="4">
        <v>3.4</v>
      </c>
      <c r="AW216" s="15">
        <f>AT216-AZ216</f>
        <v>0</v>
      </c>
      <c r="AX216" s="4">
        <f>AW216/AT216*100</f>
        <v>0</v>
      </c>
      <c r="AY216" s="4">
        <v>22.05</v>
      </c>
      <c r="AZ216" s="5">
        <v>20</v>
      </c>
      <c r="BA216" s="4">
        <v>1.53</v>
      </c>
      <c r="BB216" s="4"/>
      <c r="BC216" s="4"/>
      <c r="BD216" s="4"/>
      <c r="BE216" s="1" t="s">
        <v>118</v>
      </c>
      <c r="BF216" s="1">
        <v>49</v>
      </c>
      <c r="BG216" s="1">
        <v>49</v>
      </c>
      <c r="BH216">
        <f>BF216-BG216</f>
        <v>0</v>
      </c>
      <c r="BI216" s="6"/>
    </row>
    <row r="217" spans="1:61" x14ac:dyDescent="0.2">
      <c r="BD217" s="39"/>
    </row>
  </sheetData>
  <autoFilter ref="A1:BH216" xr:uid="{74886E42-7453-9D4E-A430-82DC30A59557}">
    <sortState xmlns:xlrd2="http://schemas.microsoft.com/office/spreadsheetml/2017/richdata2" ref="A2:BH216">
      <sortCondition ref="E1:E216"/>
    </sortState>
  </autoFilter>
  <phoneticPr fontId="1"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mbp16</dc:creator>
  <cp:lastModifiedBy>Microsoft Office User</cp:lastModifiedBy>
  <dcterms:created xsi:type="dcterms:W3CDTF">2022-12-15T04:11:54Z</dcterms:created>
  <dcterms:modified xsi:type="dcterms:W3CDTF">2023-01-07T15:07:02Z</dcterms:modified>
</cp:coreProperties>
</file>