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66925"/>
  <mc:AlternateContent xmlns:mc="http://schemas.openxmlformats.org/markup-compatibility/2006">
    <mc:Choice Requires="x15">
      <x15ac:absPath xmlns:x15ac="http://schemas.microsoft.com/office/spreadsheetml/2010/11/ac" url="/Users/mbp16/Documents/Coding/HP407/paper_screening/"/>
    </mc:Choice>
  </mc:AlternateContent>
  <xr:revisionPtr revIDLastSave="0" documentId="8_{0790DF52-EDA7-2E41-974F-B8F63EC6710A}" xr6:coauthVersionLast="47" xr6:coauthVersionMax="47" xr10:uidLastSave="{00000000-0000-0000-0000-000000000000}"/>
  <bookViews>
    <workbookView xWindow="0" yWindow="760" windowWidth="29760" windowHeight="17500" activeTab="3" xr2:uid="{00000000-000D-0000-FFFF-FFFF00000000}"/>
  </bookViews>
  <sheets>
    <sheet name="Overview" sheetId="1" r:id="rId1"/>
    <sheet name="Medline" sheetId="2" r:id="rId2"/>
    <sheet name="Embase" sheetId="3" r:id="rId3"/>
    <sheet name="Global Health" sheetId="5" r:id="rId4"/>
    <sheet name="PsycINFO" sheetId="6" r:id="rId5"/>
    <sheet name="CINAHL" sheetId="7"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D7" i="1"/>
  <c r="D9" i="1"/>
</calcChain>
</file>

<file path=xl/sharedStrings.xml><?xml version="1.0" encoding="utf-8"?>
<sst xmlns="http://schemas.openxmlformats.org/spreadsheetml/2006/main" count="82" uniqueCount="74">
  <si>
    <t>Medline</t>
  </si>
  <si>
    <t>Embase</t>
  </si>
  <si>
    <t>CINAHL</t>
  </si>
  <si>
    <t>PsycINFO</t>
  </si>
  <si>
    <t>Ovid</t>
  </si>
  <si>
    <t>Database</t>
  </si>
  <si>
    <t>Interface</t>
  </si>
  <si>
    <t>Date of search</t>
  </si>
  <si>
    <t>Hits</t>
  </si>
  <si>
    <t>After dedup</t>
  </si>
  <si>
    <t>Global Health</t>
  </si>
  <si>
    <t>EBSCO</t>
  </si>
  <si>
    <t>Total results:</t>
  </si>
  <si>
    <t>Duplicates:</t>
  </si>
  <si>
    <t>Results for screening:</t>
  </si>
  <si>
    <t>Ovid MEDLINE(R) ALL &lt;1946 to September 20, 2022&gt;</t>
  </si>
  <si>
    <t>exp Dementia/ or Pick Disease of the Brain/ or Huntington Disease/ or Lewy Body Disease/ or Cognitive Dysfunction/ or (dement* or amentia* or (major adj3 cognit* adj3 disorder*) or alzheimer* or alzeimer* or (cortical adj4 sclerosis) or ((encephalopath* or cogniti* or neurocogniti*) adj4 (aids or acquired immun?deficiency syndrome* or acquired immun? deficiency syndrome* or hiv or human immun?deficiency virus* or human immun? deficiency virus*)) or pick* disease* or (lobar adj3 atroph* adj3 brain) or Huntington* disease* or Huntington* chorea or (Lewy bod* adj3 disease*) or (cerebr* adj3 deteriorat*) or (cerebr* adj3 insufficien*) or ((frontotemporal or fronto temporal or corticobasal or cortico basal or frontal lobe*) adj4 (degenerati* or dysfunction*)) or ((cognit* or memory or cerebr*) adj3 (declin* or impair* or los* or deteriorat* or degenerat* or insufficen*)) or MCI or (mild adj2 cognit* impair*)).ti,ab,kf,kw.</t>
  </si>
  <si>
    <t>exp Cognitive Therapy/ or exp Drug Therapy/ or exp Cholinesterase Inhibitors/ or exp Antipsychotic Agents/ or exp Serotonin Uptake Inhibitors/ or exp Benzodiazepines/ or exp "Hypnotics and Sedatives"/ or exp Exercise/ or exp Exercise Therapy/ or exp Psychotherapy/ or exp Counseling/ or Psychosocial Support Systems/ or exp Complementary Therapies/ or Phototherapy/ or exp Advance Care Planning/ or Case Management/ or Caregivers/ed, px or Self-Help Groups/ or exp Social Support/ or Diagnosis, Computer-Assisted/ or Telemedicine/ or exp Computers, Handheld/ or (intervention* or therap* or treatment* or program* or manage* or prevent* or diagnos* or polic* or (cognit* adj3 (therap* or training or rehab*)) or cognit* psycho therap* or cognit* psychotherap* or drug* or medicine* or pharmacotherap* or pharmaco* therap* or cholinesterase agent* or cholinesterase inhibitor* or (tranquili* adj3 (agent* or drug*)) or antipsychotic* or (neuroleptic adj3 (agent* or drug*)) or serotonin uptake inhibitor* or serotonin reuptake inhibitor* or ssri* or benzodiazepine* or (sedative adj3 (effect* or agent*)) or memantine or donepezil or rivastigmine or galantamine or souvenaid or risperidone or haloperidol or olanzapine or quetiapine or citalopram or dextromethorphan or carbamazepine or mirtazapine or sertraline or moclobemide or trazodone or melatonin or ramelteon or methylphenidate or exercis* or physical activit* or physical training or aerobic* or arobic* or kinesi?therap* or kinesi? therap* or (social adj3 (activit* or engag* or stimul*)) or psycholog* therap* or psychotherap* or ((behavio?r* or conditioning) adj3 therap*) or counsel?ing or ((psychosocial or psycho social) adj3 (support or interven* or care)) or ((alternative or compl?ment* or traditional) adj3 (medicine* or therap*)) or acupunct* or (herb* adj3 (tea* or remedy or remedies or medicine*)) or gingko or homeopath* or ((music or art or aroma or light or photo or pet or pets) adj3 therap*) or aromatherap* or phototherap* or massage* or (mind adj3 body) or (advance? adj3 (care or medical or healthcare) adj3 plan*) or (decision* adj3 (aid* or support)) or (communicati* adj3 skill* adj3 training) or (dementia care adj3 map*) or ((person* or patient*) adj3 cent* adj3 care) or "Resources for Enhancing Alzheimer’s Caregiver Health" or "Strategies for Relatives" or ((caregiver* or carer*) adj3 educat*) or telemedicine or tele medicine or (smart adj2 (phone* or device* or tablet*)) or smartphone* or cognitive aid* or reminder* or robot*).ti,ab,kf,kw.</t>
  </si>
  <si>
    <t>(Randomized Controlled Trial or Controlled Clinical Trial).pt. or (randomi#ed or placebo or randomly or trial or groups).ti,ab. or drug therapy.fs.</t>
  </si>
  <si>
    <t>Developing Countries.sh,kf,kw. or (Africa* or Asia* or Caribbean* or West Indies or South America* or Latin America* or Central America* or Afghan* or Albania* or Algeria* or Angola* or Anguilla* or Antigua* or Barbuda* or Argentin* or Armenia* or Azerbaijan* or Azeri or Bangladesh* or Barbad* or Benin* or Byelarus or Byelorussian or Belarus* or Belorussia* or Belize* or Bhutan* or Bolivia* or Bosnia* or Herzegovin* or Hercegovin* or Botswana or Botsuana or Motswana or Batswana or Brasil* or Brazil* or Burkina Faso or Burkina Fasso or Burkina* or Burundi* or Urundi* or Cambodia* or Cameroon* or Cameron* or Cape Verd* or Cabo Verde or Central African Republic or Chad* or Tchad* or Chile* or China or Chinese or Colombia* or Columbia* or Comoros or Comoro Islands or Comores or Comoran or Mayotte or Congo* or Costa Rica* or Cote d'Ivoire or Ivory Coast or Ivorian* or Cook Islands or Cuba* or Croat* or Djibouti* or Dominica* or East Timor or East Timur or Timor Leste or Timorese or Ecuador* or Equador* or Egypt* or El Salvador or Salvadoran or Eritrea* or Ethiopia* or Fiji* or Gabon* or Gambia* or Gaza or Georgia Republic or Georgian or Abkhazia* or Abchasia* or South Ossetia* or Ghana* or Grenada or Grenadian or Guatemala* or Guinea* or Guinea Bissau or Guian* or Guyana or Haiti* or Hondura* or India or Indian or Indonesia* or Iran* or Iraq* or Jamaica* or Jordan* or Kazakhstan* or Kazakh or Kenya* or Kiribati or Korea* or Kosovo or Kosova* or Kyrgyzstan or Kirghizia or Kyrgyz or Kirghiz or Kirgizstan or Lao PDR or Laos or Laotian or Lebanon or Lebanese or Lesotho or Mosotho or Basotho or Liberia* or Libya* or Macedonia* or FYROM or Madagasca* or Malagasy or Malaysia* or Malaya* or Malay or Sabah or Sarawak or Malawi* or Maldives or Maldivan or Mali or Malian or Marshall Islands or Marshallese or Mauritania* or Mauriti* or Agalega Islands or Mexico or Mexican or Micronesia* or Middle East* or Moldova* or Moldovia* or Transnistria* or Mongolia* or Montenegr* or Montserrat* or Morocc* or Mozambique or Mozambican or Myanmar* or Myanma or Burma or Burmese or Namibia* or Nauru* or Niue or Nepal* or Nicaragua* or Niger or Nigerien or Nigeria* or Oman* or Pakistan* or Palau* or Palestine or Palestinian or Panama or Panamanian or Paraguay* or Papua New Guinea* or Peru or Peruvian or Philippines or Philipines or Phillipines or Phillippines or Filipino or Philipino or Philippino or Phillipino or Phillippino or Rwanda* or Ruanda* or Saint Helen* or St Helen* or Saint Kitts or St Kitts or Kittian or Nevis* or Saint Lucia* or St Lucia* or Saint Vincent or St Vincent or Vicentian or Grenadines or Samoa* or Sao Tome* or Senegal* or Serbia* or Seychell* or Sierra Leone* or Sri Lanka* or Ceylon or Solomon Island* or Somali* or South Africa* or Sudan or Sudanese or Surinam* or Swaziland or Swazi or Eswatini or Syria or Syrian or Tajikistan or Tadzhikistan or Tadjikistan or Tajik or Tadzhik or Tanzania* or Thailand or Thai or Togo or Togolese or Tonga* or Tunisia* or Tokelau or Trinidad* or Tobago* or Turkey or Turkish or Turks or Turkmenistan or Turkmen or Tuvalu* or Uganda* or Ukraine or Ukrainian or Uruguay* or Uzbekistan* or Uzbek or Vanuatu or Venezuela* or Vietnam* or Viet Nam or Wallis Futuna or West Bank or Yemen* or Zambia* or Zimbabwe*).hw,kf,kw,ti,ab,cp. or (((developing or less* developed or under developed or underdeveloped or middle income or low* income or underserved or under served or deprived or poor*) adj (countr* or nation? or population? or world)) or ((developing or less* developed or under developed or underdeveloped or middle income or low* income) adj (economy or economies)) or (low* adj (gdp or gnp or gross domestic or gross national)) or (low adj3 middle adj3 countr*) or lmic or lmics or third world or lami countr* or transitional countr*).ti,ab.</t>
  </si>
  <si>
    <t>1 and 2 and 3 and 4</t>
  </si>
  <si>
    <t>exp Animals/ not Humans/</t>
  </si>
  <si>
    <t>5 not 6</t>
  </si>
  <si>
    <t>(Comment or Editorial or Letter).pt.</t>
  </si>
  <si>
    <t>7 not 8</t>
  </si>
  <si>
    <t>limit 9 to yr="2019 - 2020"</t>
  </si>
  <si>
    <t>Embase &lt;1974 to 2022 September 20&gt;</t>
  </si>
  <si>
    <t>exp Dementia/ or Cognitive defect/ or (dement* or amentia* or (major adj3 cognit* adj3 disorder*) or alzheimer* or alzeimer* or (cortical adj4 sclerosis) or ((encephalopath* or cogniti* or neurocogniti*) adj4 (aids or acquired immun?deficiency syndrome* or acquired immun? deficiency syndrome* or hiv or human immun?deficiency virus* or human immun? deficiency virus*)) or pick* disease* or (lobar adj3 atroph* adj3 brain) or Huntington* disease* or Huntington* chorea or (Lewy bod* adj3 disease*) or (cerebr* adj3 deteriorat*) or (cerebr* adj3 insufficien*) or ((frontotemporal or fronto temporal or corticobasal or cortico basal or frontal lobe*) adj4 (degenerati* or dysfunction*)) or ((cognit* or memory or cerebr*) adj3 (declin* or impair* or los* or deteriorat* or degenerat* or insufficen*)) or MCI or (mild adj2 cognit* impair*)).ti,ab,kf,kw.</t>
  </si>
  <si>
    <t>exp Cognitive Therapy/ or exp Drug Therapy/ or exp Cholinesterase Inhibitors/ or exp Neuroleptic Agent/ or exp Serotonin Uptake Inhibitor/ or exp Benzodiazepine Derivative/ or Sedative Agent/ or exp Exercise/ or exp Kinesiotherapy/ or exp Psychotherapy/ or exp Counseling/ or Psychosocial Care/ or exp Alternative Medicine/ or Phototherapy/ or Advance Care Planning/ or Living Will/ or Case Management/ or Caregiver Support/ or Self Help/ or exp Social Support/ or Computer Assisted Diagnosis/ or Telemedicine/ or Telemonitoring/ or Telerehabilitation/ or Telediagnosis/ or Personal Digital Assistant/ or Smartphone/ or (intervention* or therap* or treatment* or program* or manage* or prevent* or diagnos* or polic* or (cognit* adj3 (therap* or training or rehab*)) or cognit* psycho therap* or cognit* psychotherap* or drug* or medicine* or pharmacotherap* or pharmaco* therap* or cholinesterase agent* or cholinesterase inhibitor* or (tranquili* adj3 (agent* or drug*)) or antipsychotic* or (neuroleptic adj3 (agent* or drug*)) or serotonin uptake inhibitor* or serotonin reuptake inhibitor* or ssri* or benzodiazepine* or (sedative adj3 (effect* or agent*)) or memantine or donepezil or rivastigmine or galantamine or souvenaid or risperidone or haloperidol or olanzapine or quetiapine or citalopram or dextromethorphan or carbamazepine or mirtazapine or sertraline or moclobemide or trazodone or melatonin or ramelteon or methylphenidate or exercis* or physical activit* or physical training or aerobic* or arobic* or kinesi?therap* or kinesi? therap* or (social adj3 (activit* or engag* or stimul*)) or psycholog* therap* or psychotherap* or ((behavio?r* or conditioning) adj3 therap*) or counsel?ing or ((psychosocial or psycho social) adj3 (support or interven* or care)) or ((alternative or compl?ment* or traditional) adj3 (medicine* or therap*)) or acupunct* or (herb* adj3 (tea* or remedy or remedies or medicine*)) or gingko or homeopath* or ((music or art or aroma or light or photo or pet or pets) adj3 therap*) or aromatherap* or phototherap* or massage* or (mind adj3 body) or (advance? adj3 (care or medical or healthcare) adj3 plan*) or (decision* adj3 (aid* or support)) or (communicati* adj3 skill* adj3 training) or (dementia care adj3 map*) or ((person* or patient*) adj3 cent* adj3 care) or "Resources for Enhancing Alzheimer’s Caregiver Health" or "Strategies for Relatives" or ((caregiver* or carer*) adj3 educat*) or telemedicine or tele medicine or (smart adj2 (phone* or device* or tablet*)) or smartphone* or cognitive aid* or reminder* or robot*).ti,ab,kf,kw.</t>
  </si>
  <si>
    <t>(Randomized Controlled Trial/ or Controlled Clinical Trial/ or random*.ti,ab. or Randomization/ or Intermethod Comparison/ or placebo.ti,ab. or (compare or compared or comparison).ti. or ((evaluated or evaluate or evaluating or assessed or assess) and (compare or compared or comparing or comparison)).ab. or (open adj label).ti,ab. or ((double or single or doubly or singly) adj (blind or blinded or blindly)).ti,ab. or Double Blind Procedure/ or parallel group*1.ti,ab. or (crossover or cross over).ti,ab. or ((assign* or match or matched or allocation) adj5 (alternate or group*1 or intervention*1 or patient*1 or subject*1 or participant*1)).ti,ab. or (assigned or allocated).ti,ab. or (controlled adj7 (study or design or trial)).ti,ab. or (volunteer or volunteers).ti,ab. or Human Experiment/ or trial.ti.) not (((random* adj sampl* adj7 (cross section* or questionnaire*1 or survey* or database*1)).ti,ab. not (Comparative Study/ or Controlled Study/ or randomi?ed controlled.ti,ab. or randomly assigned.ti,ab.)) or (Cross-Sectional Study/ not (Randomized Controlled Trial/ or Controlled Clinical Study/ or Controlled Study/ or randomi?ed controlled.ti,ab. or control group*1.ti,ab.)) or (((case adj control*) and random*) not randomi?ed controlled).ti,ab. or (systematic review not (trial or study)).ti. or (nonrandom* not random*).ti,ab. or random field*.ti,ab. or (random cluster adj3 sampl*).ti,ab. or ((review.ab. and review.pt.) not trial.ti.) or (we searched.ab. and (review.ti. or review.pt.)) or update review.ab. or (databases adj4 searched).ab. or ((rat or rats or mouse or mice or swine or porcine or murine or sheep or lambs or pigs or piglets or rabbit or rabbits or cat or cats or dog or dogs or cattle or bovine or monkey or monkeys or trout or marmoset*1).ti. and Animal Experiment/) or (Animal Experiment/ not (Human Experiment/ or Human/)))</t>
  </si>
  <si>
    <t>exp Animal/ or exp Animal Experiment/ or Nonhuman/</t>
  </si>
  <si>
    <t>exp Human/ or exp Human Experiment/</t>
  </si>
  <si>
    <t>6 not 7</t>
  </si>
  <si>
    <t>5 not 8</t>
  </si>
  <si>
    <t>(Editorial or Letter).pt.</t>
  </si>
  <si>
    <t>9 not 10</t>
  </si>
  <si>
    <t>limit 11 to yr="2019 - 2020"</t>
  </si>
  <si>
    <t>Global Health &lt;1973 to 2022 Week 37&gt;</t>
  </si>
  <si>
    <t>exp Dementia/ or (dement* or amentia* or (major adj3 cognit* adj3 disorder*) or alzheimer* or alzeimer* or (cortical adj4 sclerosis) or ((encephalopath* or cogniti* or neurocogniti*) adj4 (aids or acquired immun?deficiency syndrome* or acquired immun? deficiency syndrome* or hiv or human immun?deficiency virus* or human immun? deficiency virus*)) or pick* disease* or (lobar adj3 atroph* adj3 brain) or Huntington* disease* or Huntington* chorea or (Lewy bod* adj3 disease*) or (cerebr* adj3 deteriorat*) or (cerebr* adj3 insufficien*) or ((frontotemporal or fronto temporal or corticobasal or cortico basal or frontal lobe*) adj4 (degenerati* or dysfunction*)) or ((cognit* or memory or cerebr*) adj3 (declin* or impair* or los* or deteriorat* or degenerat* or insufficen*)) or MCI or (mild adj2 cognit* impair*)).ti,ab.</t>
  </si>
  <si>
    <t>exp Drug Therapy/ or exp Cholinesterase Inhibitors/ or exp Neuroleptics/ or exp Selective Serotonin Reuptake Inhibitors/ or exp Benzodiazepines/ or exp Sedatives/ or Exercise/ or Physical Therapy/ or exp Psychotherapy/ or exp Counselling/ or "Complementary and Alternative Medicine"/ or Phototherapy/ or Self Help/ or Self Care/ or exp E-health/ or Mobile Telephones/ or (intervention* or therap* or treatment* or program* or manage* or prevent* or diagnos* or polic* or (cognit* adj3 (therap* or training or rehab*)) or cognit* psycho therap* or cognit* psychotherap* or drug* or medicine* or pharmacotherap* or pharmaco* therap* or cholinesterase agent* or cholinesterase inhibitor* or (tranquili* adj3 (agent* or drug*)) or antipsychotic* or (neuroleptic adj3 (agent* or drug*)) or serotonin uptake inhibitor* or serotonin reuptake inhibitor* or ssri* or benzodiazepine* or (sedative adj3 (effect* or agent*)) or memantine or donepezil or rivastigmine or galantamine or souvenaid or risperidone or haloperidol or olanzapine or quetiapine or citalopram or dextromethorphan or carbamazepine or mirtazapine or sertraline or moclobemide or trazodone or melatonin or ramelteon or methylphenidate or exercis* or physical activit* or physical training or aerobic* or arobic* or kinesi?therap* or kinesi? therap* or (social adj3 (activit* or engag* or stimul*)) or psycholog* therap* or psychotherap* or ((behavio?r* or conditioning) adj3 therap*) or counsel?ing or ((psychosocial or psycho social) adj3 (support or interven* or care)) or ((alternative or compl?ment* or traditional) adj3 (medicine* or therap*)) or acupunct* or (herb* adj3 (tea* or remedy or remedies or medicine*)) or gingko or homeopath* or ((music or art or aroma or light or photo or pet or pets) adj3 therap*) or aromatherap* or phototherap* or massage* or (mind adj3 body) or (advance? adj3 (care or medical or healthcare) adj3 plan*) or (decision* adj3 (aid* or support)) or (communicati* adj3 skill* adj3 training) or (dementia care adj3 map*) or ((person* or patient*) adj3 cent* adj3 care) or "Resources for Enhancing Alzheimer’s Caregiver Health" or "Strategies for Relatives" or ((caregiver* or carer*) adj3 educat*) or telemedicine or tele medicine or (smart adj2 (phone* or device* or tablet*)) or smartphone* or cognitive aid* or reminder* or robot*).ti,ab.</t>
  </si>
  <si>
    <t>Randomized Controlled Trials/ or (randomi#ed or placebo or randomly or trial or groups).ti,ab.</t>
  </si>
  <si>
    <t>(Low Income Countries or Lower-Middle Income Countries or Least Developed Countries).sh. or (Africa* or Asia* or Caribbean* or West Indies or South America* or Latin America* or Central America* or Afghan* or Albania* or Algeria* or Angola* or Anguilla* or Antigua* or Barbuda* or Argentin* or Armenia* or Azerbaijan* or Azeri or Bangladesh* or Barbad* or Benin* or Byelarus or Byelorussian or Belarus* or Belorussia* or Belize* or Bhutan* or Bolivia* or Bosnia* or Herzegovin* or Hercegovin* or Botswana or Botsuana or Motswana or Batswana or Brasil* or Brazil* or Burkina Faso or Burkina Fasso or Burkina* or Burundi* or Urundi* or Cambodia* or Cameroon* or Cameron* or Cape Verd* or Cabo Verde or Central African Republic or Chad* or Tchad* or Chile* or China or Chinese or Colombia* or Columbia* or Comoros or Comoro Islands or Comores or Comoran or Mayotte or Congo* or Costa Rica* or Cote d'Ivoire or Ivory Coast or Ivorian* or Cook Islands or Cuba* or Croat* or Djibouti* or Dominica* or East Timor or East Timur or Timor Leste or Timorese or Ecuador* or Equador* or Egypt* or El Salvador or Salvadoran or Eritrea* or Ethiopia* or Fiji* or Gabon* or Gambia* or Gaza or Georgia Republic or Georgian or Abkhazia* or Abchasia* or South Ossetia* or Ghana* or Grenada or Grenadian or Guatemala* or Guinea* or Guinea Bissau or Guian* or Guyana or Haiti* or Hondura* or India or Indian or Indonesia* or Iran* or Iraq* or Jamaica* or Jordan* or Kazakhstan* or Kazakh or Kenya* or Kiribati or Korea* or Kosovo or Kosova* or Kyrgyzstan or Kirghizia or Kyrgyz or Kirghiz or Kirgizstan or Lao PDR or Laos or Laotian or Lebanon or Lebanese or Lesotho or Mosotho or Basotho or Liberia* or Libya* or Macedonia* or FYROM or Madagasca* or Malagasy or Malaysia* or Malaya* or Malay or Sabah or Sarawak or Malawi* or Maldives or Maldivan or Mali or Malian or Marshall Islands or Marshallese or Mauritania* or Mauriti* or Agalega Islands or Mexico or Mexican or Micronesia* or Middle East* or Moldova* or Moldovia* or Transnistria* or Mongolia* or Montenegr* or Montserrat* or Morocc* or Mozambique or Mozambican or Myanmar* or Myanma or Burma or Burmese or Namibia* or Nauru* or Niue or Nepal* or Nicaragua* or Niger or Nigerien or Nigeria* or Oman* or Pakistan* or Palau* or Palestine or Palestinian or Panama or Panamanian or Paraguay* or Papua New Guinea* or Peru or Peruvian or Philippines or Philipines or Phillipines or Phillippines or Filipino or Philipino or Philippino or Phillipino or Phillippino or Rwanda* or Ruanda* or Saint Helen* or St Helen* or Saint Kitts or St Kitts or Kittian or Nevis* or Saint Lucia* or St Lucia* or Saint Vincent or St Vincent or Vicentian or Grenadines or Samoa* or Sao Tome* or Senegal* or Serbia* or Seychell* or Sierra Leone* or Sri Lanka* or Ceylon or Solomon Island* or Somali* or South Africa* or Sudan or Sudanese or Surinam* or Swaziland or Swazi or Eswatini or Syria or Syrian or Tajikistan or Tadzhikistan or Tadjikistan or Tajik or Tadzhik or Tanzania* or Thailand or Thai or Togo or Togolese or Tonga* or Tunisia* or Tokelau or Trinidad* or Tobago* or Turkey or Turkish or Turks or Turkmenistan or Turkmen or Tuvalu* or Uganda* or Ukraine or Ukrainian or Uruguay* or Uzbekistan* or Uzbek or Vanuatu or Venezuela* or Vietnam* or Viet Nam or Wallis Futuna or West Bank or Yemen* or Zambia* or Zimbabwe*).hw,ti,ab,cp. or (((developing or less* developed or under developed or underdeveloped or middle income or low* income or underserved or under served or deprived or poor*) adj (countr* or nation? or population? or world)) or ((developing or less* developed or under developed or underdeveloped or middle income or low* income) adj (economy or economies)) or (low* adj (gdp or gnp or gross domestic or gross national)) or (low adj3 middle adj3 countr*) or lmic or lmics or third world or lami countr* or transitional countr*).ti,ab.</t>
  </si>
  <si>
    <t>limit 5 to yr="2019 - 2020"</t>
  </si>
  <si>
    <t xml:space="preserve">APA PsycInfo &lt;1806 to September Week 1 2022&gt; </t>
  </si>
  <si>
    <t>exp Dementia/ or Huntington Disease/ or Cognitive Impairment/ or (dement* or amentia* or (major adj3 cognit* adj3 disorder*) or alzheimer* or alzeimer* or (cortical adj4 sclerosis) or ((encephalopath* or cogniti* or neurocogniti*) adj4 (aids or acquired immun?deficiency syndrome* or acquired immun? deficiency syndrome* or hiv or human immun?deficiency virus* or human immun? deficiency virus*)) or pick* disease* or (lobar adj3 atroph* adj3 brain) or Huntington* disease* or Huntington* chorea or (Lewy bod* adj3 disease*) or (cerebr* adj3 deteriorat*) or (cerebr* adj3 insufficien*) or ((frontotemporal or fronto temporal or corticobasal or cortico basal or frontal lobe*) adj4 (degenerati* or dysfunction*)) or ((cognit* or memory or cerebr*) adj3 (declin* or impair* or los* or deteriorat* or degenerat* or insufficen*)) or MCI or (mild adj2 cognit* impair*)).ti,ab.</t>
  </si>
  <si>
    <t>exp Cognitive Therapy/ or exp Drug Therapy/ or exp Cholinesterase Inhibitors/ or exp Tranquilizing Drugs/ or exp Serotonin Reuptake Inhibitors/ or exp Benzodiazepines/ or exp Sedatives/ or exp Exercise/ or Movement Therapy/ or exp Psychotherapy/ or exp Counseling/ or Social Support/ or exp Alternative Medicine/ or Creative Arts Therapy/ or Mind Body Therapy/ or Phototherapy/ or Advance Directives/ or exp Case Management/ or Support Groups/ or exp Self-Help Techniques/ or exp Social Support/ or Computer Assisted Diagnosis/ or Computer Assisted Therapy/ or Telemedicine/ or exp Mobile Devices/ or (intervention* or therap* or treatment* or program* or manage* or prevent* or diagnos* or polic* or (cognit* adj3 (therap* or training or rehab*)) or cognit* psycho therap* or cognit* psychotherap* or drug* or medicine* or pharmacotherap* or pharmaco* therap* or cholinesterase agent* or cholinesterase inhibitor* or (tranquili* adj3 (agent* or drug*)) or antipsychotic* or (neuroleptic adj3 (agent* or drug*)) or serotonin uptake inhibitor* or serotonin reuptake inhibitor* or ssri* or benzodiazepine* or (sedative adj3 (effect* or agent*)) or memantine or donepezil or rivastigmine or galantamine or souvenaid or risperidone or haloperidol or olanzapine or quetiapine or citalopram or dextromethorphan or carbamazepine or mirtazapine or sertraline or moclobemide or trazodone or melatonin or ramelteon or methylphenidate or exercis* or physical activit* or physical training or aerobic* or arobic* or kinesi?therap* or kinesi? therap* or (social adj3 (activit* or engag* or stimul*)) or psycholog* therap* or psychotherap* or ((behavio?r* or conditioning) adj3 therap*) or counsel?ing or ((psychosocial or psycho social) adj3 (support or interven* or care)) or ((alternative or compl?ment* or traditional) adj3 (medicine* or therap*)) or acupunct* or (herb* adj3 (tea* or remedy or remedies or medicine*)) or gingko or homeopath* or ((music or art or aroma or light or photo or pet or pets) adj3 therap*) or aromatherap* or phototherap* or massage* or (mind adj3 body) or (advance? adj3 (care or medical or healthcare) adj3 plan*) or (decision* adj3 (aid* or support)) or (communicati* adj3 skill* adj3 training) or (dementia care adj3 map*) or ((person* or patient*) adj3 cent* adj3 care) or "Resources for Enhancing Alzheimer’s Caregiver Health" or "Strategies for Relatives" or ((caregiver* or carer*) adj3 educat*) or telemedicine or tele medicine or (smart adj2 (phone* or device* or tablet*)) or smartphone* or cognitive aid* or reminder* or robot*).ti,ab.</t>
  </si>
  <si>
    <t>exp Clinical Trials/ or Treatment Effectiveness Evaluation/ or (randomi#ed or placebo or randomly or trial or groups).ti,ab.</t>
  </si>
  <si>
    <t>Developing Countries.sh. or (Africa* or Asia* or Caribbean* or West Indies or South America* or Latin America* or Central America* or Afghan* or Albania* or Algeria* or Angola* or Anguilla* or Antigua* or Barbuda* or Argentin* or Armenia* or Azerbaijan* or Azeri or Bangladesh* or Barbad* or Benin* or Byelarus or Byelorussian or Belarus* or Belorussia* or Belize* or Bhutan* or Bolivia* or Bosnia* or Herzegovin* or Hercegovin* or Botswana or Botsuana or Motswana or Batswana or Brasil* or Brazil* or Burkina Faso or Burkina Fasso or Burkina* or Burundi* or Urundi* or Cambodia* or Cameroon* or Cameron* or Cape Verd* or Cabo Verde or Central African Republic or Chad* or Tchad* or Chile* or China or Chinese or Colombia* or Columbia* or Comoros or Comoro Islands or Comores or Comoran or Mayotte or Congo* or Costa Rica* or Cote d'Ivoire or Ivory Coast or Ivorian* or Cook Islands or Cuba* or Croat* or Djibouti* or Dominica* or East Timor or East Timur or Timor Leste or Timorese or Ecuador* or Equador* or Egypt* or El Salvador or Salvadoran or Eritrea* or Ethiopia* or Fiji* or Gabon* or Gambia* or Gaza or Georgia Republic or Georgian or Abkhazia* or Abchasia* or South Ossetia* or Ghana* or Grenada or Grenadian or Guatemala* or Guinea* or Guinea Bissau or Guian* or Guyana or Haiti* or Hondura* or India or Indian or Indonesia* or Iran* or Iraq* or Jamaica* or Jordan* or Kazakhstan* or Kazakh or Kenya* or Kiribati or Korea* or Kosovo or Kosova* or Kyrgyzstan or Kirghizia or Kyrgyz or Kirghiz or Kirgizstan or Lao PDR or Laos or Laotian or Lebanon or Lebanese or Lesotho or Mosotho or Basotho or Liberia* or Libya* or Macedonia* or FYROM or Madagasca* or Malagasy or Malaysia* or Malaya* or Malay or Sabah or Sarawak or Malawi* or Maldives or Maldivan or Mali or Malian or Marshall Islands or Marshallese or Mauritania* or Mauriti* or Agalega Islands or Mexico or Mexican or Micronesia* or Middle East* or Moldova* or Moldovia* or Transnistria* or Mongolia* or Montenegr* or Montserrat* or Morocc* or Mozambique or Mozambican or Myanmar* or Myanma or Burma or Burmese or Namibia* or Nauru* or Niue or Nepal* or Nicaragua* or Niger or Nigerien or Nigeria* or Oman* or Pakistan* or Palau* or Palestine or Palestinian or Panama or Panamanian or Paraguay* or Papua New Guinea* or Peru or Peruvian or Philippines or Philipines or Phillipines or Phillippines or Filipino or Philipino or Philippino or Phillipino or Phillippino or Rwanda* or Ruanda* or Saint Helen* or St Helen* or Saint Kitts or St Kitts or Kittian or Nevis* or Saint Lucia* or St Lucia* or Saint Vincent or St Vincent or Vicentian or Grenadines or Samoa* or Sao Tome* or Senegal* or Serbia* or Seychell* or Sierra Leone* or Sri Lanka* or Ceylon or Solomon Island* or Somali* or South Africa* or Sudan or Sudanese or Surinam* or Swaziland or Swazi or Eswatini or Syria or Syrian or Tajikistan or Tadzhikistan or Tadjikistan or Tajik or Tadzhik or Tanzania* or Thailand or Thai or Togo or Togolese or Tonga* or Tunisia* or Tokelau or Trinidad* or Tobago* or Turkey or Turkish or Turks or Turkmenistan or Turkmen or Tuvalu* or Uganda* or Ukraine or Ukrainian or Uruguay* or Uzbekistan* or Uzbek or Vanuatu or Venezuela* or Vietnam* or Viet Nam or Wallis Futuna or West Bank or Yemen* or Zambia* or Zimbabwe*).hw,ti,ab,lo. or (((developing or less* developed or under developed or underdeveloped or middle income or low* income or underserved or under served or deprived or poor*) adj (countr* or nation? or population? or world)) or ((developing or less* developed or under developed or underdeveloped or middle income or low* income) adj (economy or economies)) or (low* adj (gdp or gnp or gross domestic or gross national)) or (low adj3 middle adj3 countr*) or lmic or lmics or third world or lami countr* or transitional countr*).ti,ab.</t>
  </si>
  <si>
    <t>(animal not human).po.</t>
  </si>
  <si>
    <t>limit 7 to yr="2019 - 2020"</t>
  </si>
  <si>
    <t>CINAHL EBSCO</t>
  </si>
  <si>
    <t>S1</t>
  </si>
  <si>
    <t>(MH "Dementia+") or (MH "Huntington's Disease") or (MH "Cognition Disorders") or TI ( (dement* or amentia* or (major N2 cognit* N2 disorder*) or alzheimer* or alzeimer* or (cortical N3 sclerosis) or ((encephalopath* or cogniti* or neurocogniti*) N3 (aids or "acquired immun#deficiency syndrome*" or "acquired immun# deficiency syndrome*" or hiv or "human immun#deficiency virus*" or "human immun# deficiency virus*")) or "pick* disease*" or (lobar N2 atroph* N2 brain) or "Huntington* disease*" or "Huntington* chorea" or ("Lewy bod*" N2 disease*) or (cerebr* N2 deteriorat*) or (cerebr* N2 insufficien*) or ((frontotemporal or "fronto temporal" or corticobasal or "cortico basal" or "frontal lobe*") N3 (degenerati* or dysfunction*)) or ((cognit* or memory or cerebr*) N2 (declin* or impair* or los* or deteriorat* or degenerat* or insufficen*)) or MCI or (mild N1 "cognit* impair*")) ) OR AB ( (dement* or amentia* or (major N2 cognit* N2 disorder*) or alzheimer* or alzeimer* or (cortical N3 sclerosis) or ((encephalopath* or cogniti* or neurocogniti*) N3 (aids or "acquired immun#deficiency syndrome*" or "acquired immun# deficiency syndrome*" or hiv or "human immun#deficiency virus*" or "human immun# deficiency virus*")) or "pick* disease*" or (lobar N2 atroph* N2 brain) or "Huntington* disease*" or "Huntington* chorea" or ("Lewy bod*" N2 disease*) or (cerebr* N2 deteriorat*) or (cerebr* N2 insufficien*) or ((frontotemporal or "fronto temporal" or corticobasal or "cortico basal" or "frontal lobe*") N3 (degenerati* or dysfunction*)) or ((cognit* or memory or cerebr*) N2 (declin* or impair* or los* or deteriorat* or degenerat* or insufficen*)) or MCI or (mild N1 "cognit* impair*")) )</t>
  </si>
  <si>
    <t>S2</t>
  </si>
  <si>
    <t>(MH "Cognitive Therapy+") or (MH "Drug Therapy+") or (MH "Cholinesterase Inhibitors+") or (MH "Antipsychotic Agents+") or (MH "Serotonin Uptake Inhibitors+") or (MH "Antianxiety Agents, Benzodiazepine+") or (MH "Hypnotics and Sedatives+") or (MH "Exercise+") or (MH "Therapeutic Exercise+") or (MH "Psychotherapy+") or (MH "Counseling+") or (MH "Support, Psychosocial+") or (MH "Alternative Therapies+") or (MH "Advance Care Planning") or (MH "Advance Directives+") or (MH "Case Management") or (MH "Patient Care Plans+") or (MH "Caregivers/ED/PF") or (MH "Support Groups") or (MH "Diagnosis, Computer Assisted") or (MH "Telehealth+") or (MH "Computers, Hand-Held+") or TI ( (intervention* or therap* or treatment* or program* or manage* or prevent* or diagnos* or polic* or (cognit* N2 (therap* or training or rehab*)) or "cognit* psycho therap*" or "cognit* psychotherap*" or drug* or medicine* or pharmacotherap* or "pharmaco* therap*" or "cholinesterase agent*" or "cholinesterase inhibitor*" or (tranquili* N2 (agent* or drug*)) or antipsychotic* or (neuroleptic N2 (agent* or drug*)) or "serotonin uptake inhibitor*" or "serotonin reuptake inhibitor*" or ssri* or benzodiazepine* or (sedative N2 (effect* or agent*)) or memantine or donepezil or rivastigmine or galantamine or souvenaid or risperidone or haloperidol or olanzapine or quetiapine or citalopram or dextromethorphan or carbamazepine or mirtazapine or sertraline or moclobemide or trazodone or melatonin or ramelteon or methylphenidate or exercis* or "physical activit*" or "physical training" or aerobic* or arobic* or kinesi#therap* or "kinesi# therap*" or (social N2 (activit* or engag* or stimul*)) or "psycholog* therap*" or psychotherap* or ((behavio#r* or conditioning) N2 therap*) or counsel#ing or ((psychosocial or "psycho social") N2 (support or interven* or care)) or ((alternative or compl#ment* or traditional) N2 (medicine* or therap*)) or acupunct* or (herb* N2 (tea* or remedy or remedies or medicine*)) or gingko or homeopath* or ((music or art or aroma or light or photo or pet or pets) N2 therap*) or aromatherap* or phototherap* or massage* or (mind N2 body) or (advance# N2 (care or medical or healthcare) N2 plan*) or (decision* N2 (aid* or support)) or (communicati* N2 skill* N2 training) or ("dementia care" N2 map*) or ((person* or patient*) N2 cent* N2 care) or "Resources for Enhancing Alzheimer’s Caregiver Health" or "Strategies for Relatives" or ((caregiver* or carer*) N2 educat*) or telemedicine or "tele medicine" or (smart N2 (phone* or device* or tablet*)) or smartphone* or "cognitive aid*" or reminder* or robot*) ) OR AB ( (intervention* or therap* or treatment* or program* or manage* or prevent* or diagnos* or polic* or (cognit* N2 (therap* or training or rehab*)) or "cognit* psycho therap*" or "cognit* psychotherap*" or drug* or medicine* or pharmacotherap* or "pharmaco* therap*" or "cholinesterase agent*" or "cholinesterase inhibitor*" or (tranquili* N2 (agent* or drug*)) or antipsychotic* or (neuroleptic N2 (agent* or drug*)) or "serotonin uptake inhibitor*" or "serotonin reuptake inhibitor*" or ssri* or benzodiazepine* or (sedative N2 (effect* or agent*)) or memantine or donepezil or rivastigmine or galantamine or souvenaid or risperidone or haloperidol or olanzapine or quetiapine or citalopram or dextromethorphan or carbamazepine or mirtazapine or sertraline or moclobemide or trazodone or melatonin or ramelteon or methylphenidate or exercis* or "physical activit*" or "physical training" or aerobic* or arobic* or kinesi#therap* or "kinesi# therap*" or (social N2 (activit* or engag* or stimul*)) or "psycholog* therap*" or psychotherap* or ((behavio#r* or conditioning) N2 therap*) or counsel#ing or ((psychosocial or "psycho social") N2 (support or interven* or care)) or ((alternative or compl#ment* or traditional) N2 (medicine* or therap*)) or acupunct* or (herb* N2 (tea* or remedy or remedies or medicine*)) or gingko or homeopath* or ((music or art or aroma or light or photo or pet or pets) N2 therap*) or aromatherap* or phototherap* or massage* or (mind N2 body) or (advance# N2 (care or medical or healthcare) N2 plan*) or (decision* N2 (aid* or support)) or (communicati* N2 skill* N2 training) or ("dementia care" N2 map*) or ((person* or patient*) N2 cent* N2 care) or "Resources for Enhancing Alzheimer’s Caregiver Health" or "Strategies for Relatives" or ((caregiver* or carer*) N2 educat*) or telemedicine or "tele medicine" or (smart N2 (phone* or device* or tablet*)) or smartphone* or "cognitive aid*" or reminder* or robot*) )</t>
  </si>
  <si>
    <t>S3</t>
  </si>
  <si>
    <t>(MH "Randomized Controlled Trials") or (MH "Double-Blind Studies") or (MH "Single-Blind Studies") or (MH "Random Assignment") or (MH "Pretest-Posttest Design+") or (MH "Cluster Sample+") or TI ( randomised or randomized ) or AB random* or TI trial or (MH "Sample Size" and AB (assigned OR allocated OR control)) or (MH "Placebos") or (MH "Crossover Design") or (MH "Comparative Studies") or PT "randomized controlled trial" or AB ((control W5 group) or (cluster W3 RCT))</t>
  </si>
  <si>
    <t>S4</t>
  </si>
  <si>
    <t>(MH "Developing Countries")</t>
  </si>
  <si>
    <t>S5</t>
  </si>
  <si>
    <t>TI ( Africa* or Asia* or Caribbean* or "West Indies" or "South America*" or "Latin America*" or "Central America*" or Afghan* or Albania* or Algeria* or Angola* or Anguilla* or Antigua* or Barbuda* or Argentin* or Armenia* or Azerbaijan* or Azeri or Bangladesh* or Barbad* or Benin* or Byelarus or Byelorussian or Belarus* or Belorussia* or Belize* or Bhutan* or Bolivia* or Bosnia* or Herzegovin* or Hercegovin* or Botswana or Botsuana or Motswana or Batswana or Brasil* or Brazil* or "Burkina Faso" or "Burkina Fasso" or Burkina* or Burundi* or Urundi* or Cambodia* or Cameroon* or Cameron* or "Cape Verd*" or "Cabo Verde" or "Central African Republic" or Chad* or Tchad* or Chile* or China or Chinese or Colombia* or Columbia* or Comoros or "Comoro Islands" or Comores or Comoran or Mayotte or Congo* or "Costa Rica*" or "Cote d'Ivoire" or "Ivory Coast" or Ivorian* or "Cook Islands" or Cuba* or Croat* or Djibouti* or Dominica* or "East Timor" or "East Timur" or "Timor Leste" or Timorese or Ecuador* or Equador* or Egypt* or "El Salvador" or Salvadoran or Eritrea* or Ethiopia* or Fiji* or Gabon* or Gambia* or Gaza or "Georgia Republic" or Georgian or Abkhazia* or Abchasia* or "South Ossetia*" or Ghana* or Grenada or Grenadian or Guatemala* or Guinea* or "Guinea Bissau" or Guian* or Guyana or Haiti* or Hondura* or India or Indian or Indonesia* or Iran* or Iraq* or Jamaica* or Jordan* or Kazakhstan* or Kazakh or Kenya* or Kiribati or Korea* or Kosovo or Kosova* or Kyrgyzstan or Kirghizia or Kyrgyz or Kirghiz or Kirgizstan or "Lao PDR" or Laos or Laotian or Lebanon or Lebanese or Lesotho or Mosotho or Basotho or Liberia* or Libya* or Macedonia* or FYROM or Madagasca* or Malagasy or Malaysia* or Malaya* or Malay or Sabah or Sarawak or Malawi* or Maldives or Maldivan or Mali or Malian or "Marshall Islands" or Marshallese or Mauritania* or Mauriti* or "Agalega Islands" or Mexico or Mexican or Micronesia* or "Middle East*" or Moldova* or Moldovia* or Transnistria* or Mongolia* or Montenegr* or Montserrat* or Morocc* or Mozambique or Mozambican or Myanmar* or Myanma or Burma or Burmese or Namibia* or Nauru* or Niue or Nepal* or Nicaragua* or Niger or Nigerien or Nigeria* or Oman* or Pakistan* or Palau* or Palestine or Palestinian or Panama or Panamanian or Paraguay* or "Papua New Guinea*" or Peru or Peruvian or Philippines or Philipines or Phillipines or Phillippines or Filipino or Philipino or Philippino or Phillipino or Phillippino or Rwanda* or Ruanda* or "Saint Helen*" or "St Helen*" or "Saint Kitts" or "St Kitts" or Kittian or Nevis* or "Saint Lucia*" or "St Lucia*" or "Saint Vincent" or "St Vincent" or Vicentian or Grenadines or Samoa* or "Sao Tome*" or Senegal* or Serbia* or Seychell* or "Sierra Leone*" or "Sri Lanka*" or Ceylon or "Solomon Island*" or Somali* or "South Africa*" or Sudan or Sudanese or Surinam* or Swaziland or Swazi or Eswatini or Syria or Syrian or Tajikistan or Tadzhikistan or Tadjikistan or Tajik or Tadzhik or Tanzania* or Thailand or Thai or Togo or Togolese or Tonga* or Tunisia* or Tokelau or Trinidad* or Tobago* or Turkey or Turkish or Turks or Turkmenistan or Turkmen or Tuvalu* or Uganda* or Ukraine or Ukrainian or Uruguay* or Uzbekistan* or Uzbek or Vanuatu or Venezuela* or Vietnam* or "Viet Nam" or "Wallis Futuna" or "West Bank" or Yemen* or Zambia* or Zimbabwe* ) OR AB ( Africa* or Asia* or Caribbean* or "West Indies" or "South America*" or "Latin America*" or "Central America*" or Afghan* or Albania* or Algeria* or Angola* or Anguilla* or Antigua* or Barbuda* or Argentin* or Armenia* or Azerbaijan* or Azeri or Bangladesh* or Barbad* or Benin* or Byelarus or Byelorussian or Belarus* or Belorussia* or Belize* or Bhutan* or Bolivia* or Bosnia* or Herzegovin* or Hercegovin* or Botswana or Botsuana or Motswana or Batswana or Brasil* or Brazil* or "Burkina Faso" or "Burkina Fasso" or Burkina* or Burundi* or Urundi* or Cambodia* or Cameroon* or Cameron* or "Cape Verd*" or "Cabo Verde" or "Central African Republic" or Chad* or Tchad* or Chile* or China or Chinese or Colombia* or Columbia* or Comoros or "Comoro Islands" or Comores or Comoran or Mayotte or Congo* or "Costa Rica*" or "Cote d'Ivoire" or "Ivory Coast" or Ivorian* or "Cook Islands" or Cuba* or Croat* or Djibouti* or Dominica* or "East Timor" or "East Timur" or "Timor Leste" or Timorese or Ecuador* or Equador* or Egypt* or "El Salvador" or Salvadoran or Eritrea* or Ethiopia* or Fiji* or Gabon* or Gambia* or Gaza or "Georgia Republic" or Georgian or Abkhazia* or Abchasia* or "South Ossetia*" or Ghana* or Grenada or Grenadian or Guatemala* or Guinea* or "Guinea Bissau" or Guian* or Guyana or Haiti* or Hondura* or India or Indian or Indonesia* or Iran* or Iraq* or Jamaica* or Jordan* or Kazakhstan* or Kazakh or Kenya* or Kiribati or Korea* or Kosovo or Kosova* or Kyrgyzstan or Kirghizia or Kyrgyz or Kirghiz or Kirgizstan or "Lao PDR" or Laos or Laotian or Lebanon or Lebanese or Lesotho or Mosotho or Basotho or Liberia* or Libya* or Macedonia* or FYROM or Madagasca* or Malagasy or Malaysia* or Malaya* or Malay or Sabah or Sarawak or Malawi* or Maldives or Maldivan or Mali or Malian or "Marshall Islands" or Marshallese or Mauritania* or Mauriti* or "Agalega Islands" or Mexico or Mexican or Micronesia* or "Middle East*" or Moldova* or Moldovia* or Transnistria* or Mongolia* or Montenegr* or Montserrat* or Morocc* or Mozambique or Mozambican or Myanmar* or Myanma or Burma or Burmese or Namibia* or Nauru* or Niue or Nepal* or Nicaragua* or Niger or Nigerien or Nigeria* or Oman* or Pakistan* or Palau* or Palestine or Palestinian or Panama or Panamanian or Paraguay* or "Papua New Guinea*" or Peru or Peruvian or Philippines or Philipines or Phillipines or Phillippines or Filipino or Philipino or Philippino or Phillipino or Phillippino or Rwanda* or Ruanda* or "Saint Helen*" or "St Helen*" or "Saint Kitts" or "St Kitts" or Kittian or Nevis* or "Saint Lucia*" or "St Lucia*" or "Saint Vincent" or "St Vincent" or Vicentian or Grenadines or Samoa* or "Sao Tome*" or Senegal* or Serbia* or Seychell* or "Sierra Leone*" or "Sri Lanka*" or Ceylon or "Solomon Island*" or Somali* or "South Africa*" or Sudan or Sudanese or Surinam* or Swaziland or Swazi or Eswatini or Syria or Syrian or Tajikistan or Tadzhikistan or Tadjikistan or Tajik or Tadzhik or Tanzania* or Thailand or Thai or Togo or Togolese or Tonga* or Tunisia* or Tokelau or Trinidad* or Tobago* or Turkey or Turkish or Turks or Turkmenistan or Turkmen or Tuvalu* or Uganda* or Ukraine or Ukrainian or Uruguay* or Uzbekistan* or Uzbek or Vanuatu or Venezuela* or Vietnam* or "Viet Nam" or "Wallis Futuna" or "West Bank" or Yemen* or Zambia* or Zimbabwe* ) OR MH ( Africa* or Asia* or Caribbean* or "West Indies" or "South America*" or "Latin America*" or "Central America*" or Afghan* or Albania* or Algeria* or Angola* or Anguilla* or Antigua* or Barbuda* or Argentin* or Armenia* or Azerbaijan* or Azeri or Bangladesh* or Barbad* or Benin* or Byelarus or Byelorussian or Belarus* or Belorussia* or Belize* or Bhutan* or Bolivia* or Bosnia* or Herzegovin* or Hercegovin* or Botswana or Botsuana or Motswana or Batswana or Brasil* or Brazil* or "Burkina Faso" or "Burkina Fasso" or Burkina* or Burundi* or Urundi* or Cambodia* or Cameroon* or Cameron* or "Cape Verd*" or "Cabo Verde" or "Central African Republic" or Chad* or Tchad* or Chile* or China or Chinese or Colombia* or Columbia* or Comoros or "Comoro Islands" or Comores or Comoran or Mayotte or Congo* or "Costa Rica*" or "Cote d'Ivoire" or "Ivory Coast" or Ivorian* or "Cook Islands" or Cuba* or Croat* or Djibouti* or Dominica* or "East Timor" or "East Timur" or "Timor Leste" or Timorese or Ecuador* or Equador* or Egypt* or "El Salvador" or Salvadoran or Eritrea* or Ethiopia* or Fiji* or Gabon* or Gambia* or Gaza or "Georgia Republic" or Georgian or Abkhazia* or Abchasia* or "South Ossetia*" or Ghana* or Grenada or Grenadian or Guatemala* or Guinea* or "Guinea Bissau" or Guian* or Guyana or Haiti* or Hondura* or India or Indian or Indonesia* or Iran* or Iraq* or Jamaica* or Jordan* or Kazakhstan* or Kazakh or Kenya* or Kiribati or Korea* or Kosovo or Kosova* or Kyrgyzstan or Kirghizia or Kyrgyz or Kirghiz or Kirgizstan or "Lao PDR" or Laos or Laotian or Lebanon or Lebanese or Lesotho or Mosotho or Basotho or Liberia* or Libya* or Macedonia* or FYROM or Madagasca* or Malagasy or Malaysia* or Malaya* or Malay or Sabah or Sarawak or Malawi* or Maldives or Maldivan or Mali or Malian or "Marshall Islands" or Marshallese or Mauritania* or Mauriti* or "Agalega Islands" or Mexico or Mexican or Micronesia* or "Middle East*" or Moldova* or Moldovia* or Transnistria* or Mongolia* or Montenegr* or Montserrat* or Morocc* or Mozambique or Mozambican or Myanmar* or Myanma or Burma or Burmese or Namibia* or Nauru* or Niue or Nepal* or Nicaragua* or Niger or Nigerien or Nigeria* or Oman* or Pakistan* or Palau* or Palestine or Palestinian or Panama or Panamanian or Paraguay* or "Papua New Guinea*" or Peru or Peruvian or Philippines or Philipines or Phillipines or Phillippines or Filipino or Philipino or Philippino or Phillipino or Phillippino or Rwanda* or Ruanda* or "Saint Helen*" or "St Helen*" or "Saint Kitts" or "St Kitts" or Kittian or Nevis* or "Saint Lucia*" or "St Lucia*" or "Saint Vincent" or "St Vincent" or Vicentian or Grenadines or Samoa* or "Sao Tome*" or Senegal* or Serbia* or Seychell* or "Sierra Leone*" or "Sri Lanka*" or Ceylon or "Solomon Island*" or Somali* or "South Africa*" or Sudan or Sudanese or Surinam* or Swaziland or Swazi or Eswatini or Syria or Syrian or Tajikistan or Tadzhikistan or Tadjikistan or Tajik or Tadzhik or Tanzania* or Thailand or Thai or Togo or Togolese or Tonga* or Tunisia* or Tokelau or Trinidad* or Tobago* or Turkey or Turkish or Turks or Turkmenistan or Turkmen or Tuvalu* or Uganda* or Ukraine or Ukrainian or Uruguay* or Uzbekistan* or Uzbek or Vanuatu or Venezuela* or Vietnam* or "Viet Nam" or "Wallis Futuna" or "West Bank" or Yemen* or Zambia* or Zimbabwe* )</t>
  </si>
  <si>
    <t>S6</t>
  </si>
  <si>
    <t>TI ( (developing or "less* developed" or "under developed" or underdeveloped or "middle income" or "low* income" or underserved or "under served" or deprived or poor*) N1 (countr* or nation# or population# or world)) or ((developing or "less* developed" or "under developed" or underdeveloped or "middle income" or "low* income") N1 (economy or economies)) or (low* N1 (gdp or gnp or "gross domestic" or "gross national")) or (low N2 middle N2 countr*) or lmic or lmics or "third world" or "lami countr*" or "transitional countr*" ) OR AB ( (developing or "less* developed" or "under developed" or underdeveloped or "middle income" or "low* income" or underserved or "under served" or deprived or poor*) N1 (countr* or nation# or population# or world)) or ((developing or "less* developed" or "under developed" or underdeveloped or "middle income" or "low* income") N1 (economy or economies)) or (low* N1 (gdp or gnp or "gross domestic" or "gross national")) or (low N2 middle N2 countr*) or lmic or lmics or "third world" or "lami countr*" or "transitional countr*" )</t>
  </si>
  <si>
    <t>S7</t>
  </si>
  <si>
    <t>S4 or S5 or S6</t>
  </si>
  <si>
    <t>S8</t>
  </si>
  <si>
    <t>S1 AND S2 AND S3 AND S7</t>
  </si>
  <si>
    <t>S9</t>
  </si>
  <si>
    <t>(MH "Animals+" OR MH "Animal Studies" OR TI "animal model*") NOT MH "Human"</t>
  </si>
  <si>
    <t>S10</t>
  </si>
  <si>
    <t>S8 NOT S9</t>
  </si>
  <si>
    <t xml:space="preserve">S11 </t>
  </si>
  <si>
    <t>Limiters - Published Date: 20190101-20211231</t>
  </si>
  <si>
    <t>Searches updated and ran by Andra Fry on 21/09/2022.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</si>
</sst>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scheme val="minor"/>
    </font>
  </fonts>
  <fills count="3">
    <fill>
      <patternFill patternType="none"/>
    </fill>
    <fill>
      <patternFill patternType="gray125"/>
    </fill>
    <fill>
      <patternFill patternType="solid">
        <fgColor rgb="FFC6E0B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1">
    <xf numFmtId="0" fontId="0" fillId="0" borderId="0" xfId="0"/>
    <xf numFmtId="0" fontId="0" fillId="0" borderId="0" xfId="0" applyAlignment="1">
      <alignment wrapText="1"/>
    </xf>
    <xf numFmtId="0" fontId="1" fillId="2" borderId="1" xfId="0" applyFont="1" applyFill="1" applyBorder="1"/>
    <xf numFmtId="0" fontId="0" fillId="0" borderId="1" xfId="0" applyBorder="1"/>
    <xf numFmtId="14" fontId="0" fillId="0" borderId="1" xfId="0" applyNumberFormat="1" applyBorder="1"/>
    <xf numFmtId="0" fontId="2" fillId="0" borderId="0" xfId="0" applyFont="1"/>
    <xf numFmtId="0" fontId="2" fillId="0" borderId="0" xfId="0" applyFont="1" applyAlignment="1">
      <alignment wrapText="1"/>
    </xf>
    <xf numFmtId="0" fontId="3" fillId="0" borderId="0" xfId="0" applyFont="1" applyAlignment="1">
      <alignment wrapText="1"/>
    </xf>
    <xf numFmtId="0" fontId="1" fillId="2" borderId="0" xfId="0" applyFont="1" applyFill="1"/>
    <xf numFmtId="0" fontId="0" fillId="0" borderId="2" xfId="0" applyBorder="1"/>
    <xf numFmtId="0" fontId="1" fillId="2" borderId="2"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workbookViewId="0">
      <selection activeCell="A13" sqref="A13"/>
    </sheetView>
  </sheetViews>
  <sheetFormatPr baseColWidth="10" defaultColWidth="8.83203125" defaultRowHeight="15" x14ac:dyDescent="0.2"/>
  <cols>
    <col min="1" max="1" width="20.5" bestFit="1" customWidth="1"/>
    <col min="3" max="3" width="14.1640625" bestFit="1" customWidth="1"/>
    <col min="4" max="4" width="5.5" bestFit="1" customWidth="1"/>
    <col min="5" max="5" width="11.83203125" bestFit="1" customWidth="1"/>
  </cols>
  <sheetData>
    <row r="1" spans="1:5" x14ac:dyDescent="0.2">
      <c r="A1" s="2" t="s">
        <v>5</v>
      </c>
      <c r="B1" s="2" t="s">
        <v>6</v>
      </c>
      <c r="C1" s="2" t="s">
        <v>7</v>
      </c>
      <c r="D1" s="2" t="s">
        <v>8</v>
      </c>
      <c r="E1" s="8" t="s">
        <v>9</v>
      </c>
    </row>
    <row r="2" spans="1:5" x14ac:dyDescent="0.2">
      <c r="A2" s="3" t="s">
        <v>0</v>
      </c>
      <c r="B2" s="3" t="s">
        <v>4</v>
      </c>
      <c r="C2" s="4">
        <v>44825</v>
      </c>
      <c r="D2" s="9">
        <v>1156</v>
      </c>
      <c r="E2" s="3">
        <v>1156</v>
      </c>
    </row>
    <row r="3" spans="1:5" x14ac:dyDescent="0.2">
      <c r="A3" s="3" t="s">
        <v>1</v>
      </c>
      <c r="B3" s="3" t="s">
        <v>4</v>
      </c>
      <c r="C3" s="4">
        <v>44825</v>
      </c>
      <c r="D3" s="9">
        <v>1247</v>
      </c>
      <c r="E3" s="3">
        <v>890</v>
      </c>
    </row>
    <row r="4" spans="1:5" x14ac:dyDescent="0.2">
      <c r="A4" t="s">
        <v>10</v>
      </c>
      <c r="B4" s="3" t="s">
        <v>4</v>
      </c>
      <c r="C4" s="4">
        <v>44825</v>
      </c>
      <c r="D4" s="9">
        <v>382</v>
      </c>
      <c r="E4" s="3">
        <v>239</v>
      </c>
    </row>
    <row r="5" spans="1:5" x14ac:dyDescent="0.2">
      <c r="A5" s="3" t="s">
        <v>3</v>
      </c>
      <c r="B5" s="3" t="s">
        <v>4</v>
      </c>
      <c r="C5" s="4">
        <v>44825</v>
      </c>
      <c r="D5" s="9">
        <v>404</v>
      </c>
      <c r="E5" s="3">
        <v>192</v>
      </c>
    </row>
    <row r="6" spans="1:5" x14ac:dyDescent="0.2">
      <c r="A6" s="3" t="s">
        <v>2</v>
      </c>
      <c r="B6" s="3" t="s">
        <v>11</v>
      </c>
      <c r="C6" s="4">
        <v>44825</v>
      </c>
      <c r="D6" s="9">
        <v>448</v>
      </c>
      <c r="E6" s="3">
        <v>176</v>
      </c>
    </row>
    <row r="7" spans="1:5" x14ac:dyDescent="0.2">
      <c r="A7" s="2" t="s">
        <v>12</v>
      </c>
      <c r="B7" s="2"/>
      <c r="C7" s="2"/>
      <c r="D7" s="10">
        <f>SUM(D2:D6)</f>
        <v>3637</v>
      </c>
      <c r="E7" s="2">
        <f>SUM(E2:E6)</f>
        <v>2653</v>
      </c>
    </row>
    <row r="8" spans="1:5" x14ac:dyDescent="0.2">
      <c r="A8" s="2" t="s">
        <v>13</v>
      </c>
      <c r="B8" s="2"/>
      <c r="C8" s="2"/>
      <c r="D8" s="2">
        <v>984</v>
      </c>
    </row>
    <row r="9" spans="1:5" x14ac:dyDescent="0.2">
      <c r="A9" s="2" t="s">
        <v>14</v>
      </c>
      <c r="B9" s="2"/>
      <c r="C9" s="2"/>
      <c r="D9" s="2">
        <f>D7-D8</f>
        <v>2653</v>
      </c>
    </row>
    <row r="11" spans="1:5" x14ac:dyDescent="0.2">
      <c r="A11" t="s">
        <v>73</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D9168-5688-46AB-B328-07B6D54F98E4}">
  <dimension ref="B3:D14"/>
  <sheetViews>
    <sheetView topLeftCell="A6" workbookViewId="0"/>
  </sheetViews>
  <sheetFormatPr baseColWidth="10" defaultColWidth="8.83203125" defaultRowHeight="15" x14ac:dyDescent="0.2"/>
  <cols>
    <col min="3" max="3" width="110.5" style="1" customWidth="1"/>
    <col min="4" max="4" width="9.83203125" bestFit="1" customWidth="1"/>
  </cols>
  <sheetData>
    <row r="3" spans="2:4" x14ac:dyDescent="0.2">
      <c r="B3" t="s">
        <v>15</v>
      </c>
    </row>
    <row r="5" spans="2:4" ht="112" x14ac:dyDescent="0.2">
      <c r="B5">
        <v>1</v>
      </c>
      <c r="C5" s="1" t="s">
        <v>16</v>
      </c>
      <c r="D5">
        <v>427238</v>
      </c>
    </row>
    <row r="6" spans="2:4" ht="304" x14ac:dyDescent="0.2">
      <c r="B6">
        <v>2</v>
      </c>
      <c r="C6" s="1" t="s">
        <v>17</v>
      </c>
      <c r="D6">
        <v>13930216</v>
      </c>
    </row>
    <row r="7" spans="2:4" ht="32" x14ac:dyDescent="0.2">
      <c r="B7">
        <v>3</v>
      </c>
      <c r="C7" s="1" t="s">
        <v>18</v>
      </c>
      <c r="D7">
        <v>5552799</v>
      </c>
    </row>
    <row r="8" spans="2:4" ht="409.6" x14ac:dyDescent="0.2">
      <c r="B8">
        <v>4</v>
      </c>
      <c r="C8" s="1" t="s">
        <v>19</v>
      </c>
      <c r="D8">
        <v>4046862</v>
      </c>
    </row>
    <row r="9" spans="2:4" ht="16" x14ac:dyDescent="0.2">
      <c r="B9">
        <v>5</v>
      </c>
      <c r="C9" s="1" t="s">
        <v>20</v>
      </c>
      <c r="D9">
        <v>7917</v>
      </c>
    </row>
    <row r="10" spans="2:4" ht="16" x14ac:dyDescent="0.2">
      <c r="B10">
        <v>6</v>
      </c>
      <c r="C10" s="1" t="s">
        <v>21</v>
      </c>
      <c r="D10">
        <v>5049406</v>
      </c>
    </row>
    <row r="11" spans="2:4" ht="16" x14ac:dyDescent="0.2">
      <c r="B11">
        <v>7</v>
      </c>
      <c r="C11" s="1" t="s">
        <v>22</v>
      </c>
      <c r="D11">
        <v>6646</v>
      </c>
    </row>
    <row r="12" spans="2:4" ht="16" x14ac:dyDescent="0.2">
      <c r="B12">
        <v>8</v>
      </c>
      <c r="C12" s="1" t="s">
        <v>23</v>
      </c>
      <c r="D12">
        <v>2097191</v>
      </c>
    </row>
    <row r="13" spans="2:4" ht="16" x14ac:dyDescent="0.2">
      <c r="B13">
        <v>9</v>
      </c>
      <c r="C13" s="1" t="s">
        <v>24</v>
      </c>
      <c r="D13">
        <v>6594</v>
      </c>
    </row>
    <row r="14" spans="2:4" ht="16" x14ac:dyDescent="0.2">
      <c r="B14">
        <v>10</v>
      </c>
      <c r="C14" s="1" t="s">
        <v>25</v>
      </c>
      <c r="D14">
        <v>1156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61A53-7827-41AC-8925-D50E9FD2754B}">
  <dimension ref="B3:D16"/>
  <sheetViews>
    <sheetView topLeftCell="A7" workbookViewId="0">
      <selection activeCell="C8" sqref="C8"/>
    </sheetView>
  </sheetViews>
  <sheetFormatPr baseColWidth="10" defaultColWidth="8.83203125" defaultRowHeight="15" x14ac:dyDescent="0.2"/>
  <cols>
    <col min="3" max="3" width="110.5" style="1" customWidth="1"/>
    <col min="4" max="4" width="9.83203125" bestFit="1" customWidth="1"/>
  </cols>
  <sheetData>
    <row r="3" spans="2:4" x14ac:dyDescent="0.2">
      <c r="B3" t="s">
        <v>26</v>
      </c>
    </row>
    <row r="5" spans="2:4" ht="112" x14ac:dyDescent="0.2">
      <c r="B5">
        <v>1</v>
      </c>
      <c r="C5" s="1" t="s">
        <v>27</v>
      </c>
      <c r="D5">
        <v>723805</v>
      </c>
    </row>
    <row r="6" spans="2:4" ht="304" x14ac:dyDescent="0.2">
      <c r="B6">
        <v>2</v>
      </c>
      <c r="C6" s="1" t="s">
        <v>28</v>
      </c>
      <c r="D6">
        <v>18103622</v>
      </c>
    </row>
    <row r="7" spans="2:4" ht="224" x14ac:dyDescent="0.2">
      <c r="B7">
        <v>3</v>
      </c>
      <c r="C7" s="1" t="s">
        <v>29</v>
      </c>
      <c r="D7">
        <v>5229127</v>
      </c>
    </row>
    <row r="8" spans="2:4" ht="409.6" x14ac:dyDescent="0.2">
      <c r="B8">
        <v>4</v>
      </c>
      <c r="C8" s="1" t="s">
        <v>19</v>
      </c>
      <c r="D8">
        <v>4706713</v>
      </c>
    </row>
    <row r="9" spans="2:4" ht="16" x14ac:dyDescent="0.2">
      <c r="B9">
        <v>5</v>
      </c>
      <c r="C9" s="1" t="s">
        <v>20</v>
      </c>
      <c r="D9">
        <v>7967</v>
      </c>
    </row>
    <row r="10" spans="2:4" ht="16" x14ac:dyDescent="0.2">
      <c r="B10">
        <v>6</v>
      </c>
      <c r="C10" s="1" t="s">
        <v>30</v>
      </c>
      <c r="D10">
        <v>31095663</v>
      </c>
    </row>
    <row r="11" spans="2:4" ht="16" x14ac:dyDescent="0.2">
      <c r="B11">
        <v>7</v>
      </c>
      <c r="C11" s="1" t="s">
        <v>31</v>
      </c>
      <c r="D11">
        <v>24104793</v>
      </c>
    </row>
    <row r="12" spans="2:4" ht="16" x14ac:dyDescent="0.2">
      <c r="B12">
        <v>8</v>
      </c>
      <c r="C12" s="1" t="s">
        <v>32</v>
      </c>
      <c r="D12">
        <v>6992081</v>
      </c>
    </row>
    <row r="13" spans="2:4" ht="16" x14ac:dyDescent="0.2">
      <c r="B13">
        <v>9</v>
      </c>
      <c r="C13" s="1" t="s">
        <v>33</v>
      </c>
      <c r="D13">
        <v>7556</v>
      </c>
    </row>
    <row r="14" spans="2:4" ht="16" x14ac:dyDescent="0.2">
      <c r="B14">
        <v>10</v>
      </c>
      <c r="C14" s="1" t="s">
        <v>34</v>
      </c>
      <c r="D14">
        <v>1977082</v>
      </c>
    </row>
    <row r="15" spans="2:4" ht="16" x14ac:dyDescent="0.2">
      <c r="B15">
        <v>11</v>
      </c>
      <c r="C15" s="1" t="s">
        <v>35</v>
      </c>
      <c r="D15">
        <v>7540</v>
      </c>
    </row>
    <row r="16" spans="2:4" ht="16" x14ac:dyDescent="0.2">
      <c r="B16">
        <v>12</v>
      </c>
      <c r="C16" s="1" t="s">
        <v>36</v>
      </c>
      <c r="D16">
        <v>1247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3BF4-43BA-4B10-B58E-6C8424D61135}">
  <dimension ref="B3:D10"/>
  <sheetViews>
    <sheetView tabSelected="1" workbookViewId="0">
      <selection activeCell="C14" sqref="C14"/>
    </sheetView>
  </sheetViews>
  <sheetFormatPr baseColWidth="10" defaultColWidth="8.83203125" defaultRowHeight="15" x14ac:dyDescent="0.2"/>
  <cols>
    <col min="3" max="3" width="110.5" style="1" customWidth="1"/>
  </cols>
  <sheetData>
    <row r="3" spans="2:4" x14ac:dyDescent="0.2">
      <c r="B3" t="s">
        <v>37</v>
      </c>
    </row>
    <row r="5" spans="2:4" ht="96" x14ac:dyDescent="0.2">
      <c r="B5">
        <v>1</v>
      </c>
      <c r="C5" s="1" t="s">
        <v>38</v>
      </c>
      <c r="D5">
        <v>34331</v>
      </c>
    </row>
    <row r="6" spans="2:4" ht="272" x14ac:dyDescent="0.2">
      <c r="B6">
        <v>2</v>
      </c>
      <c r="C6" s="1" t="s">
        <v>39</v>
      </c>
      <c r="D6">
        <v>2046951</v>
      </c>
    </row>
    <row r="7" spans="2:4" ht="16" x14ac:dyDescent="0.2">
      <c r="B7">
        <v>3</v>
      </c>
      <c r="C7" s="1" t="s">
        <v>40</v>
      </c>
      <c r="D7">
        <v>632419</v>
      </c>
    </row>
    <row r="8" spans="2:4" ht="409.6" x14ac:dyDescent="0.2">
      <c r="B8">
        <v>4</v>
      </c>
      <c r="C8" s="1" t="s">
        <v>41</v>
      </c>
      <c r="D8">
        <v>1683278</v>
      </c>
    </row>
    <row r="9" spans="2:4" ht="16" x14ac:dyDescent="0.2">
      <c r="B9">
        <v>5</v>
      </c>
      <c r="C9" s="1" t="s">
        <v>20</v>
      </c>
      <c r="D9">
        <v>1911</v>
      </c>
    </row>
    <row r="10" spans="2:4" ht="16" x14ac:dyDescent="0.2">
      <c r="B10">
        <v>6</v>
      </c>
      <c r="C10" s="1" t="s">
        <v>42</v>
      </c>
      <c r="D10">
        <v>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82B55-007E-445E-912A-C30059FE3673}">
  <dimension ref="B3:F12"/>
  <sheetViews>
    <sheetView workbookViewId="0"/>
  </sheetViews>
  <sheetFormatPr baseColWidth="10" defaultColWidth="8.83203125" defaultRowHeight="15" x14ac:dyDescent="0.2"/>
  <cols>
    <col min="3" max="3" width="110.5" style="1" customWidth="1"/>
    <col min="4" max="4" width="9.83203125" bestFit="1" customWidth="1"/>
  </cols>
  <sheetData>
    <row r="3" spans="2:6" x14ac:dyDescent="0.2">
      <c r="B3" t="s">
        <v>43</v>
      </c>
    </row>
    <row r="5" spans="2:6" ht="112" x14ac:dyDescent="0.2">
      <c r="B5">
        <v>1</v>
      </c>
      <c r="C5" s="1" t="s">
        <v>44</v>
      </c>
      <c r="D5">
        <v>185529</v>
      </c>
    </row>
    <row r="6" spans="2:6" ht="304" x14ac:dyDescent="0.2">
      <c r="B6">
        <v>2</v>
      </c>
      <c r="C6" s="1" t="s">
        <v>45</v>
      </c>
      <c r="D6">
        <v>2371714</v>
      </c>
      <c r="F6" s="5"/>
    </row>
    <row r="7" spans="2:6" ht="16" x14ac:dyDescent="0.2">
      <c r="B7">
        <v>3</v>
      </c>
      <c r="C7" s="1" t="s">
        <v>46</v>
      </c>
      <c r="D7">
        <v>755859</v>
      </c>
    </row>
    <row r="8" spans="2:6" ht="409.6" x14ac:dyDescent="0.2">
      <c r="B8">
        <v>4</v>
      </c>
      <c r="C8" s="1" t="s">
        <v>47</v>
      </c>
      <c r="D8">
        <v>504266</v>
      </c>
    </row>
    <row r="9" spans="2:6" ht="16" x14ac:dyDescent="0.2">
      <c r="B9">
        <v>5</v>
      </c>
      <c r="C9" s="1" t="s">
        <v>20</v>
      </c>
      <c r="D9">
        <v>2359</v>
      </c>
    </row>
    <row r="10" spans="2:6" ht="16" x14ac:dyDescent="0.2">
      <c r="B10">
        <v>6</v>
      </c>
      <c r="C10" s="7" t="s">
        <v>48</v>
      </c>
      <c r="D10">
        <v>379966</v>
      </c>
    </row>
    <row r="11" spans="2:6" ht="16" x14ac:dyDescent="0.2">
      <c r="B11">
        <v>7</v>
      </c>
      <c r="C11" s="1" t="s">
        <v>22</v>
      </c>
      <c r="D11">
        <v>2301</v>
      </c>
    </row>
    <row r="12" spans="2:6" ht="16" x14ac:dyDescent="0.2">
      <c r="B12">
        <v>8</v>
      </c>
      <c r="C12" s="1" t="s">
        <v>49</v>
      </c>
      <c r="D12">
        <v>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69AAE-481A-4A2C-B5E7-7A768F67CA84}">
  <dimension ref="B3:F15"/>
  <sheetViews>
    <sheetView workbookViewId="0"/>
  </sheetViews>
  <sheetFormatPr baseColWidth="10" defaultColWidth="8.83203125" defaultRowHeight="15" x14ac:dyDescent="0.2"/>
  <cols>
    <col min="3" max="3" width="154.33203125" style="1" customWidth="1"/>
    <col min="4" max="4" width="9.83203125" bestFit="1" customWidth="1"/>
    <col min="6" max="6" width="10" customWidth="1"/>
  </cols>
  <sheetData>
    <row r="3" spans="2:6" x14ac:dyDescent="0.2">
      <c r="B3" t="s">
        <v>50</v>
      </c>
    </row>
    <row r="5" spans="2:6" ht="144" x14ac:dyDescent="0.2">
      <c r="B5" t="s">
        <v>51</v>
      </c>
      <c r="C5" s="7" t="s">
        <v>52</v>
      </c>
      <c r="D5">
        <v>159287</v>
      </c>
      <c r="F5" s="6"/>
    </row>
    <row r="6" spans="2:6" ht="380" x14ac:dyDescent="0.2">
      <c r="B6" t="s">
        <v>53</v>
      </c>
      <c r="C6" s="1" t="s">
        <v>54</v>
      </c>
      <c r="D6">
        <v>3652534</v>
      </c>
      <c r="F6" s="6"/>
    </row>
    <row r="7" spans="2:6" ht="48" x14ac:dyDescent="0.2">
      <c r="B7" t="s">
        <v>55</v>
      </c>
      <c r="C7" s="1" t="s">
        <v>56</v>
      </c>
      <c r="D7">
        <v>982366</v>
      </c>
      <c r="F7" s="6"/>
    </row>
    <row r="8" spans="2:6" ht="16" x14ac:dyDescent="0.2">
      <c r="B8" t="s">
        <v>57</v>
      </c>
      <c r="C8" s="7" t="s">
        <v>58</v>
      </c>
      <c r="D8">
        <v>19971</v>
      </c>
    </row>
    <row r="9" spans="2:6" ht="409.6" x14ac:dyDescent="0.2">
      <c r="B9" t="s">
        <v>59</v>
      </c>
      <c r="C9" s="6" t="s">
        <v>60</v>
      </c>
      <c r="D9">
        <v>679546</v>
      </c>
      <c r="F9" s="6"/>
    </row>
    <row r="10" spans="2:6" ht="96" x14ac:dyDescent="0.2">
      <c r="B10" t="s">
        <v>61</v>
      </c>
      <c r="C10" s="6" t="s">
        <v>62</v>
      </c>
      <c r="D10">
        <v>46191</v>
      </c>
      <c r="F10" s="6"/>
    </row>
    <row r="11" spans="2:6" ht="16" x14ac:dyDescent="0.2">
      <c r="B11" t="s">
        <v>63</v>
      </c>
      <c r="C11" s="1" t="s">
        <v>64</v>
      </c>
      <c r="D11">
        <v>705117</v>
      </c>
    </row>
    <row r="12" spans="2:6" ht="16" x14ac:dyDescent="0.2">
      <c r="B12" t="s">
        <v>65</v>
      </c>
      <c r="C12" s="1" t="s">
        <v>66</v>
      </c>
      <c r="D12">
        <v>1917</v>
      </c>
    </row>
    <row r="13" spans="2:6" ht="16" x14ac:dyDescent="0.2">
      <c r="B13" t="s">
        <v>67</v>
      </c>
      <c r="C13" s="1" t="s">
        <v>68</v>
      </c>
      <c r="D13">
        <v>210517</v>
      </c>
    </row>
    <row r="14" spans="2:6" ht="16" x14ac:dyDescent="0.2">
      <c r="B14" t="s">
        <v>69</v>
      </c>
      <c r="C14" s="1" t="s">
        <v>70</v>
      </c>
      <c r="D14">
        <v>1819</v>
      </c>
    </row>
    <row r="15" spans="2:6" ht="16" x14ac:dyDescent="0.2">
      <c r="B15" t="s">
        <v>71</v>
      </c>
      <c r="C15" s="1" t="s">
        <v>72</v>
      </c>
      <c r="D15">
        <v>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Medline</vt:lpstr>
      <vt:lpstr>Embase</vt:lpstr>
      <vt:lpstr>Global Health</vt:lpstr>
      <vt:lpstr>PsycINFO</vt:lpstr>
      <vt:lpstr>CINAHL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2022-08-24T12:41:33Z</dcterms:created>
  <dcterms:modified xsi:type="dcterms:W3CDTF">2022-12-13T03:21:00Z</dcterms:modified>
  <cp:category/>
  <cp:contentStatus/>
</cp:coreProperties>
</file>